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hmed.ali\ragu-los\RAGU LOS\"/>
    </mc:Choice>
  </mc:AlternateContent>
  <xr:revisionPtr revIDLastSave="0" documentId="13_ncr:1_{721F1B0D-2E48-4C76-9004-E1EF1F49AFDA}" xr6:coauthVersionLast="47" xr6:coauthVersionMax="47" xr10:uidLastSave="{00000000-0000-0000-0000-000000000000}"/>
  <bookViews>
    <workbookView xWindow="-23760" yWindow="-21930" windowWidth="38730" windowHeight="21210" firstSheet="2" activeTab="2" xr2:uid="{00000000-000D-0000-FFFF-FFFF00000000}"/>
  </bookViews>
  <sheets>
    <sheet name="Data Tables (Q) rec2.1" sheetId="1" r:id="rId1"/>
    <sheet name="Data Tables (Q)" sheetId="2" r:id="rId2"/>
    <sheet name="Sheet1" sheetId="4" r:id="rId3"/>
    <sheet name="mmi" sheetId="5" r:id="rId4"/>
    <sheet name="Data Tables (M)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7" i="4" l="1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C37" i="4"/>
  <c r="C26" i="4"/>
  <c r="C27" i="4"/>
  <c r="C33" i="4" s="1"/>
  <c r="D27" i="4"/>
  <c r="D33" i="4" s="1"/>
  <c r="E27" i="4"/>
  <c r="E33" i="4" s="1"/>
  <c r="F27" i="4"/>
  <c r="F33" i="4" s="1"/>
  <c r="G27" i="4"/>
  <c r="G33" i="4" s="1"/>
  <c r="H27" i="4"/>
  <c r="H33" i="4" s="1"/>
  <c r="I27" i="4"/>
  <c r="I33" i="4" s="1"/>
  <c r="J27" i="4"/>
  <c r="J33" i="4" s="1"/>
  <c r="K27" i="4"/>
  <c r="K33" i="4" s="1"/>
  <c r="L27" i="4"/>
  <c r="L33" i="4" s="1"/>
  <c r="M27" i="4"/>
  <c r="M33" i="4" s="1"/>
  <c r="N27" i="4"/>
  <c r="N33" i="4" s="1"/>
  <c r="O27" i="4"/>
  <c r="O33" i="4" s="1"/>
  <c r="P27" i="4"/>
  <c r="P33" i="4" s="1"/>
  <c r="Q27" i="4"/>
  <c r="Q33" i="4" s="1"/>
  <c r="R27" i="4"/>
  <c r="R33" i="4" s="1"/>
  <c r="S27" i="4"/>
  <c r="S33" i="4" s="1"/>
  <c r="T27" i="4"/>
  <c r="T33" i="4" s="1"/>
  <c r="U27" i="4"/>
  <c r="U33" i="4" s="1"/>
  <c r="V27" i="4"/>
  <c r="V33" i="4" s="1"/>
  <c r="W27" i="4"/>
  <c r="W33" i="4" s="1"/>
  <c r="X27" i="4"/>
  <c r="X33" i="4" s="1"/>
  <c r="Y27" i="4"/>
  <c r="Y33" i="4" s="1"/>
  <c r="Z27" i="4"/>
  <c r="Z33" i="4" s="1"/>
  <c r="AA27" i="4"/>
  <c r="D26" i="4"/>
  <c r="D32" i="4" s="1"/>
  <c r="E26" i="4"/>
  <c r="E32" i="4" s="1"/>
  <c r="F26" i="4"/>
  <c r="F32" i="4" s="1"/>
  <c r="G26" i="4"/>
  <c r="G32" i="4" s="1"/>
  <c r="H26" i="4"/>
  <c r="H32" i="4" s="1"/>
  <c r="I26" i="4"/>
  <c r="I32" i="4" s="1"/>
  <c r="J26" i="4"/>
  <c r="J32" i="4" s="1"/>
  <c r="K26" i="4"/>
  <c r="K32" i="4" s="1"/>
  <c r="L26" i="4"/>
  <c r="L32" i="4" s="1"/>
  <c r="M26" i="4"/>
  <c r="M32" i="4" s="1"/>
  <c r="N26" i="4"/>
  <c r="N32" i="4" s="1"/>
  <c r="O26" i="4"/>
  <c r="O32" i="4" s="1"/>
  <c r="P26" i="4"/>
  <c r="P32" i="4" s="1"/>
  <c r="Q26" i="4"/>
  <c r="Q32" i="4" s="1"/>
  <c r="R26" i="4"/>
  <c r="R32" i="4" s="1"/>
  <c r="S26" i="4"/>
  <c r="S32" i="4" s="1"/>
  <c r="T26" i="4"/>
  <c r="T32" i="4" s="1"/>
  <c r="U26" i="4"/>
  <c r="U32" i="4" s="1"/>
  <c r="V26" i="4"/>
  <c r="V32" i="4" s="1"/>
  <c r="W26" i="4"/>
  <c r="W32" i="4" s="1"/>
  <c r="X26" i="4"/>
  <c r="X32" i="4" s="1"/>
  <c r="Y26" i="4"/>
  <c r="Y32" i="4" s="1"/>
  <c r="Z26" i="4"/>
  <c r="Z32" i="4" s="1"/>
  <c r="AA26" i="4"/>
  <c r="C32" i="4"/>
  <c r="C30" i="5"/>
  <c r="D30" i="5"/>
  <c r="E30" i="5"/>
  <c r="F30" i="5"/>
  <c r="G30" i="5"/>
  <c r="H30" i="5"/>
  <c r="I30" i="5"/>
  <c r="J30" i="5"/>
  <c r="K30" i="5"/>
  <c r="L30" i="5"/>
  <c r="M30" i="5"/>
  <c r="N30" i="5"/>
  <c r="O30" i="5"/>
  <c r="P30" i="5"/>
  <c r="Q30" i="5"/>
  <c r="R30" i="5"/>
  <c r="S30" i="5"/>
  <c r="T30" i="5"/>
  <c r="U30" i="5"/>
  <c r="V30" i="5"/>
  <c r="W30" i="5"/>
  <c r="X30" i="5"/>
  <c r="Y30" i="5"/>
  <c r="Z30" i="5"/>
  <c r="AA30" i="5"/>
  <c r="AB30" i="5"/>
  <c r="AC30" i="5"/>
  <c r="B30" i="5"/>
  <c r="L10" i="5" l="1"/>
  <c r="M10" i="5"/>
  <c r="N10" i="5"/>
  <c r="O10" i="5"/>
  <c r="P10" i="5"/>
  <c r="K10" i="5"/>
  <c r="L9" i="5"/>
  <c r="M9" i="5"/>
  <c r="N9" i="5"/>
  <c r="O9" i="5"/>
  <c r="P9" i="5"/>
  <c r="K9" i="5"/>
  <c r="L8" i="5"/>
  <c r="M8" i="5"/>
  <c r="N8" i="5"/>
  <c r="O8" i="5"/>
  <c r="P8" i="5"/>
  <c r="Q8" i="5"/>
  <c r="K8" i="5"/>
  <c r="L7" i="5"/>
  <c r="M7" i="5"/>
  <c r="N7" i="5"/>
  <c r="O7" i="5"/>
  <c r="P7" i="5"/>
  <c r="Q7" i="5"/>
  <c r="K7" i="5"/>
</calcChain>
</file>

<file path=xl/sharedStrings.xml><?xml version="1.0" encoding="utf-8"?>
<sst xmlns="http://schemas.openxmlformats.org/spreadsheetml/2006/main" count="1635" uniqueCount="184">
  <si>
    <t>AN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</si>
  <si>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</si>
  <si>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</si>
  <si>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</si>
  <si>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</si>
  <si>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</si>
  <si>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</si>
  <si>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</si>
  <si>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</si>
  <si>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</si>
  <si>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</si>
  <si>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</si>
  <si>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</si>
  <si>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</si>
  <si>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</si>
  <si>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</si>
  <si>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</si>
  <si>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</si>
  <si>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</si>
  <si>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</si>
  <si>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</si>
  <si>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</si>
  <si>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</si>
  <si>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</si>
  <si>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</si>
  <si>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2026 Q1</t>
  </si>
  <si>
    <t>2026 Q2</t>
  </si>
  <si>
    <t>2026 Q3</t>
  </si>
  <si>
    <t>Model Score</t>
  </si>
  <si>
    <t>Expected Gross Loss Impact</t>
  </si>
  <si>
    <t>Recovery Impact</t>
  </si>
  <si>
    <t>LTV Impact</t>
  </si>
  <si>
    <t>APR Impact</t>
  </si>
  <si>
    <t>RAGU Score</t>
  </si>
  <si>
    <t>Amount Financed</t>
  </si>
  <si>
    <t>Weighted LTV</t>
  </si>
  <si>
    <t>Weighted APR</t>
  </si>
  <si>
    <t>FRN</t>
  </si>
  <si>
    <t>STG</t>
  </si>
  <si>
    <t>FLD</t>
  </si>
  <si>
    <t>ENT</t>
  </si>
  <si>
    <t>KMX</t>
  </si>
  <si>
    <t>Franchise Independent</t>
  </si>
  <si>
    <t>nonKMX</t>
  </si>
  <si>
    <t>POS</t>
  </si>
  <si>
    <t>2020 M01</t>
  </si>
  <si>
    <t>2020 M02</t>
  </si>
  <si>
    <t>2020 M03</t>
  </si>
  <si>
    <t>2020 M04</t>
  </si>
  <si>
    <t>2020 M05</t>
  </si>
  <si>
    <t>2020 M06</t>
  </si>
  <si>
    <t>2020 M07</t>
  </si>
  <si>
    <t>2020 M08</t>
  </si>
  <si>
    <t>2020 M09</t>
  </si>
  <si>
    <t>2020 M10</t>
  </si>
  <si>
    <t>2020 M11</t>
  </si>
  <si>
    <t>2020 M12</t>
  </si>
  <si>
    <t>2021 M01</t>
  </si>
  <si>
    <t>2021 M02</t>
  </si>
  <si>
    <t>2021 M03</t>
  </si>
  <si>
    <t>2021 M04</t>
  </si>
  <si>
    <t>2021 M05</t>
  </si>
  <si>
    <t>2021 M06</t>
  </si>
  <si>
    <t>2021 M07</t>
  </si>
  <si>
    <t>2021 M08</t>
  </si>
  <si>
    <t>2021 M09</t>
  </si>
  <si>
    <t>2021 M10</t>
  </si>
  <si>
    <t>2021 M11</t>
  </si>
  <si>
    <t>2021 M12</t>
  </si>
  <si>
    <t>2022 M01</t>
  </si>
  <si>
    <t>2022 M02</t>
  </si>
  <si>
    <t>2022 M03</t>
  </si>
  <si>
    <t>2022 M04</t>
  </si>
  <si>
    <t>2022 M05</t>
  </si>
  <si>
    <t>2022 M06</t>
  </si>
  <si>
    <t>2022 M07</t>
  </si>
  <si>
    <t>2022 M08</t>
  </si>
  <si>
    <t>2022 M09</t>
  </si>
  <si>
    <t>2022 M10</t>
  </si>
  <si>
    <t>2022 M11</t>
  </si>
  <si>
    <t>2022 M12</t>
  </si>
  <si>
    <t>2023 M01</t>
  </si>
  <si>
    <t>2023 M02</t>
  </si>
  <si>
    <t>2023 M03</t>
  </si>
  <si>
    <t>2023 M04</t>
  </si>
  <si>
    <t>2023 M05</t>
  </si>
  <si>
    <t>2023 M06</t>
  </si>
  <si>
    <t>2023 M07</t>
  </si>
  <si>
    <t>2023 M08</t>
  </si>
  <si>
    <t>2023 M09</t>
  </si>
  <si>
    <t>2023 M10</t>
  </si>
  <si>
    <t>2023 M11</t>
  </si>
  <si>
    <t>2023 M12</t>
  </si>
  <si>
    <t>2024 M01</t>
  </si>
  <si>
    <t>2024 M02</t>
  </si>
  <si>
    <t>2024 M03</t>
  </si>
  <si>
    <t>2024 M04</t>
  </si>
  <si>
    <t>2024 M05</t>
  </si>
  <si>
    <t>2024 M06</t>
  </si>
  <si>
    <t>2024 M07</t>
  </si>
  <si>
    <t>2024 M08</t>
  </si>
  <si>
    <t>2024 M09</t>
  </si>
  <si>
    <t>2024 M10</t>
  </si>
  <si>
    <t>2024 M11</t>
  </si>
  <si>
    <t>2024 M12</t>
  </si>
  <si>
    <t>2025 M01</t>
  </si>
  <si>
    <t>2025 M02</t>
  </si>
  <si>
    <t>2025 M03</t>
  </si>
  <si>
    <t>2025 M04</t>
  </si>
  <si>
    <t>2025 M05</t>
  </si>
  <si>
    <t>2025 M06</t>
  </si>
  <si>
    <t>2025 M07</t>
  </si>
  <si>
    <t>2025 M08</t>
  </si>
  <si>
    <t>2025 M09</t>
  </si>
  <si>
    <t>2025 M10</t>
  </si>
  <si>
    <t>2025 M11</t>
  </si>
  <si>
    <t>2025 M12</t>
  </si>
  <si>
    <t>2026 M01</t>
  </si>
  <si>
    <t>2026 M02</t>
  </si>
  <si>
    <t>2026 M03</t>
  </si>
  <si>
    <t>2026 M04</t>
  </si>
  <si>
    <t>2026 M05</t>
  </si>
  <si>
    <t>2026 M06</t>
  </si>
  <si>
    <t>2026 M07</t>
  </si>
  <si>
    <t>ragu</t>
  </si>
  <si>
    <t>cnl</t>
  </si>
  <si>
    <t>an</t>
  </si>
  <si>
    <t>frn</t>
  </si>
  <si>
    <t>ragu v1</t>
  </si>
  <si>
    <t>MMI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</si>
  <si>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</si>
  <si>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</si>
  <si>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</si>
  <si>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</si>
  <si>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</si>
  <si>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</si>
  <si>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</si>
  <si>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</si>
  <si>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</si>
  <si>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</si>
  <si>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</si>
  <si>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</si>
  <si>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q1</t>
  </si>
  <si>
    <t>q2</t>
  </si>
  <si>
    <t>q3</t>
  </si>
  <si>
    <t>q4</t>
  </si>
  <si>
    <t>mmi</t>
  </si>
  <si>
    <t>RAGU IMPACT DUE TO MMI ONLY</t>
  </si>
  <si>
    <t>19 Q1</t>
  </si>
  <si>
    <t>19 Q2</t>
  </si>
  <si>
    <t>19 Q3</t>
  </si>
  <si>
    <t>19 Q4</t>
  </si>
  <si>
    <t>20 Q1</t>
  </si>
  <si>
    <t>20 Q2</t>
  </si>
  <si>
    <t>20 Q3</t>
  </si>
  <si>
    <t>20 Q4</t>
  </si>
  <si>
    <t>21 Q1</t>
  </si>
  <si>
    <t>21 Q2</t>
  </si>
  <si>
    <t>21 Q3</t>
  </si>
  <si>
    <t>21 Q4</t>
  </si>
  <si>
    <t>22 Q1</t>
  </si>
  <si>
    <t>22 Q2</t>
  </si>
  <si>
    <t>22 Q3</t>
  </si>
  <si>
    <t>22 Q4</t>
  </si>
  <si>
    <t>23 Q1</t>
  </si>
  <si>
    <t>23 Q2</t>
  </si>
  <si>
    <t>23 Q3</t>
  </si>
  <si>
    <t>23 Q4</t>
  </si>
  <si>
    <t>24 Q1</t>
  </si>
  <si>
    <t>24 Q2</t>
  </si>
  <si>
    <t>24 Q3</t>
  </si>
  <si>
    <t>24 Q4</t>
  </si>
  <si>
    <t>25 Q1</t>
  </si>
  <si>
    <t>25 Q2</t>
  </si>
  <si>
    <t>25 Q3</t>
  </si>
  <si>
    <t>25 Q4</t>
  </si>
  <si>
    <t>t0</t>
  </si>
  <si>
    <t>tc</t>
  </si>
  <si>
    <t>ragu v2 tc</t>
  </si>
  <si>
    <t>scalar</t>
  </si>
  <si>
    <t>v1 tc</t>
  </si>
  <si>
    <t>negativized</t>
  </si>
  <si>
    <t>v2 ind</t>
  </si>
  <si>
    <t>v2 in neg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</si>
</sst>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9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Aptos Narrow"/>
      <family val="2"/>
    </font>
    <font>
      <sz val="11"/>
      <color rgb="FFFFFFFF"/>
      <name val="Aptos Narrow"/>
      <family val="2"/>
    </font>
    <font>
      <sz val="11"/>
      <color rgb="FF9C0006"/>
      <name val="Aptos Narrow"/>
      <family val="2"/>
    </font>
    <font>
      <sz val="11"/>
      <color rgb="FF006100"/>
      <name val="Aptos Narrow"/>
      <family val="2"/>
    </font>
    <font>
      <sz val="11"/>
      <name val="Aptos Narrow"/>
      <family val="2"/>
    </font>
    <font>
      <b/>
      <sz val="9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0C769E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254061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Dashed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29">
    <xf numFmtId="0" fontId="0" fillId="0" borderId="0" xfId="0"/>
    <xf numFmtId="2" fontId="0" fillId="0" borderId="0" xfId="0" applyNumberFormat="1"/>
    <xf numFmtId="165" fontId="0" fillId="0" borderId="0" xfId="0" applyNumberFormat="1"/>
    <xf numFmtId="0" fontId="0" fillId="0" borderId="0" xfId="0" applyAlignment="1">
      <alignment vertical="center" wrapText="1"/>
    </xf>
    <xf numFmtId="0" fontId="3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165" fontId="3" fillId="5" borderId="5" xfId="0" applyNumberFormat="1" applyFont="1" applyFill="1" applyBorder="1" applyAlignment="1">
      <alignment horizontal="center" vertical="center"/>
    </xf>
    <xf numFmtId="165" fontId="3" fillId="5" borderId="6" xfId="0" applyNumberFormat="1" applyFont="1" applyFill="1" applyBorder="1" applyAlignment="1">
      <alignment horizontal="center" vertical="center"/>
    </xf>
    <xf numFmtId="165" fontId="5" fillId="5" borderId="6" xfId="2" applyNumberFormat="1" applyFont="1" applyFill="1" applyBorder="1" applyAlignment="1">
      <alignment horizontal="center" vertical="center"/>
    </xf>
    <xf numFmtId="165" fontId="6" fillId="5" borderId="6" xfId="1" applyNumberFormat="1" applyFont="1" applyFill="1" applyBorder="1" applyAlignment="1">
      <alignment horizontal="center" vertical="center"/>
    </xf>
    <xf numFmtId="165" fontId="6" fillId="5" borderId="7" xfId="1" applyNumberFormat="1" applyFont="1" applyFill="1" applyBorder="1" applyAlignment="1">
      <alignment horizontal="center" vertical="center"/>
    </xf>
    <xf numFmtId="165" fontId="3" fillId="5" borderId="8" xfId="0" applyNumberFormat="1" applyFont="1" applyFill="1" applyBorder="1" applyAlignment="1">
      <alignment horizontal="center" vertical="center"/>
    </xf>
    <xf numFmtId="165" fontId="6" fillId="5" borderId="0" xfId="1" applyNumberFormat="1" applyFont="1" applyFill="1" applyBorder="1" applyAlignment="1">
      <alignment horizontal="center" vertical="center"/>
    </xf>
    <xf numFmtId="165" fontId="5" fillId="5" borderId="0" xfId="2" applyNumberFormat="1" applyFont="1" applyFill="1" applyBorder="1" applyAlignment="1">
      <alignment horizontal="center" vertical="center"/>
    </xf>
    <xf numFmtId="165" fontId="6" fillId="5" borderId="9" xfId="1" applyNumberFormat="1" applyFont="1" applyFill="1" applyBorder="1" applyAlignment="1">
      <alignment horizontal="center" vertical="center"/>
    </xf>
    <xf numFmtId="165" fontId="3" fillId="5" borderId="0" xfId="0" applyNumberFormat="1" applyFont="1" applyFill="1" applyAlignment="1">
      <alignment horizontal="center" vertical="center"/>
    </xf>
    <xf numFmtId="165" fontId="7" fillId="5" borderId="9" xfId="2" applyNumberFormat="1" applyFont="1" applyFill="1" applyBorder="1" applyAlignment="1">
      <alignment horizontal="center" vertical="center"/>
    </xf>
    <xf numFmtId="165" fontId="5" fillId="5" borderId="9" xfId="2" applyNumberFormat="1" applyFont="1" applyFill="1" applyBorder="1" applyAlignment="1">
      <alignment horizontal="center" vertical="center"/>
    </xf>
    <xf numFmtId="165" fontId="3" fillId="5" borderId="9" xfId="0" applyNumberFormat="1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165" fontId="3" fillId="5" borderId="11" xfId="0" applyNumberFormat="1" applyFont="1" applyFill="1" applyBorder="1" applyAlignment="1">
      <alignment horizontal="center" vertical="center"/>
    </xf>
    <xf numFmtId="165" fontId="3" fillId="5" borderId="12" xfId="0" applyNumberFormat="1" applyFont="1" applyFill="1" applyBorder="1" applyAlignment="1">
      <alignment horizontal="center" vertical="center"/>
    </xf>
    <xf numFmtId="165" fontId="5" fillId="5" borderId="12" xfId="2" applyNumberFormat="1" applyFont="1" applyFill="1" applyBorder="1" applyAlignment="1">
      <alignment horizontal="center" vertical="center"/>
    </xf>
    <xf numFmtId="165" fontId="3" fillId="5" borderId="13" xfId="0" applyNumberFormat="1" applyFont="1" applyFill="1" applyBorder="1" applyAlignment="1">
      <alignment horizontal="center" vertical="center"/>
    </xf>
    <xf numFmtId="0" fontId="8" fillId="6" borderId="14" xfId="0" applyFont="1" applyFill="1" applyBorder="1" applyAlignment="1">
      <alignment horizontal="center" vertical="center" wrapText="1" readingOrder="1"/>
    </xf>
    <xf numFmtId="0" fontId="8" fillId="6" borderId="15" xfId="0" applyFont="1" applyFill="1" applyBorder="1" applyAlignment="1">
      <alignment horizontal="center" vertical="center" wrapText="1" readingOrder="1"/>
    </xf>
    <xf numFmtId="16" fontId="8" fillId="6" borderId="15" xfId="0" applyNumberFormat="1" applyFont="1" applyFill="1" applyBorder="1" applyAlignment="1">
      <alignment horizontal="center" vertical="center" wrapText="1" readingOrder="1"/>
    </xf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Sheet1!$B$33</c:f>
              <c:strCache>
                <c:ptCount val="1"/>
                <c:pt idx="0">
                  <c:v>v1 tc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Sheet1!$C$31:$U$31</c:f>
              <c:strCache>
                <c:ptCount val="19"/>
                <c:pt idx="0">
                  <c:v>2020 Q2</c:v>
                </c:pt>
                <c:pt idx="1">
                  <c:v>2020 Q3</c:v>
                </c:pt>
                <c:pt idx="2">
                  <c:v>2020 Q4</c:v>
                </c:pt>
                <c:pt idx="3">
                  <c:v>2021 Q1</c:v>
                </c:pt>
                <c:pt idx="4">
                  <c:v>2021 Q2</c:v>
                </c:pt>
                <c:pt idx="5">
                  <c:v>2021 Q3</c:v>
                </c:pt>
                <c:pt idx="6">
                  <c:v>2021 Q4</c:v>
                </c:pt>
                <c:pt idx="7">
                  <c:v>2022 Q1</c:v>
                </c:pt>
                <c:pt idx="8">
                  <c:v>2022 Q2</c:v>
                </c:pt>
                <c:pt idx="9">
                  <c:v>2022 Q3</c:v>
                </c:pt>
                <c:pt idx="10">
                  <c:v>2022 Q4</c:v>
                </c:pt>
                <c:pt idx="11">
                  <c:v>2023 Q1</c:v>
                </c:pt>
                <c:pt idx="12">
                  <c:v>2023 Q2</c:v>
                </c:pt>
                <c:pt idx="13">
                  <c:v>2023 Q3</c:v>
                </c:pt>
                <c:pt idx="14">
                  <c:v>2023 Q4</c:v>
                </c:pt>
                <c:pt idx="15">
                  <c:v>2024 Q1</c:v>
                </c:pt>
                <c:pt idx="16">
                  <c:v>2024 Q2</c:v>
                </c:pt>
                <c:pt idx="17">
                  <c:v>2024 Q3</c:v>
                </c:pt>
                <c:pt idx="18">
                  <c:v>2024 Q4</c:v>
                </c:pt>
              </c:strCache>
            </c:strRef>
          </c:cat>
          <c:val>
            <c:numRef>
              <c:f>Sheet1!$C$33:$U$33</c:f>
              <c:numCache>
                <c:formatCode>General</c:formatCode>
                <c:ptCount val="19"/>
                <c:pt idx="0">
                  <c:v>-134.04562713075589</c:v>
                </c:pt>
                <c:pt idx="1">
                  <c:v>-137.3903021290802</c:v>
                </c:pt>
                <c:pt idx="2">
                  <c:v>-149.21698628254717</c:v>
                </c:pt>
                <c:pt idx="3">
                  <c:v>-138.83901405527209</c:v>
                </c:pt>
                <c:pt idx="4">
                  <c:v>-143.9394569038069</c:v>
                </c:pt>
                <c:pt idx="5">
                  <c:v>-149.42993961585481</c:v>
                </c:pt>
                <c:pt idx="6">
                  <c:v>-140.03243926080913</c:v>
                </c:pt>
                <c:pt idx="7">
                  <c:v>-146.70257817569751</c:v>
                </c:pt>
                <c:pt idx="8">
                  <c:v>-135.09578689906292</c:v>
                </c:pt>
                <c:pt idx="9">
                  <c:v>-136.80568869518089</c:v>
                </c:pt>
                <c:pt idx="10">
                  <c:v>-133.27084530829561</c:v>
                </c:pt>
                <c:pt idx="11">
                  <c:v>-134.1560094135786</c:v>
                </c:pt>
                <c:pt idx="12">
                  <c:v>-139.66176725015802</c:v>
                </c:pt>
                <c:pt idx="13">
                  <c:v>-136.97160019869099</c:v>
                </c:pt>
                <c:pt idx="14">
                  <c:v>-134.81354323638251</c:v>
                </c:pt>
                <c:pt idx="15">
                  <c:v>-135.8946624399625</c:v>
                </c:pt>
                <c:pt idx="16">
                  <c:v>-139.35608570420919</c:v>
                </c:pt>
                <c:pt idx="17">
                  <c:v>-141.87034569507821</c:v>
                </c:pt>
                <c:pt idx="18">
                  <c:v>-143.12363533340741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3F-4B54-9E46-605244CBB495}"/>
            </c:ext>
          </c:extLst>
        </c:ser>
        <c:ser>
          <c:idx val="2"/>
          <c:order val="2"/>
          <c:tx>
            <c:strRef>
              <c:f>Sheet1!$B$35</c:f>
              <c:strCache>
                <c:ptCount val="1"/>
                <c:pt idx="0">
                  <c:v>v2 in neg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Sheet1!$C$31:$U$31</c:f>
              <c:strCache>
                <c:ptCount val="19"/>
                <c:pt idx="0">
                  <c:v>2020 Q2</c:v>
                </c:pt>
                <c:pt idx="1">
                  <c:v>2020 Q3</c:v>
                </c:pt>
                <c:pt idx="2">
                  <c:v>2020 Q4</c:v>
                </c:pt>
                <c:pt idx="3">
                  <c:v>2021 Q1</c:v>
                </c:pt>
                <c:pt idx="4">
                  <c:v>2021 Q2</c:v>
                </c:pt>
                <c:pt idx="5">
                  <c:v>2021 Q3</c:v>
                </c:pt>
                <c:pt idx="6">
                  <c:v>2021 Q4</c:v>
                </c:pt>
                <c:pt idx="7">
                  <c:v>2022 Q1</c:v>
                </c:pt>
                <c:pt idx="8">
                  <c:v>2022 Q2</c:v>
                </c:pt>
                <c:pt idx="9">
                  <c:v>2022 Q3</c:v>
                </c:pt>
                <c:pt idx="10">
                  <c:v>2022 Q4</c:v>
                </c:pt>
                <c:pt idx="11">
                  <c:v>2023 Q1</c:v>
                </c:pt>
                <c:pt idx="12">
                  <c:v>2023 Q2</c:v>
                </c:pt>
                <c:pt idx="13">
                  <c:v>2023 Q3</c:v>
                </c:pt>
                <c:pt idx="14">
                  <c:v>2023 Q4</c:v>
                </c:pt>
                <c:pt idx="15">
                  <c:v>2024 Q1</c:v>
                </c:pt>
                <c:pt idx="16">
                  <c:v>2024 Q2</c:v>
                </c:pt>
                <c:pt idx="17">
                  <c:v>2024 Q3</c:v>
                </c:pt>
                <c:pt idx="18">
                  <c:v>2024 Q4</c:v>
                </c:pt>
              </c:strCache>
            </c:strRef>
          </c:cat>
          <c:val>
            <c:numRef>
              <c:f>Sheet1!$C$35:$U$35</c:f>
              <c:numCache>
                <c:formatCode>General</c:formatCode>
                <c:ptCount val="19"/>
                <c:pt idx="0">
                  <c:v>-146.71135015704499</c:v>
                </c:pt>
                <c:pt idx="1">
                  <c:v>-145.3775566462713</c:v>
                </c:pt>
                <c:pt idx="2">
                  <c:v>-155.50471106332918</c:v>
                </c:pt>
                <c:pt idx="3">
                  <c:v>-148.17850798490281</c:v>
                </c:pt>
                <c:pt idx="4">
                  <c:v>-151.65050255674001</c:v>
                </c:pt>
                <c:pt idx="5">
                  <c:v>-159.20510192420679</c:v>
                </c:pt>
                <c:pt idx="6">
                  <c:v>-150.8217209546365</c:v>
                </c:pt>
                <c:pt idx="7">
                  <c:v>-158.98012062121626</c:v>
                </c:pt>
                <c:pt idx="8">
                  <c:v>-147.93005337233552</c:v>
                </c:pt>
                <c:pt idx="9">
                  <c:v>-151.11994701650559</c:v>
                </c:pt>
                <c:pt idx="10">
                  <c:v>-147.09859625392468</c:v>
                </c:pt>
                <c:pt idx="11">
                  <c:v>-148.83147220908151</c:v>
                </c:pt>
                <c:pt idx="12">
                  <c:v>-152.7406467958269</c:v>
                </c:pt>
                <c:pt idx="13">
                  <c:v>-148.74553569939232</c:v>
                </c:pt>
                <c:pt idx="14">
                  <c:v>-146.58328581936939</c:v>
                </c:pt>
                <c:pt idx="15">
                  <c:v>-148.83477524887149</c:v>
                </c:pt>
                <c:pt idx="16">
                  <c:v>-149.69815555513719</c:v>
                </c:pt>
                <c:pt idx="17">
                  <c:v>-148.82764409718692</c:v>
                </c:pt>
                <c:pt idx="18">
                  <c:v>-151.50128651223662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B3F-4B54-9E46-605244CBB4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4734064"/>
        <c:axId val="924735504"/>
      </c:lineChart>
      <c:lineChart>
        <c:grouping val="standard"/>
        <c:varyColors val="0"/>
        <c:ser>
          <c:idx val="1"/>
          <c:order val="1"/>
          <c:tx>
            <c:strRef>
              <c:f>Sheet1!$B$34</c:f>
              <c:strCache>
                <c:ptCount val="1"/>
                <c:pt idx="0">
                  <c:v>cnl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Sheet1!$C$31:$U$31</c:f>
              <c:strCache>
                <c:ptCount val="19"/>
                <c:pt idx="0">
                  <c:v>2020 Q2</c:v>
                </c:pt>
                <c:pt idx="1">
                  <c:v>2020 Q3</c:v>
                </c:pt>
                <c:pt idx="2">
                  <c:v>2020 Q4</c:v>
                </c:pt>
                <c:pt idx="3">
                  <c:v>2021 Q1</c:v>
                </c:pt>
                <c:pt idx="4">
                  <c:v>2021 Q2</c:v>
                </c:pt>
                <c:pt idx="5">
                  <c:v>2021 Q3</c:v>
                </c:pt>
                <c:pt idx="6">
                  <c:v>2021 Q4</c:v>
                </c:pt>
                <c:pt idx="7">
                  <c:v>2022 Q1</c:v>
                </c:pt>
                <c:pt idx="8">
                  <c:v>2022 Q2</c:v>
                </c:pt>
                <c:pt idx="9">
                  <c:v>2022 Q3</c:v>
                </c:pt>
                <c:pt idx="10">
                  <c:v>2022 Q4</c:v>
                </c:pt>
                <c:pt idx="11">
                  <c:v>2023 Q1</c:v>
                </c:pt>
                <c:pt idx="12">
                  <c:v>2023 Q2</c:v>
                </c:pt>
                <c:pt idx="13">
                  <c:v>2023 Q3</c:v>
                </c:pt>
                <c:pt idx="14">
                  <c:v>2023 Q4</c:v>
                </c:pt>
                <c:pt idx="15">
                  <c:v>2024 Q1</c:v>
                </c:pt>
                <c:pt idx="16">
                  <c:v>2024 Q2</c:v>
                </c:pt>
                <c:pt idx="17">
                  <c:v>2024 Q3</c:v>
                </c:pt>
                <c:pt idx="18">
                  <c:v>2024 Q4</c:v>
                </c:pt>
              </c:strCache>
            </c:strRef>
          </c:cat>
          <c:val>
            <c:numRef>
              <c:f>Sheet1!$C$34:$U$34</c:f>
              <c:numCache>
                <c:formatCode>General</c:formatCode>
                <c:ptCount val="19"/>
                <c:pt idx="0">
                  <c:v>0.20316799999999999</c:v>
                </c:pt>
                <c:pt idx="1">
                  <c:v>0.197605</c:v>
                </c:pt>
                <c:pt idx="2">
                  <c:v>0.189164</c:v>
                </c:pt>
                <c:pt idx="3">
                  <c:v>0.23125200000000001</c:v>
                </c:pt>
                <c:pt idx="4">
                  <c:v>0.22098499999999999</c:v>
                </c:pt>
                <c:pt idx="5">
                  <c:v>0.25409700000000002</c:v>
                </c:pt>
                <c:pt idx="6">
                  <c:v>0.27640900000000002</c:v>
                </c:pt>
                <c:pt idx="7">
                  <c:v>0.32262200000000002</c:v>
                </c:pt>
                <c:pt idx="8">
                  <c:v>0.330181</c:v>
                </c:pt>
                <c:pt idx="9">
                  <c:v>0.30524000000000001</c:v>
                </c:pt>
                <c:pt idx="10">
                  <c:v>0.28538599999999997</c:v>
                </c:pt>
                <c:pt idx="11">
                  <c:v>0.28809299999999999</c:v>
                </c:pt>
                <c:pt idx="12">
                  <c:v>0.25897700000000001</c:v>
                </c:pt>
                <c:pt idx="13">
                  <c:v>0.24296200000000001</c:v>
                </c:pt>
                <c:pt idx="14">
                  <c:v>0.21248400000000001</c:v>
                </c:pt>
                <c:pt idx="15">
                  <c:v>0.19005</c:v>
                </c:pt>
                <c:pt idx="16">
                  <c:v>0.154335</c:v>
                </c:pt>
                <c:pt idx="17">
                  <c:v>0.11640300000000001</c:v>
                </c:pt>
                <c:pt idx="18">
                  <c:v>0.104768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3F-4B54-9E46-605244CBB4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25352272"/>
        <c:axId val="1825354192"/>
      </c:lineChart>
      <c:catAx>
        <c:axId val="924734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735504"/>
        <c:auto val="1"/>
        <c:lblAlgn val="ctr"/>
        <c:lblOffset val="100"/>
        <c:noMultiLvlLbl val="0"/>
      </c:catAx>
      <c:valAx>
        <c:axId val="924735504"/>
        <c:scaling>
          <c:orientation val="minMax"/>
          <c:max val="-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734064"/>
        <c:crossBetween val="between"/>
      </c:valAx>
      <c:valAx>
        <c:axId val="182535419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5352272"/>
        <c:crosses val="max"/>
        <c:crossBetween val="between"/>
      </c:valAx>
      <c:catAx>
        <c:axId val="18253522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25354192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436562</xdr:colOff>
      <xdr:row>35</xdr:row>
      <xdr:rowOff>76992</xdr:rowOff>
    </xdr:from>
    <xdr:to>
      <xdr:col>15</xdr:col>
      <xdr:colOff>663773</xdr:colOff>
      <xdr:row>62</xdr:row>
      <xdr:rowOff>119061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31521B6-79BE-454C-B77F-9B5217B047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8"/>
  <sheetViews>
    <sheetView topLeftCell="A5" zoomScale="175" zoomScaleNormal="175" workbookViewId="0">
      <pane xSplit="1" topLeftCell="G1" activePane="topRight" state="frozen"/>
      <selection activeCell="J48" sqref="J48"/>
      <selection pane="topRight" activeCell="J48" sqref="J48"/>
    </sheetView>
  </sheetViews>
  <sheetFormatPr defaultRowHeight="14.5" x14ac:dyDescent="0.35"/>
  <cols>
    <col min="1" max="1" width="24" bestFit="1" customWidth="1"/>
  </cols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5">
      <c r="A2" t="s">
        <v>28</v>
      </c>
      <c r="B2">
        <v>131.77211355658079</v>
      </c>
      <c r="C2">
        <v>133.6762745166736</v>
      </c>
      <c r="D2">
        <v>135.30849007606591</v>
      </c>
      <c r="E2">
        <v>135.8053435104764</v>
      </c>
      <c r="F2">
        <v>134.5779548085435</v>
      </c>
      <c r="G2">
        <v>135.17083101332781</v>
      </c>
      <c r="H2">
        <v>135.36133606994619</v>
      </c>
      <c r="I2">
        <v>134.4036045995351</v>
      </c>
      <c r="J2">
        <v>134.09620938166361</v>
      </c>
      <c r="K2">
        <v>135.85072691788909</v>
      </c>
      <c r="L2">
        <v>136.13007717311399</v>
      </c>
      <c r="M2">
        <v>136.74340071107011</v>
      </c>
      <c r="N2">
        <v>136.6539223916246</v>
      </c>
      <c r="O2">
        <v>136.84109925674059</v>
      </c>
      <c r="P2">
        <v>136.41646386522669</v>
      </c>
      <c r="Q2">
        <v>137.0002354426118</v>
      </c>
      <c r="R2">
        <v>136.35420553748409</v>
      </c>
      <c r="S2">
        <v>137.11731341219601</v>
      </c>
      <c r="T2">
        <v>138.05869277886561</v>
      </c>
      <c r="U2">
        <v>136.78342021347899</v>
      </c>
      <c r="V2">
        <v>136.76661070065819</v>
      </c>
      <c r="W2">
        <v>137.97459986624801</v>
      </c>
      <c r="X2">
        <v>138.5137279255751</v>
      </c>
      <c r="Y2">
        <v>139.3486693985632</v>
      </c>
      <c r="Z2">
        <v>140.24932411810539</v>
      </c>
      <c r="AA2">
        <v>140.8854187941605</v>
      </c>
    </row>
    <row r="3" spans="1:27" x14ac:dyDescent="0.35">
      <c r="A3" t="s">
        <v>29</v>
      </c>
      <c r="B3">
        <v>1.4840958593384079</v>
      </c>
      <c r="C3">
        <v>1.267922561720078</v>
      </c>
      <c r="D3">
        <v>0.53468596625257614</v>
      </c>
      <c r="E3">
        <v>0.92517236301380734</v>
      </c>
      <c r="F3">
        <v>1.2307585040360181</v>
      </c>
      <c r="G3">
        <v>1.2486165620806431</v>
      </c>
      <c r="H3">
        <v>1.0226671251583721</v>
      </c>
      <c r="I3">
        <v>0.79731677210943708</v>
      </c>
      <c r="J3">
        <v>1.1968490763463751</v>
      </c>
      <c r="K3">
        <v>1.060375819979626</v>
      </c>
      <c r="L3">
        <v>1.088992408942971</v>
      </c>
      <c r="M3">
        <v>1.0036011430330189</v>
      </c>
      <c r="N3">
        <v>0.62702943644011333</v>
      </c>
      <c r="O3">
        <v>0.97065617430432216</v>
      </c>
      <c r="P3">
        <v>0.57171539683990669</v>
      </c>
      <c r="Q3">
        <v>0.64209199045621501</v>
      </c>
      <c r="R3">
        <v>0.49144859055139178</v>
      </c>
      <c r="S3">
        <v>0.93556479921879865</v>
      </c>
      <c r="T3">
        <v>0.74310503124294358</v>
      </c>
      <c r="U3">
        <v>0.90992840516455109</v>
      </c>
      <c r="V3">
        <v>1.1750065653284469</v>
      </c>
      <c r="W3">
        <v>1.9592003783787111</v>
      </c>
      <c r="X3">
        <v>2.2475826358102502</v>
      </c>
      <c r="Y3">
        <v>2.1432334558250612</v>
      </c>
      <c r="Z3">
        <v>2.1057456568190829</v>
      </c>
      <c r="AA3">
        <v>2.3196795681935791</v>
      </c>
    </row>
    <row r="4" spans="1:27" x14ac:dyDescent="0.35">
      <c r="A4" t="s">
        <v>30</v>
      </c>
      <c r="B4">
        <v>-0.35756568025982183</v>
      </c>
      <c r="C4">
        <v>-0.65368833405236715</v>
      </c>
      <c r="D4">
        <v>-0.1231934392684557</v>
      </c>
      <c r="E4">
        <v>0.42406699195018499</v>
      </c>
      <c r="F4">
        <v>0.33107331929616951</v>
      </c>
      <c r="G4">
        <v>0.21255119440231571</v>
      </c>
      <c r="H4">
        <v>3.4303219634163523E-2</v>
      </c>
      <c r="I4">
        <v>-0.51187230793394067</v>
      </c>
      <c r="J4">
        <v>-1.0976772434941331</v>
      </c>
      <c r="K4">
        <v>-1.034946658655876</v>
      </c>
      <c r="L4">
        <v>-1.366704346848165</v>
      </c>
      <c r="M4">
        <v>-0.87650758431517384</v>
      </c>
      <c r="N4">
        <v>-0.95557077210880315</v>
      </c>
      <c r="O4">
        <v>-0.81263424901924886</v>
      </c>
      <c r="P4">
        <v>-0.78768916756476592</v>
      </c>
      <c r="Q4">
        <v>-0.72825319000664734</v>
      </c>
      <c r="R4">
        <v>-0.51552372240689748</v>
      </c>
      <c r="S4">
        <v>-0.1547473267480648</v>
      </c>
      <c r="T4">
        <v>0.41238457612737572</v>
      </c>
      <c r="U4">
        <v>0.77417846448938599</v>
      </c>
      <c r="V4">
        <v>0.49373141568599921</v>
      </c>
      <c r="W4">
        <v>0.80597657404039436</v>
      </c>
      <c r="X4">
        <v>1.407685159780075</v>
      </c>
      <c r="Y4">
        <v>1.409150613191047</v>
      </c>
      <c r="Z4">
        <v>1.027224011398566</v>
      </c>
      <c r="AA4">
        <v>1.4541884137574399</v>
      </c>
    </row>
    <row r="5" spans="1:27" x14ac:dyDescent="0.35">
      <c r="A5" t="s">
        <v>31</v>
      </c>
      <c r="B5">
        <v>0.67431506124701168</v>
      </c>
      <c r="C5">
        <v>5.7341386820032307E-2</v>
      </c>
      <c r="D5">
        <v>4.8365640247196273</v>
      </c>
      <c r="E5">
        <v>4.6777559752295197</v>
      </c>
      <c r="F5">
        <v>4.2089477749480482</v>
      </c>
      <c r="G5">
        <v>7.1832313948059046</v>
      </c>
      <c r="H5">
        <v>5.9609223515838723</v>
      </c>
      <c r="I5">
        <v>6.317885593534557</v>
      </c>
      <c r="J5">
        <v>5.6490598490480908</v>
      </c>
      <c r="K5">
        <v>4.1094436494237492</v>
      </c>
      <c r="L5">
        <v>3.2445285607370362</v>
      </c>
      <c r="M5">
        <v>2.1090092426910432</v>
      </c>
      <c r="N5">
        <v>1.9460292929063741</v>
      </c>
      <c r="O5">
        <v>3.863044563005162</v>
      </c>
      <c r="P5">
        <v>4.5759548467858364</v>
      </c>
      <c r="Q5">
        <v>3.9130198831629301</v>
      </c>
      <c r="R5">
        <v>3.498656709699258</v>
      </c>
      <c r="S5">
        <v>4.2390472135839063</v>
      </c>
      <c r="T5">
        <v>5.8488382711039231</v>
      </c>
      <c r="U5">
        <v>5.4562276692597766</v>
      </c>
      <c r="V5">
        <v>5.5964026313448691</v>
      </c>
      <c r="W5">
        <v>6.3758145072662806</v>
      </c>
      <c r="X5">
        <v>6.2110158836655964</v>
      </c>
      <c r="Y5">
        <v>6.6015842143093231</v>
      </c>
      <c r="Z5">
        <v>6.5479636317617214</v>
      </c>
      <c r="AA5">
        <v>6.5223157254772843</v>
      </c>
    </row>
    <row r="6" spans="1:27" x14ac:dyDescent="0.35">
      <c r="A6" t="s">
        <v>32</v>
      </c>
      <c r="B6">
        <v>0.47333095837268191</v>
      </c>
      <c r="C6">
        <v>6.3377313511683298E-2</v>
      </c>
      <c r="D6">
        <v>0.29617364451711792</v>
      </c>
      <c r="E6">
        <v>0.69586873282575035</v>
      </c>
      <c r="F6">
        <v>0.13670022738521359</v>
      </c>
      <c r="G6">
        <v>0.26152504384858061</v>
      </c>
      <c r="H6">
        <v>0.12921691083576989</v>
      </c>
      <c r="I6">
        <v>0.11137705281344</v>
      </c>
      <c r="J6">
        <v>-0.1075813757988664</v>
      </c>
      <c r="K6">
        <v>-0.2976786697526268</v>
      </c>
      <c r="L6">
        <v>-0.32121921347240012</v>
      </c>
      <c r="M6">
        <v>-0.48251858349165172</v>
      </c>
      <c r="N6">
        <v>-0.58558098750106813</v>
      </c>
      <c r="O6">
        <v>-0.75177024485248711</v>
      </c>
      <c r="P6">
        <v>-0.52828294709873602</v>
      </c>
      <c r="Q6">
        <v>-0.49177153560571502</v>
      </c>
      <c r="R6">
        <v>-0.56642760562977124</v>
      </c>
      <c r="S6">
        <v>-0.19528931370500319</v>
      </c>
      <c r="T6">
        <v>-0.16251158653199199</v>
      </c>
      <c r="U6">
        <v>-2.933251980144324E-2</v>
      </c>
      <c r="V6">
        <v>-8.2751650696488155E-2</v>
      </c>
      <c r="W6">
        <v>0.38355274174424581</v>
      </c>
      <c r="X6">
        <v>0.69830467506577676</v>
      </c>
      <c r="Y6">
        <v>0.54774548156698211</v>
      </c>
      <c r="Z6">
        <v>0.56389542057425213</v>
      </c>
      <c r="AA6">
        <v>1.255405692039919</v>
      </c>
    </row>
    <row r="7" spans="1:27" x14ac:dyDescent="0.35">
      <c r="A7" t="s">
        <v>33</v>
      </c>
      <c r="B7">
        <v>134.0462897552791</v>
      </c>
      <c r="C7">
        <v>134.41122744467299</v>
      </c>
      <c r="D7">
        <v>140.8527202722868</v>
      </c>
      <c r="E7">
        <v>142.52820757349571</v>
      </c>
      <c r="F7">
        <v>140.4854346342089</v>
      </c>
      <c r="G7">
        <v>144.07675520846519</v>
      </c>
      <c r="H7">
        <v>142.50844567715839</v>
      </c>
      <c r="I7">
        <v>141.11831171005861</v>
      </c>
      <c r="J7">
        <v>139.7368596877651</v>
      </c>
      <c r="K7">
        <v>139.687921058884</v>
      </c>
      <c r="L7">
        <v>138.77567458247341</v>
      </c>
      <c r="M7">
        <v>138.4969849289873</v>
      </c>
      <c r="N7">
        <v>137.68582936136119</v>
      </c>
      <c r="O7">
        <v>140.1103955001783</v>
      </c>
      <c r="P7">
        <v>140.24816199418891</v>
      </c>
      <c r="Q7">
        <v>140.33532259061849</v>
      </c>
      <c r="R7">
        <v>139.26235950969809</v>
      </c>
      <c r="S7">
        <v>141.94188878454571</v>
      </c>
      <c r="T7">
        <v>144.90050907080791</v>
      </c>
      <c r="U7">
        <v>143.8944222325913</v>
      </c>
      <c r="V7">
        <v>143.948999662321</v>
      </c>
      <c r="W7">
        <v>147.49914406767761</v>
      </c>
      <c r="X7">
        <v>149.0783162798968</v>
      </c>
      <c r="Y7">
        <v>150.05038316345559</v>
      </c>
      <c r="Z7">
        <v>150.49415283865909</v>
      </c>
      <c r="AA7">
        <v>152.43700819362871</v>
      </c>
    </row>
    <row r="8" spans="1:27" x14ac:dyDescent="0.35">
      <c r="A8" t="s">
        <v>34</v>
      </c>
      <c r="B8">
        <v>31797937.350000001</v>
      </c>
      <c r="C8">
        <v>27612207.640000001</v>
      </c>
      <c r="D8">
        <v>26569128.219999999</v>
      </c>
      <c r="E8">
        <v>21679798.52</v>
      </c>
      <c r="F8">
        <v>32524269.559999999</v>
      </c>
      <c r="G8">
        <v>39059646.340000004</v>
      </c>
      <c r="H8">
        <v>26348526.710000001</v>
      </c>
      <c r="I8">
        <v>22882908.050000001</v>
      </c>
      <c r="J8">
        <v>23446222.73</v>
      </c>
      <c r="K8">
        <v>23566095.23</v>
      </c>
      <c r="L8">
        <v>23560778.010000002</v>
      </c>
      <c r="M8">
        <v>16063038.4</v>
      </c>
      <c r="N8">
        <v>16364531.1</v>
      </c>
      <c r="O8">
        <v>16415283.970000001</v>
      </c>
      <c r="P8">
        <v>23326695.73</v>
      </c>
      <c r="Q8">
        <v>26852698.510000002</v>
      </c>
      <c r="R8">
        <v>44995860.93</v>
      </c>
      <c r="S8">
        <v>43523760.859999999</v>
      </c>
      <c r="T8">
        <v>30743891.629999999</v>
      </c>
      <c r="U8">
        <v>32026192.280000001</v>
      </c>
      <c r="V8">
        <v>55584010.539999999</v>
      </c>
      <c r="W8">
        <v>57771507.060000002</v>
      </c>
      <c r="X8">
        <v>51238052.810000002</v>
      </c>
      <c r="Y8">
        <v>39321771.869999997</v>
      </c>
      <c r="Z8">
        <v>51612471.109999999</v>
      </c>
      <c r="AA8">
        <v>59391935.119999997</v>
      </c>
    </row>
    <row r="9" spans="1:27" x14ac:dyDescent="0.35">
      <c r="A9" t="s">
        <v>35</v>
      </c>
      <c r="B9">
        <v>1.90033440816194</v>
      </c>
      <c r="C9">
        <v>1.93662697724588</v>
      </c>
      <c r="D9">
        <v>1.6554962338400221</v>
      </c>
      <c r="E9">
        <v>1.664837883810028</v>
      </c>
      <c r="F9">
        <v>1.6924148367677621</v>
      </c>
      <c r="G9">
        <v>1.517456976776123</v>
      </c>
      <c r="H9">
        <v>1.58935750873036</v>
      </c>
      <c r="I9">
        <v>1.568359670968555</v>
      </c>
      <c r="J9">
        <v>1.6077023618207</v>
      </c>
      <c r="K9">
        <v>1.6982680206221319</v>
      </c>
      <c r="L9">
        <v>1.7491453787801741</v>
      </c>
      <c r="M9">
        <v>1.81594063278288</v>
      </c>
      <c r="N9">
        <v>1.825527688652566</v>
      </c>
      <c r="O9">
        <v>1.7127620845291081</v>
      </c>
      <c r="P9">
        <v>1.6708261854831861</v>
      </c>
      <c r="Q9">
        <v>1.709822359813945</v>
      </c>
      <c r="R9">
        <v>1.7341966641353379</v>
      </c>
      <c r="S9">
        <v>1.690644281553888</v>
      </c>
      <c r="T9">
        <v>1.5959506899350631</v>
      </c>
      <c r="U9">
        <v>1.6190454312200131</v>
      </c>
      <c r="V9">
        <v>1.6107998452150081</v>
      </c>
      <c r="W9">
        <v>1.564952087807866</v>
      </c>
      <c r="X9">
        <v>1.574646124490259</v>
      </c>
      <c r="Y9">
        <v>1.5516715168053341</v>
      </c>
      <c r="Z9">
        <v>1.5548256687198989</v>
      </c>
      <c r="AA9">
        <v>1.556334369089571</v>
      </c>
    </row>
    <row r="10" spans="1:27" x14ac:dyDescent="0.35">
      <c r="A10" t="s">
        <v>36</v>
      </c>
      <c r="B10">
        <v>0.24323812916610449</v>
      </c>
      <c r="C10">
        <v>0.24909460980697601</v>
      </c>
      <c r="D10">
        <v>0.24576894793546969</v>
      </c>
      <c r="E10">
        <v>0.24005901810248931</v>
      </c>
      <c r="F10">
        <v>0.24804713960878269</v>
      </c>
      <c r="G10">
        <v>0.24626392794502031</v>
      </c>
      <c r="H10">
        <v>0.2481540441309176</v>
      </c>
      <c r="I10">
        <v>0.24840889924552231</v>
      </c>
      <c r="J10">
        <v>0.25153687679712672</v>
      </c>
      <c r="K10">
        <v>0.25425255242503753</v>
      </c>
      <c r="L10">
        <v>0.25458884590674857</v>
      </c>
      <c r="M10">
        <v>0.25689312262130931</v>
      </c>
      <c r="N10">
        <v>0.25836544267858669</v>
      </c>
      <c r="O10">
        <v>0.2607395749264641</v>
      </c>
      <c r="P10">
        <v>0.25754689924426771</v>
      </c>
      <c r="Q10">
        <v>0.25702530765151022</v>
      </c>
      <c r="R10">
        <v>0.25809182293756822</v>
      </c>
      <c r="S10">
        <v>0.2527898473386429</v>
      </c>
      <c r="T10">
        <v>0.25232159409331423</v>
      </c>
      <c r="U10">
        <v>0.25041903599716347</v>
      </c>
      <c r="V10">
        <v>0.25118216643852131</v>
      </c>
      <c r="W10">
        <v>0.24452067511793929</v>
      </c>
      <c r="X10">
        <v>0.24002421892763179</v>
      </c>
      <c r="Y10">
        <v>0.24217506454904311</v>
      </c>
      <c r="Z10">
        <v>0.24194435113465351</v>
      </c>
      <c r="AA10">
        <v>0.2320656329708583</v>
      </c>
    </row>
    <row r="12" spans="1:27" x14ac:dyDescent="0.35">
      <c r="A12" t="s">
        <v>37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t="s">
        <v>7</v>
      </c>
      <c r="I12" t="s">
        <v>8</v>
      </c>
      <c r="J12" t="s">
        <v>9</v>
      </c>
      <c r="K12" t="s">
        <v>10</v>
      </c>
      <c r="L12" t="s">
        <v>11</v>
      </c>
      <c r="M12" t="s">
        <v>12</v>
      </c>
      <c r="N12" t="s">
        <v>13</v>
      </c>
      <c r="O12" t="s">
        <v>14</v>
      </c>
      <c r="P12" t="s">
        <v>15</v>
      </c>
      <c r="Q12" t="s">
        <v>16</v>
      </c>
      <c r="R12" t="s">
        <v>17</v>
      </c>
      <c r="S12" t="s">
        <v>18</v>
      </c>
      <c r="T12" t="s">
        <v>19</v>
      </c>
      <c r="U12" t="s">
        <v>20</v>
      </c>
      <c r="V12" t="s">
        <v>21</v>
      </c>
      <c r="W12" t="s">
        <v>22</v>
      </c>
      <c r="X12" t="s">
        <v>23</v>
      </c>
      <c r="Y12" t="s">
        <v>24</v>
      </c>
      <c r="Z12" t="s">
        <v>25</v>
      </c>
      <c r="AA12" t="s">
        <v>26</v>
      </c>
    </row>
    <row r="13" spans="1:27" x14ac:dyDescent="0.35">
      <c r="A13" t="s">
        <v>28</v>
      </c>
      <c r="B13">
        <v>131.02374056102511</v>
      </c>
      <c r="C13">
        <v>132.8617911649242</v>
      </c>
      <c r="D13">
        <v>133.9770238880532</v>
      </c>
      <c r="E13">
        <v>132.88551358739431</v>
      </c>
      <c r="F13">
        <v>135.44222542653091</v>
      </c>
      <c r="G13">
        <v>135.14214550215371</v>
      </c>
      <c r="H13">
        <v>134.9174650654553</v>
      </c>
      <c r="I13">
        <v>132.88314373931999</v>
      </c>
      <c r="J13">
        <v>134.0458546506193</v>
      </c>
      <c r="K13">
        <v>136.6950372810056</v>
      </c>
      <c r="L13">
        <v>137.8900692946446</v>
      </c>
      <c r="M13">
        <v>139.67200216083279</v>
      </c>
      <c r="N13">
        <v>141.24218744766199</v>
      </c>
      <c r="O13">
        <v>140.53478907220429</v>
      </c>
      <c r="P13">
        <v>140.6901144550194</v>
      </c>
      <c r="Q13">
        <v>138.93060381512291</v>
      </c>
      <c r="R13">
        <v>138.077915992643</v>
      </c>
      <c r="S13">
        <v>140.13019299246139</v>
      </c>
      <c r="T13">
        <v>141.48693992933181</v>
      </c>
      <c r="U13">
        <v>139.87967032459511</v>
      </c>
      <c r="V13">
        <v>139.75792256188049</v>
      </c>
      <c r="W13">
        <v>140.54572163897851</v>
      </c>
      <c r="X13">
        <v>140.88101945499341</v>
      </c>
      <c r="Y13">
        <v>141.7057413869658</v>
      </c>
      <c r="Z13">
        <v>142.76907461715399</v>
      </c>
      <c r="AA13">
        <v>143.053082099401</v>
      </c>
    </row>
    <row r="14" spans="1:27" x14ac:dyDescent="0.35">
      <c r="A14" t="s">
        <v>29</v>
      </c>
      <c r="B14">
        <v>1.396013540258439</v>
      </c>
      <c r="C14">
        <v>1.4821152634136761</v>
      </c>
      <c r="D14">
        <v>0.51069357942338345</v>
      </c>
      <c r="E14">
        <v>-1.918049129292429E-2</v>
      </c>
      <c r="F14">
        <v>0.46511570885145831</v>
      </c>
      <c r="G14">
        <v>0.80481396574668407</v>
      </c>
      <c r="H14">
        <v>0.4216926118537398</v>
      </c>
      <c r="I14">
        <v>-0.73739343921139822</v>
      </c>
      <c r="J14">
        <v>-0.64405325731915286</v>
      </c>
      <c r="K14">
        <v>0.46183843987448958</v>
      </c>
      <c r="L14">
        <v>0.3724838296003104</v>
      </c>
      <c r="M14">
        <v>0.18917098681853139</v>
      </c>
      <c r="N14">
        <v>0.55341319090859997</v>
      </c>
      <c r="O14">
        <v>1.024068228246549</v>
      </c>
      <c r="P14">
        <v>1.016960349121008</v>
      </c>
      <c r="Q14">
        <v>0.62583952156680223</v>
      </c>
      <c r="R14">
        <v>-0.24634775745153439</v>
      </c>
      <c r="S14">
        <v>0.1738269442663341</v>
      </c>
      <c r="T14">
        <v>0.43155026459945178</v>
      </c>
      <c r="U14">
        <v>0.30556791063731081</v>
      </c>
      <c r="V14">
        <v>0.39551614267260532</v>
      </c>
      <c r="W14">
        <v>0.85170802423086944</v>
      </c>
      <c r="X14">
        <v>1.1723146319766911</v>
      </c>
      <c r="Y14">
        <v>1.7882392073521971</v>
      </c>
      <c r="Z14">
        <v>1.6019939735209681</v>
      </c>
      <c r="AA14">
        <v>1.7391497107360401</v>
      </c>
    </row>
    <row r="15" spans="1:27" x14ac:dyDescent="0.35">
      <c r="A15" t="s">
        <v>30</v>
      </c>
      <c r="B15">
        <v>-0.15503258323353569</v>
      </c>
      <c r="C15">
        <v>4.0304734611790141E-2</v>
      </c>
      <c r="D15">
        <v>4.4693653050693151E-2</v>
      </c>
      <c r="E15">
        <v>0.72614978852172363</v>
      </c>
      <c r="F15">
        <v>0.48543498274017299</v>
      </c>
      <c r="G15">
        <v>0.31029604043243042</v>
      </c>
      <c r="H15">
        <v>0.1285655783069275</v>
      </c>
      <c r="I15">
        <v>-0.56343492623391112</v>
      </c>
      <c r="J15">
        <v>-1.099123183966485</v>
      </c>
      <c r="K15">
        <v>-0.92981529596121804</v>
      </c>
      <c r="L15">
        <v>-0.91887476455800099</v>
      </c>
      <c r="M15">
        <v>-0.70726966683369263</v>
      </c>
      <c r="N15">
        <v>-0.78223473960025591</v>
      </c>
      <c r="O15">
        <v>-0.55941728962627646</v>
      </c>
      <c r="P15">
        <v>-0.57850179815448366</v>
      </c>
      <c r="Q15">
        <v>-0.6976731062631063</v>
      </c>
      <c r="R15">
        <v>-0.82341698705235022</v>
      </c>
      <c r="S15">
        <v>-0.46318876290733102</v>
      </c>
      <c r="T15">
        <v>-0.12464559787925331</v>
      </c>
      <c r="U15">
        <v>0.65334474184008107</v>
      </c>
      <c r="V15">
        <v>0.73281366514378554</v>
      </c>
      <c r="W15">
        <v>0.82322895841985422</v>
      </c>
      <c r="X15">
        <v>1.115988368358654</v>
      </c>
      <c r="Y15">
        <v>1.613235529662346</v>
      </c>
      <c r="Z15">
        <v>1.064293585639339</v>
      </c>
      <c r="AA15">
        <v>1.102537261672488</v>
      </c>
    </row>
    <row r="16" spans="1:27" x14ac:dyDescent="0.35">
      <c r="A16" t="s">
        <v>31</v>
      </c>
      <c r="B16">
        <v>0.45011977340683867</v>
      </c>
      <c r="C16">
        <v>6.4607211791888552E-2</v>
      </c>
      <c r="D16">
        <v>0.86833636297070971</v>
      </c>
      <c r="E16">
        <v>-1.4602965703507831</v>
      </c>
      <c r="F16">
        <v>3.511027889580808</v>
      </c>
      <c r="G16">
        <v>7.3355828002439116</v>
      </c>
      <c r="H16">
        <v>5.5561980877613992</v>
      </c>
      <c r="I16">
        <v>4.394180377953556</v>
      </c>
      <c r="J16">
        <v>4.7902874531413824</v>
      </c>
      <c r="K16">
        <v>4.7625550977245279</v>
      </c>
      <c r="L16">
        <v>4.6770916393632058</v>
      </c>
      <c r="M16">
        <v>4.3464659613191028</v>
      </c>
      <c r="N16">
        <v>4.1494967408072352</v>
      </c>
      <c r="O16">
        <v>6.9221480880998314</v>
      </c>
      <c r="P16">
        <v>7.3828171702160246</v>
      </c>
      <c r="Q16">
        <v>8.042053553560109</v>
      </c>
      <c r="R16">
        <v>7.7010682727921171</v>
      </c>
      <c r="S16">
        <v>7.7618004755662833</v>
      </c>
      <c r="T16">
        <v>7.6389356681466198</v>
      </c>
      <c r="U16">
        <v>7.6615073201403199</v>
      </c>
      <c r="V16">
        <v>7.6294586942588287</v>
      </c>
      <c r="W16">
        <v>8.6467985592526819</v>
      </c>
      <c r="X16">
        <v>8.7318396460787646</v>
      </c>
      <c r="Y16">
        <v>8.6366940871871183</v>
      </c>
      <c r="Z16">
        <v>7.5367651681499161</v>
      </c>
      <c r="AA16">
        <v>7.5648824953474856</v>
      </c>
    </row>
    <row r="17" spans="1:27" x14ac:dyDescent="0.35">
      <c r="A17" t="s">
        <v>32</v>
      </c>
      <c r="B17">
        <v>0.2419926449891554</v>
      </c>
      <c r="C17">
        <v>5.0391086825856142E-2</v>
      </c>
      <c r="D17">
        <v>-0.43110586417959901</v>
      </c>
      <c r="E17">
        <v>-0.4895405372966482</v>
      </c>
      <c r="F17">
        <v>-0.44410108312421981</v>
      </c>
      <c r="G17">
        <v>-0.34602602607604122</v>
      </c>
      <c r="H17">
        <v>-0.2101619327564741</v>
      </c>
      <c r="I17">
        <v>-0.3440070696150721</v>
      </c>
      <c r="J17">
        <v>-0.49705160045911628</v>
      </c>
      <c r="K17">
        <v>-0.33240651618096251</v>
      </c>
      <c r="L17">
        <v>-0.24795463957311911</v>
      </c>
      <c r="M17">
        <v>-0.27454336285279712</v>
      </c>
      <c r="N17">
        <v>-0.37600630056801698</v>
      </c>
      <c r="O17">
        <v>-0.44497526642396468</v>
      </c>
      <c r="P17">
        <v>-0.2650626068545614</v>
      </c>
      <c r="Q17">
        <v>5.7652011209601277E-2</v>
      </c>
      <c r="R17">
        <v>8.6800460281166447E-2</v>
      </c>
      <c r="S17">
        <v>5.3669155217578042E-2</v>
      </c>
      <c r="T17">
        <v>-0.17151278759845121</v>
      </c>
      <c r="U17">
        <v>-0.46920440175898798</v>
      </c>
      <c r="V17">
        <v>-0.48629774118711611</v>
      </c>
      <c r="W17">
        <v>-0.39445847168063652</v>
      </c>
      <c r="X17">
        <v>-0.47391711399223602</v>
      </c>
      <c r="Y17">
        <v>-0.5490426180238217</v>
      </c>
      <c r="Z17">
        <v>-0.39241248253875932</v>
      </c>
      <c r="AA17">
        <v>-0.32023748863177048</v>
      </c>
    </row>
    <row r="18" spans="1:27" x14ac:dyDescent="0.35">
      <c r="A18" t="s">
        <v>33</v>
      </c>
      <c r="B18">
        <v>132.956833936446</v>
      </c>
      <c r="C18">
        <v>134.4992094615674</v>
      </c>
      <c r="D18">
        <v>134.96964161931839</v>
      </c>
      <c r="E18">
        <v>131.64264577697571</v>
      </c>
      <c r="F18">
        <v>139.45970292457909</v>
      </c>
      <c r="G18">
        <v>143.24681228250071</v>
      </c>
      <c r="H18">
        <v>140.81375941062089</v>
      </c>
      <c r="I18">
        <v>135.63248868221319</v>
      </c>
      <c r="J18">
        <v>136.59591406201599</v>
      </c>
      <c r="K18">
        <v>140.65720900646241</v>
      </c>
      <c r="L18">
        <v>141.77281535947691</v>
      </c>
      <c r="M18">
        <v>143.22582607928391</v>
      </c>
      <c r="N18">
        <v>144.78685633920961</v>
      </c>
      <c r="O18">
        <v>147.47661283250039</v>
      </c>
      <c r="P18">
        <v>148.2463275693473</v>
      </c>
      <c r="Q18">
        <v>146.95847579519631</v>
      </c>
      <c r="R18">
        <v>144.7960199812124</v>
      </c>
      <c r="S18">
        <v>147.65630080460431</v>
      </c>
      <c r="T18">
        <v>149.2612674766001</v>
      </c>
      <c r="U18">
        <v>148.03088589545379</v>
      </c>
      <c r="V18">
        <v>148.02941332276859</v>
      </c>
      <c r="W18">
        <v>150.47299870920119</v>
      </c>
      <c r="X18">
        <v>151.42724498741521</v>
      </c>
      <c r="Y18">
        <v>153.19486759314361</v>
      </c>
      <c r="Z18">
        <v>152.57971486192551</v>
      </c>
      <c r="AA18">
        <v>153.13941407852519</v>
      </c>
    </row>
    <row r="19" spans="1:27" x14ac:dyDescent="0.35">
      <c r="A19" t="s">
        <v>34</v>
      </c>
      <c r="B19">
        <v>25234706.5</v>
      </c>
      <c r="C19">
        <v>31443272.559999999</v>
      </c>
      <c r="D19">
        <v>39615918.679999992</v>
      </c>
      <c r="E19">
        <v>35111176.689999998</v>
      </c>
      <c r="F19">
        <v>47865603.329999998</v>
      </c>
      <c r="G19">
        <v>74838158.739999995</v>
      </c>
      <c r="H19">
        <v>64690943.130000003</v>
      </c>
      <c r="I19">
        <v>62449356.229999997</v>
      </c>
      <c r="J19">
        <v>60623975.960000001</v>
      </c>
      <c r="K19">
        <v>62049344.310000002</v>
      </c>
      <c r="L19">
        <v>56198172.840000004</v>
      </c>
      <c r="M19">
        <v>31526038.48</v>
      </c>
      <c r="N19">
        <v>19369716.09</v>
      </c>
      <c r="O19">
        <v>25390982.25</v>
      </c>
      <c r="P19">
        <v>42507245.390000001</v>
      </c>
      <c r="Q19">
        <v>74082055.920000002</v>
      </c>
      <c r="R19">
        <v>130591529</v>
      </c>
      <c r="S19">
        <v>144393572.06</v>
      </c>
      <c r="T19">
        <v>107220351.83</v>
      </c>
      <c r="U19">
        <v>118073896.20999999</v>
      </c>
      <c r="V19">
        <v>174051375.62</v>
      </c>
      <c r="W19">
        <v>177857972.66</v>
      </c>
      <c r="X19">
        <v>151144037.91</v>
      </c>
      <c r="Y19">
        <v>116125102.13</v>
      </c>
      <c r="Z19">
        <v>157574449.34</v>
      </c>
      <c r="AA19">
        <v>157743249.80000001</v>
      </c>
    </row>
    <row r="20" spans="1:27" x14ac:dyDescent="0.35">
      <c r="A20" t="s">
        <v>35</v>
      </c>
      <c r="B20">
        <v>1.9135223662701859</v>
      </c>
      <c r="C20">
        <v>1.9361995757769479</v>
      </c>
      <c r="D20">
        <v>1.8889213904134881</v>
      </c>
      <c r="E20">
        <v>2.0258997982559279</v>
      </c>
      <c r="F20">
        <v>1.7334689476717171</v>
      </c>
      <c r="G20">
        <v>1.5084951293974169</v>
      </c>
      <c r="H20">
        <v>1.613164818366976</v>
      </c>
      <c r="I20">
        <v>1.6815188012968501</v>
      </c>
      <c r="J20">
        <v>1.65821838510933</v>
      </c>
      <c r="K20">
        <v>1.659849700133851</v>
      </c>
      <c r="L20">
        <v>1.6648769623904001</v>
      </c>
      <c r="M20">
        <v>1.684325531687112</v>
      </c>
      <c r="N20">
        <v>1.695911956423104</v>
      </c>
      <c r="O20">
        <v>1.5328148183470689</v>
      </c>
      <c r="P20">
        <v>1.5057166370461159</v>
      </c>
      <c r="Q20">
        <v>1.46693802626117</v>
      </c>
      <c r="R20">
        <v>1.486995983953405</v>
      </c>
      <c r="S20">
        <v>1.483423501437277</v>
      </c>
      <c r="T20">
        <v>1.490650843050199</v>
      </c>
      <c r="U20">
        <v>1.489323098815275</v>
      </c>
      <c r="V20">
        <v>1.491208312102422</v>
      </c>
      <c r="W20">
        <v>1.4313647906321949</v>
      </c>
      <c r="X20">
        <v>1.426362373760073</v>
      </c>
      <c r="Y20">
        <v>1.431959171341934</v>
      </c>
      <c r="Z20">
        <v>1.49666087246177</v>
      </c>
      <c r="AA20">
        <v>1.4950069120383831</v>
      </c>
    </row>
    <row r="21" spans="1:27" x14ac:dyDescent="0.35">
      <c r="A21" t="s">
        <v>36</v>
      </c>
      <c r="B21">
        <v>0.24654296221444061</v>
      </c>
      <c r="C21">
        <v>0.2492801273310592</v>
      </c>
      <c r="D21">
        <v>0.2561586552025657</v>
      </c>
      <c r="E21">
        <v>0.25699343624709498</v>
      </c>
      <c r="F21">
        <v>0.25634430118748891</v>
      </c>
      <c r="G21">
        <v>0.25494322894394339</v>
      </c>
      <c r="H21">
        <v>0.25300231332509249</v>
      </c>
      <c r="I21">
        <v>0.25491438670878669</v>
      </c>
      <c r="J21">
        <v>0.25710073714941589</v>
      </c>
      <c r="K21">
        <v>0.25474866451687089</v>
      </c>
      <c r="L21">
        <v>0.25354220913675879</v>
      </c>
      <c r="M21">
        <v>0.25392204804075419</v>
      </c>
      <c r="N21">
        <v>0.2553715185795431</v>
      </c>
      <c r="O21">
        <v>0.25635678952034241</v>
      </c>
      <c r="P21">
        <v>0.25378660866935088</v>
      </c>
      <c r="Q21">
        <v>0.24917639983986281</v>
      </c>
      <c r="R21">
        <v>0.24875999342455479</v>
      </c>
      <c r="S21">
        <v>0.249233297782606</v>
      </c>
      <c r="T21">
        <v>0.25245018267997787</v>
      </c>
      <c r="U21">
        <v>0.2567029200251284</v>
      </c>
      <c r="V21">
        <v>0.25694711058838737</v>
      </c>
      <c r="W21">
        <v>0.25563512102400909</v>
      </c>
      <c r="X21">
        <v>0.25677024448560343</v>
      </c>
      <c r="Y21">
        <v>0.25784346597176888</v>
      </c>
      <c r="Z21">
        <v>0.25560589260769662</v>
      </c>
      <c r="AA21">
        <v>0.25457482126616809</v>
      </c>
    </row>
    <row r="23" spans="1:27" x14ac:dyDescent="0.35">
      <c r="A23" t="s">
        <v>38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t="s">
        <v>7</v>
      </c>
      <c r="I23" t="s">
        <v>8</v>
      </c>
      <c r="J23" t="s">
        <v>9</v>
      </c>
      <c r="K23" t="s">
        <v>10</v>
      </c>
      <c r="L23" t="s">
        <v>11</v>
      </c>
      <c r="M23" t="s">
        <v>12</v>
      </c>
      <c r="N23" t="s">
        <v>13</v>
      </c>
      <c r="O23" t="s">
        <v>14</v>
      </c>
      <c r="P23" t="s">
        <v>15</v>
      </c>
      <c r="Q23" t="s">
        <v>16</v>
      </c>
      <c r="R23" t="s">
        <v>17</v>
      </c>
      <c r="S23" t="s">
        <v>18</v>
      </c>
      <c r="T23" t="s">
        <v>19</v>
      </c>
      <c r="U23" t="s">
        <v>20</v>
      </c>
      <c r="V23" t="s">
        <v>21</v>
      </c>
      <c r="W23" t="s">
        <v>22</v>
      </c>
      <c r="X23" t="s">
        <v>23</v>
      </c>
      <c r="Y23" t="s">
        <v>24</v>
      </c>
      <c r="Z23" t="s">
        <v>25</v>
      </c>
      <c r="AA23" t="s">
        <v>26</v>
      </c>
    </row>
    <row r="24" spans="1:27" x14ac:dyDescent="0.35">
      <c r="A24" t="s">
        <v>28</v>
      </c>
      <c r="B24">
        <v>130.04903700221621</v>
      </c>
      <c r="C24">
        <v>133.1207717529023</v>
      </c>
      <c r="D24">
        <v>135.5091346012222</v>
      </c>
      <c r="E24">
        <v>135.29709634106169</v>
      </c>
      <c r="F24">
        <v>135.25602005308559</v>
      </c>
      <c r="G24">
        <v>135.44450557465149</v>
      </c>
      <c r="H24">
        <v>135.0243677977891</v>
      </c>
      <c r="I24">
        <v>133.6390065764549</v>
      </c>
      <c r="J24">
        <v>134.37539887083719</v>
      </c>
      <c r="K24">
        <v>136.6500572548444</v>
      </c>
      <c r="L24">
        <v>137.11574532115</v>
      </c>
      <c r="M24">
        <v>138.231604818877</v>
      </c>
      <c r="N24">
        <v>139.19402519319581</v>
      </c>
      <c r="O24">
        <v>137.6876765525258</v>
      </c>
      <c r="P24">
        <v>138.3051591751082</v>
      </c>
      <c r="Q24">
        <v>137.37836866541551</v>
      </c>
      <c r="R24">
        <v>136.65538364985861</v>
      </c>
      <c r="S24">
        <v>137.42339571606601</v>
      </c>
      <c r="T24">
        <v>138.5009252564584</v>
      </c>
      <c r="U24">
        <v>137.12881796354111</v>
      </c>
      <c r="V24">
        <v>136.59243945562051</v>
      </c>
      <c r="W24">
        <v>137.84932732452529</v>
      </c>
      <c r="X24">
        <v>138.4786610959888</v>
      </c>
      <c r="Y24">
        <v>139.9129774417593</v>
      </c>
      <c r="Z24">
        <v>140.97805942509291</v>
      </c>
      <c r="AA24">
        <v>141.13330902463929</v>
      </c>
    </row>
    <row r="25" spans="1:27" x14ac:dyDescent="0.35">
      <c r="A25" t="s">
        <v>29</v>
      </c>
      <c r="B25">
        <v>0.70065906316766102</v>
      </c>
      <c r="C25">
        <v>0.57476356906570658</v>
      </c>
      <c r="D25">
        <v>0.80350595888111265</v>
      </c>
      <c r="E25">
        <v>0.76739011767172716</v>
      </c>
      <c r="F25">
        <v>1.498095119395316</v>
      </c>
      <c r="G25">
        <v>1.6191266449659369</v>
      </c>
      <c r="H25">
        <v>1.2668385849441819</v>
      </c>
      <c r="I25">
        <v>0.88932174682985732</v>
      </c>
      <c r="J25">
        <v>0.2351809392597651</v>
      </c>
      <c r="K25">
        <v>0.48210368069600262</v>
      </c>
      <c r="L25">
        <v>8.4139149120901591E-2</v>
      </c>
      <c r="M25">
        <v>0.60639213916262802</v>
      </c>
      <c r="N25">
        <v>0.25557693145420818</v>
      </c>
      <c r="O25">
        <v>0.19798508472362339</v>
      </c>
      <c r="P25">
        <v>1.1299821367786</v>
      </c>
      <c r="Q25">
        <v>0.92251096991138237</v>
      </c>
      <c r="R25">
        <v>0.78506370719089713</v>
      </c>
      <c r="S25">
        <v>1.586101376843807</v>
      </c>
      <c r="T25">
        <v>1.700023789663976</v>
      </c>
      <c r="U25">
        <v>1.620077503108865</v>
      </c>
      <c r="V25">
        <v>1.478324516999409</v>
      </c>
      <c r="W25">
        <v>1.6180854068795869</v>
      </c>
      <c r="X25">
        <v>1.699096027656358</v>
      </c>
      <c r="Y25">
        <v>1.9655517483550089</v>
      </c>
      <c r="Z25">
        <v>2.0363168139875238</v>
      </c>
      <c r="AA25">
        <v>2.1258964523528041</v>
      </c>
    </row>
    <row r="26" spans="1:27" x14ac:dyDescent="0.35">
      <c r="A26" t="s">
        <v>30</v>
      </c>
      <c r="B26">
        <v>-1.0023616361198551</v>
      </c>
      <c r="C26">
        <v>-0.84165182515378323</v>
      </c>
      <c r="D26">
        <v>-0.51518737649259716</v>
      </c>
      <c r="E26">
        <v>-0.2155249238334549</v>
      </c>
      <c r="F26">
        <v>-0.37612352747096989</v>
      </c>
      <c r="G26">
        <v>-0.27986086844715963</v>
      </c>
      <c r="H26">
        <v>-0.43436302026028839</v>
      </c>
      <c r="I26">
        <v>-0.5736287864438</v>
      </c>
      <c r="J26">
        <v>-0.83542623150113648</v>
      </c>
      <c r="K26">
        <v>-0.80655279815883918</v>
      </c>
      <c r="L26">
        <v>-0.9234675764921908</v>
      </c>
      <c r="M26">
        <v>-0.72908131961063993</v>
      </c>
      <c r="N26">
        <v>-0.61286508373658466</v>
      </c>
      <c r="O26">
        <v>-0.68921802410104693</v>
      </c>
      <c r="P26">
        <v>-0.68572473272211798</v>
      </c>
      <c r="Q26">
        <v>-0.36816027701655329</v>
      </c>
      <c r="R26">
        <v>-0.57605410906315957</v>
      </c>
      <c r="S26">
        <v>0.19407160494793921</v>
      </c>
      <c r="T26">
        <v>0.66157031523109266</v>
      </c>
      <c r="U26">
        <v>1.378512315364818</v>
      </c>
      <c r="V26">
        <v>1.2318399590457769</v>
      </c>
      <c r="W26">
        <v>1.4858554741793739</v>
      </c>
      <c r="X26">
        <v>1.5063001091147641</v>
      </c>
      <c r="Y26">
        <v>1.8965105486809981</v>
      </c>
      <c r="Z26">
        <v>1.4781763591748269</v>
      </c>
      <c r="AA26">
        <v>1.791232492054744</v>
      </c>
    </row>
    <row r="27" spans="1:27" x14ac:dyDescent="0.35">
      <c r="A27" t="s">
        <v>31</v>
      </c>
      <c r="B27">
        <v>-2.3410189661586238</v>
      </c>
      <c r="C27">
        <v>-2.7128222048300921</v>
      </c>
      <c r="D27">
        <v>2.1032323667700492</v>
      </c>
      <c r="E27">
        <v>2.5126808710865478</v>
      </c>
      <c r="F27">
        <v>4.1476743746153977</v>
      </c>
      <c r="G27">
        <v>6.474514813191929</v>
      </c>
      <c r="H27">
        <v>6.1537143497255196</v>
      </c>
      <c r="I27">
        <v>5.7155113678820078</v>
      </c>
      <c r="J27">
        <v>6.4166305579663829</v>
      </c>
      <c r="K27">
        <v>6.9823818195614207</v>
      </c>
      <c r="L27">
        <v>6.6873302617438144</v>
      </c>
      <c r="M27">
        <v>7.8867453117694897</v>
      </c>
      <c r="N27">
        <v>7.693929537551309</v>
      </c>
      <c r="O27">
        <v>7.3345846279891367</v>
      </c>
      <c r="P27">
        <v>8.4297557555893761</v>
      </c>
      <c r="Q27">
        <v>8.5747464723976723</v>
      </c>
      <c r="R27">
        <v>6.8957983817917832</v>
      </c>
      <c r="S27">
        <v>7.5289580806598577</v>
      </c>
      <c r="T27">
        <v>8.1357775823993386</v>
      </c>
      <c r="U27">
        <v>8.0416915036167289</v>
      </c>
      <c r="V27">
        <v>7.6860194596860261</v>
      </c>
      <c r="W27">
        <v>8.6426005153823713</v>
      </c>
      <c r="X27">
        <v>8.5417524487720549</v>
      </c>
      <c r="Y27">
        <v>8.8382690087056694</v>
      </c>
      <c r="Z27">
        <v>7.7450448490491057</v>
      </c>
      <c r="AA27">
        <v>8.1140435774271076</v>
      </c>
    </row>
    <row r="28" spans="1:27" x14ac:dyDescent="0.35">
      <c r="A28" t="s">
        <v>32</v>
      </c>
      <c r="B28">
        <v>2.7211773083473671E-2</v>
      </c>
      <c r="C28">
        <v>-0.33333568980241918</v>
      </c>
      <c r="D28">
        <v>-0.43748044009136339</v>
      </c>
      <c r="E28">
        <v>-0.37975099951945762</v>
      </c>
      <c r="F28">
        <v>-0.45381258906393268</v>
      </c>
      <c r="G28">
        <v>-0.2443902047987084</v>
      </c>
      <c r="H28">
        <v>-0.27557083438264568</v>
      </c>
      <c r="I28">
        <v>-0.14767791998744509</v>
      </c>
      <c r="J28">
        <v>-0.31606406316543822</v>
      </c>
      <c r="K28">
        <v>-9.282707833171755E-2</v>
      </c>
      <c r="L28">
        <v>-0.30158676473276802</v>
      </c>
      <c r="M28">
        <v>-3.2396007811097971E-2</v>
      </c>
      <c r="N28">
        <v>-0.60664372968818325</v>
      </c>
      <c r="O28">
        <v>-0.77417986096555425</v>
      </c>
      <c r="P28">
        <v>-0.27977037608232952</v>
      </c>
      <c r="Q28">
        <v>-6.7899133863317251E-2</v>
      </c>
      <c r="R28">
        <v>-0.28430177459869249</v>
      </c>
      <c r="S28">
        <v>0.13763991483844659</v>
      </c>
      <c r="T28">
        <v>0.1629691208144837</v>
      </c>
      <c r="U28">
        <v>4.0491015764715643E-2</v>
      </c>
      <c r="V28">
        <v>-3.6963146130347679E-3</v>
      </c>
      <c r="W28">
        <v>0.31247831802861981</v>
      </c>
      <c r="X28">
        <v>0.25237078234014582</v>
      </c>
      <c r="Y28">
        <v>0.46244211398760748</v>
      </c>
      <c r="Z28">
        <v>0.71576815840884556</v>
      </c>
      <c r="AA28">
        <v>0.92074477709398483</v>
      </c>
    </row>
    <row r="29" spans="1:27" x14ac:dyDescent="0.35">
      <c r="A29" t="s">
        <v>33</v>
      </c>
      <c r="B29">
        <v>127.43352723618879</v>
      </c>
      <c r="C29">
        <v>129.8077256021817</v>
      </c>
      <c r="D29">
        <v>137.46320511028941</v>
      </c>
      <c r="E29">
        <v>137.9818914064671</v>
      </c>
      <c r="F29">
        <v>140.07185343056139</v>
      </c>
      <c r="G29">
        <v>143.01389595956351</v>
      </c>
      <c r="H29">
        <v>141.73498687781591</v>
      </c>
      <c r="I29">
        <v>139.52253298473559</v>
      </c>
      <c r="J29">
        <v>139.87572007339679</v>
      </c>
      <c r="K29">
        <v>143.2151628786113</v>
      </c>
      <c r="L29">
        <v>142.66216039078981</v>
      </c>
      <c r="M29">
        <v>145.96326494238741</v>
      </c>
      <c r="N29">
        <v>145.9240228487765</v>
      </c>
      <c r="O29">
        <v>143.75684838017199</v>
      </c>
      <c r="P29">
        <v>146.8994019586718</v>
      </c>
      <c r="Q29">
        <v>146.43956669684471</v>
      </c>
      <c r="R29">
        <v>143.47588985517939</v>
      </c>
      <c r="S29">
        <v>146.87016669335611</v>
      </c>
      <c r="T29">
        <v>149.16126606456729</v>
      </c>
      <c r="U29">
        <v>148.20959030139619</v>
      </c>
      <c r="V29">
        <v>146.9849270767387</v>
      </c>
      <c r="W29">
        <v>149.90834703899529</v>
      </c>
      <c r="X29">
        <v>150.47818046387209</v>
      </c>
      <c r="Y29">
        <v>153.07575086148859</v>
      </c>
      <c r="Z29">
        <v>152.9533656057132</v>
      </c>
      <c r="AA29">
        <v>154.08522632356789</v>
      </c>
    </row>
    <row r="30" spans="1:27" x14ac:dyDescent="0.35">
      <c r="A30" t="s">
        <v>34</v>
      </c>
      <c r="B30">
        <v>72942528.420000002</v>
      </c>
      <c r="C30">
        <v>58942493.24000001</v>
      </c>
      <c r="D30">
        <v>58512128.119999997</v>
      </c>
      <c r="E30">
        <v>43507952.460000001</v>
      </c>
      <c r="F30">
        <v>62391280.700000003</v>
      </c>
      <c r="G30">
        <v>81373766.840000004</v>
      </c>
      <c r="H30">
        <v>65481706.93</v>
      </c>
      <c r="I30">
        <v>58139200.229999997</v>
      </c>
      <c r="J30">
        <v>53572523.939999998</v>
      </c>
      <c r="K30">
        <v>52858134.5</v>
      </c>
      <c r="L30">
        <v>36843741.609999999</v>
      </c>
      <c r="M30">
        <v>19966897.34</v>
      </c>
      <c r="N30">
        <v>12210324.34</v>
      </c>
      <c r="O30">
        <v>15935454.15</v>
      </c>
      <c r="P30">
        <v>27585718.440000001</v>
      </c>
      <c r="Q30">
        <v>43774332.25</v>
      </c>
      <c r="R30">
        <v>67656324.980000004</v>
      </c>
      <c r="S30">
        <v>93470598.189999998</v>
      </c>
      <c r="T30">
        <v>67997680.959999993</v>
      </c>
      <c r="U30">
        <v>69959355.650000006</v>
      </c>
      <c r="V30">
        <v>108613809.73999999</v>
      </c>
      <c r="W30">
        <v>115314531.88</v>
      </c>
      <c r="X30">
        <v>89260079.859999999</v>
      </c>
      <c r="Y30">
        <v>70709187.349999994</v>
      </c>
      <c r="Z30">
        <v>103604558.01000001</v>
      </c>
      <c r="AA30">
        <v>106702684.01000001</v>
      </c>
    </row>
    <row r="31" spans="1:27" x14ac:dyDescent="0.35">
      <c r="A31" t="s">
        <v>35</v>
      </c>
      <c r="B31">
        <v>2.0777069980093308</v>
      </c>
      <c r="C31">
        <v>2.0995777767547108</v>
      </c>
      <c r="D31">
        <v>1.816280449013526</v>
      </c>
      <c r="E31">
        <v>1.7921952428772621</v>
      </c>
      <c r="F31">
        <v>1.6960191544343881</v>
      </c>
      <c r="G31">
        <v>1.559146187459298</v>
      </c>
      <c r="H31">
        <v>1.5780168029573221</v>
      </c>
      <c r="I31">
        <v>1.6037934489481169</v>
      </c>
      <c r="J31">
        <v>1.562551143649036</v>
      </c>
      <c r="K31">
        <v>1.529271657672858</v>
      </c>
      <c r="L31">
        <v>1.546627631662129</v>
      </c>
      <c r="M31">
        <v>1.47607380519003</v>
      </c>
      <c r="N31">
        <v>1.487415909555805</v>
      </c>
      <c r="O31">
        <v>1.5085538454124039</v>
      </c>
      <c r="P31">
        <v>1.444132014377095</v>
      </c>
      <c r="Q31">
        <v>1.4356031486824901</v>
      </c>
      <c r="R31">
        <v>1.534364801071072</v>
      </c>
      <c r="S31">
        <v>1.497120112902361</v>
      </c>
      <c r="T31">
        <v>1.461424848094157</v>
      </c>
      <c r="U31">
        <v>1.4669593233166629</v>
      </c>
      <c r="V31">
        <v>1.4878812082537629</v>
      </c>
      <c r="W31">
        <v>1.431611734389272</v>
      </c>
      <c r="X31">
        <v>1.437543973601644</v>
      </c>
      <c r="Y31">
        <v>1.420101823017313</v>
      </c>
      <c r="Z31">
        <v>1.4844091265265229</v>
      </c>
      <c r="AA31">
        <v>1.4627033189748759</v>
      </c>
    </row>
    <row r="32" spans="1:27" x14ac:dyDescent="0.35">
      <c r="A32" t="s">
        <v>36</v>
      </c>
      <c r="B32">
        <v>0.2496112603845218</v>
      </c>
      <c r="C32">
        <v>0.25476193842574879</v>
      </c>
      <c r="D32">
        <v>0.25624972057273382</v>
      </c>
      <c r="E32">
        <v>0.25542501427884939</v>
      </c>
      <c r="F32">
        <v>0.25648303698662761</v>
      </c>
      <c r="G32">
        <v>0.25349128863998149</v>
      </c>
      <c r="H32">
        <v>0.25393672620546642</v>
      </c>
      <c r="I32">
        <v>0.25210968457124922</v>
      </c>
      <c r="J32">
        <v>0.2545152009023634</v>
      </c>
      <c r="K32">
        <v>0.25132610111902448</v>
      </c>
      <c r="L32">
        <v>0.25430838235332531</v>
      </c>
      <c r="M32">
        <v>0.25046280011158711</v>
      </c>
      <c r="N32">
        <v>0.25866633899554548</v>
      </c>
      <c r="O32">
        <v>0.26105971229950792</v>
      </c>
      <c r="P32">
        <v>0.25399671965831899</v>
      </c>
      <c r="Q32">
        <v>0.25096998762661882</v>
      </c>
      <c r="R32">
        <v>0.25406145392283852</v>
      </c>
      <c r="S32">
        <v>0.24803371550230791</v>
      </c>
      <c r="T32">
        <v>0.2476718697026502</v>
      </c>
      <c r="U32">
        <v>0.24942155691764689</v>
      </c>
      <c r="V32">
        <v>0.25005280449447193</v>
      </c>
      <c r="W32">
        <v>0.2455360240281626</v>
      </c>
      <c r="X32">
        <v>0.24639470310942649</v>
      </c>
      <c r="Y32">
        <v>0.24339368408589129</v>
      </c>
      <c r="Z32">
        <v>0.23977474059415929</v>
      </c>
      <c r="AA32">
        <v>0.23684650318437159</v>
      </c>
    </row>
    <row r="34" spans="1:27" x14ac:dyDescent="0.35">
      <c r="A34" t="s">
        <v>39</v>
      </c>
      <c r="B34" t="s">
        <v>1</v>
      </c>
      <c r="C34" t="s">
        <v>2</v>
      </c>
      <c r="D34" t="s">
        <v>3</v>
      </c>
      <c r="E34" t="s">
        <v>4</v>
      </c>
      <c r="F34" t="s">
        <v>5</v>
      </c>
      <c r="G34" t="s">
        <v>6</v>
      </c>
      <c r="H34" t="s">
        <v>7</v>
      </c>
      <c r="I34" t="s">
        <v>8</v>
      </c>
      <c r="J34" t="s">
        <v>9</v>
      </c>
      <c r="K34" t="s">
        <v>10</v>
      </c>
      <c r="L34" t="s">
        <v>11</v>
      </c>
      <c r="M34" t="s">
        <v>12</v>
      </c>
      <c r="N34" t="s">
        <v>13</v>
      </c>
      <c r="O34" t="s">
        <v>14</v>
      </c>
      <c r="P34" t="s">
        <v>15</v>
      </c>
      <c r="Q34" t="s">
        <v>16</v>
      </c>
      <c r="R34" t="s">
        <v>17</v>
      </c>
      <c r="S34" t="s">
        <v>18</v>
      </c>
      <c r="T34" t="s">
        <v>19</v>
      </c>
      <c r="U34" t="s">
        <v>20</v>
      </c>
      <c r="V34" t="s">
        <v>21</v>
      </c>
      <c r="W34" t="s">
        <v>22</v>
      </c>
      <c r="X34" t="s">
        <v>23</v>
      </c>
      <c r="Y34" t="s">
        <v>24</v>
      </c>
      <c r="Z34" t="s">
        <v>25</v>
      </c>
      <c r="AA34" t="s">
        <v>26</v>
      </c>
    </row>
    <row r="35" spans="1:27" x14ac:dyDescent="0.35">
      <c r="A35" t="s">
        <v>28</v>
      </c>
      <c r="B35">
        <v>131.93220934195591</v>
      </c>
      <c r="C35">
        <v>135.6651454248871</v>
      </c>
      <c r="D35">
        <v>137.77440959079931</v>
      </c>
      <c r="E35">
        <v>140.31481558168949</v>
      </c>
      <c r="F35">
        <v>136.74657379357421</v>
      </c>
      <c r="G35">
        <v>136.0120971139637</v>
      </c>
      <c r="H35">
        <v>135.61507416479881</v>
      </c>
      <c r="I35">
        <v>134.55233977781279</v>
      </c>
      <c r="J35">
        <v>133.82649272373871</v>
      </c>
      <c r="K35">
        <v>135.75426225236899</v>
      </c>
      <c r="L35">
        <v>136.83145607664599</v>
      </c>
      <c r="M35">
        <v>138.5584785780058</v>
      </c>
      <c r="N35">
        <v>140.88245124915099</v>
      </c>
      <c r="O35">
        <v>138.8885094056663</v>
      </c>
      <c r="P35">
        <v>137.92337249578631</v>
      </c>
      <c r="Q35">
        <v>139.62455276374411</v>
      </c>
      <c r="R35">
        <v>138.47757940377039</v>
      </c>
      <c r="S35">
        <v>138.2830514874841</v>
      </c>
      <c r="T35">
        <v>140.33496139523359</v>
      </c>
      <c r="U35">
        <v>138.37431564958931</v>
      </c>
      <c r="V35">
        <v>136.66569058637739</v>
      </c>
      <c r="W35">
        <v>138.2870900315385</v>
      </c>
      <c r="X35">
        <v>138.04613194623491</v>
      </c>
      <c r="Y35">
        <v>138.82099038871061</v>
      </c>
      <c r="Z35">
        <v>140.97004720935229</v>
      </c>
      <c r="AA35">
        <v>141.72838444992769</v>
      </c>
    </row>
    <row r="36" spans="1:27" x14ac:dyDescent="0.35">
      <c r="A36" t="s">
        <v>29</v>
      </c>
      <c r="B36">
        <v>-1.80045712525435</v>
      </c>
      <c r="C36">
        <v>-1.2516731110073891</v>
      </c>
      <c r="D36">
        <v>-0.66848052538209035</v>
      </c>
      <c r="E36">
        <v>0.47661036220987602</v>
      </c>
      <c r="F36">
        <v>1.5785266922204899</v>
      </c>
      <c r="G36">
        <v>-0.23902325188302731</v>
      </c>
      <c r="H36">
        <v>-0.42702946147585003</v>
      </c>
      <c r="I36">
        <v>0.46775384028136568</v>
      </c>
      <c r="J36">
        <v>1.6835163746639629E-2</v>
      </c>
      <c r="K36">
        <v>0.51580960003521514</v>
      </c>
      <c r="L36">
        <v>0.76299813092941127</v>
      </c>
      <c r="M36">
        <v>0.96385723652924538</v>
      </c>
      <c r="N36">
        <v>1.196286022106867</v>
      </c>
      <c r="O36">
        <v>0.80804510668207119</v>
      </c>
      <c r="P36">
        <v>1.415004029708967</v>
      </c>
      <c r="Q36">
        <v>1.446714155559421</v>
      </c>
      <c r="R36">
        <v>1.26933121190664</v>
      </c>
      <c r="S36">
        <v>2.0580911961712829</v>
      </c>
      <c r="T36">
        <v>2.3543436234835711</v>
      </c>
      <c r="U36">
        <v>2.308750320069838</v>
      </c>
      <c r="V36">
        <v>1.9759734139002101</v>
      </c>
      <c r="W36">
        <v>1.9398679995996611</v>
      </c>
      <c r="X36">
        <v>2.39754677033274</v>
      </c>
      <c r="Y36">
        <v>1.4137559150185239</v>
      </c>
      <c r="Z36">
        <v>1.5789505346171071</v>
      </c>
      <c r="AA36">
        <v>1.592743082824764</v>
      </c>
    </row>
    <row r="37" spans="1:27" x14ac:dyDescent="0.35">
      <c r="A37" t="s">
        <v>30</v>
      </c>
      <c r="B37">
        <v>-0.5062017002221143</v>
      </c>
      <c r="C37">
        <v>-0.52822411515780743</v>
      </c>
      <c r="D37">
        <v>-0.1004372170197345</v>
      </c>
      <c r="E37">
        <v>0.2078026376449324</v>
      </c>
      <c r="F37">
        <v>0.38161701791245167</v>
      </c>
      <c r="G37">
        <v>0.11208890824142401</v>
      </c>
      <c r="H37">
        <v>2.187630978955921E-2</v>
      </c>
      <c r="I37">
        <v>-6.899664223408547E-2</v>
      </c>
      <c r="J37">
        <v>-0.51794975347554317</v>
      </c>
      <c r="K37">
        <v>-1.165413756204277</v>
      </c>
      <c r="L37">
        <v>-0.87433821121270894</v>
      </c>
      <c r="M37">
        <v>-0.49588764804290719</v>
      </c>
      <c r="N37">
        <v>-0.2369888504648045</v>
      </c>
      <c r="O37">
        <v>-0.41834019197089828</v>
      </c>
      <c r="P37">
        <v>-0.18243672709424</v>
      </c>
      <c r="Q37">
        <v>0.22455450913556541</v>
      </c>
      <c r="R37">
        <v>-0.1202188561983718</v>
      </c>
      <c r="S37">
        <v>-0.1050264245848308</v>
      </c>
      <c r="T37">
        <v>1.5774656144950959E-2</v>
      </c>
      <c r="U37">
        <v>1.1678695201945479</v>
      </c>
      <c r="V37">
        <v>1.4239821738516789</v>
      </c>
      <c r="W37">
        <v>0.92099420048213831</v>
      </c>
      <c r="X37">
        <v>1.302706253126287</v>
      </c>
      <c r="Y37">
        <v>1.457051309462402</v>
      </c>
      <c r="Z37">
        <v>0.52989650488920714</v>
      </c>
      <c r="AA37">
        <v>0.2407488037835776</v>
      </c>
    </row>
    <row r="38" spans="1:27" x14ac:dyDescent="0.35">
      <c r="A38" t="s">
        <v>31</v>
      </c>
      <c r="B38">
        <v>0.46092582538732207</v>
      </c>
      <c r="C38">
        <v>1.2997105924433081</v>
      </c>
      <c r="D38">
        <v>3.8499862615223588</v>
      </c>
      <c r="E38">
        <v>3.0628366664860449</v>
      </c>
      <c r="F38">
        <v>1.9565274352005271</v>
      </c>
      <c r="G38">
        <v>3.6743877105244538</v>
      </c>
      <c r="H38">
        <v>2.854331000002527</v>
      </c>
      <c r="I38">
        <v>1.902624365498522</v>
      </c>
      <c r="J38">
        <v>1.631972529736839</v>
      </c>
      <c r="K38">
        <v>1.622570360533216</v>
      </c>
      <c r="L38">
        <v>2.175770678004993</v>
      </c>
      <c r="M38">
        <v>1.953987599066918</v>
      </c>
      <c r="N38">
        <v>2.639924860103489</v>
      </c>
      <c r="O38">
        <v>2.2024136419235689</v>
      </c>
      <c r="P38">
        <v>2.971729818777026</v>
      </c>
      <c r="Q38">
        <v>2.5673455187564089</v>
      </c>
      <c r="R38">
        <v>1.042404159623272</v>
      </c>
      <c r="S38">
        <v>1.303827422696074</v>
      </c>
      <c r="T38">
        <v>1.7019052031629101</v>
      </c>
      <c r="U38">
        <v>1.8111476023760631</v>
      </c>
      <c r="V38">
        <v>1.169866565140955</v>
      </c>
      <c r="W38">
        <v>0.57237998585987548</v>
      </c>
      <c r="X38">
        <v>0.56428982385898596</v>
      </c>
      <c r="Y38">
        <v>0.61477935660822713</v>
      </c>
      <c r="Z38">
        <v>-0.35383000452174002</v>
      </c>
      <c r="AA38">
        <v>-0.51450881871248622</v>
      </c>
    </row>
    <row r="39" spans="1:27" x14ac:dyDescent="0.35">
      <c r="A39" t="s">
        <v>32</v>
      </c>
      <c r="B39">
        <v>0.59613491666594742</v>
      </c>
      <c r="C39">
        <v>-6.1978879505779343E-2</v>
      </c>
      <c r="D39">
        <v>-0.35961676644576168</v>
      </c>
      <c r="E39">
        <v>0.45195746816643118</v>
      </c>
      <c r="F39">
        <v>1.837501751425635E-2</v>
      </c>
      <c r="G39">
        <v>0.13180799180078029</v>
      </c>
      <c r="H39">
        <v>0.31437180237069789</v>
      </c>
      <c r="I39">
        <v>0.20774977649362261</v>
      </c>
      <c r="J39">
        <v>-0.74762026014730654</v>
      </c>
      <c r="K39">
        <v>-0.51968320812557645</v>
      </c>
      <c r="L39">
        <v>-0.23312296966024629</v>
      </c>
      <c r="M39">
        <v>-0.10606570325174421</v>
      </c>
      <c r="N39">
        <v>-0.46512500707234639</v>
      </c>
      <c r="O39">
        <v>-0.47615512333844701</v>
      </c>
      <c r="P39">
        <v>0.1942357917985624</v>
      </c>
      <c r="Q39">
        <v>0.1970016908505032</v>
      </c>
      <c r="R39">
        <v>-1.932972377456044E-2</v>
      </c>
      <c r="S39">
        <v>0.17202643948983329</v>
      </c>
      <c r="T39">
        <v>0.13131089252119171</v>
      </c>
      <c r="U39">
        <v>-0.25400047492295319</v>
      </c>
      <c r="V39">
        <v>-0.44361043712222348</v>
      </c>
      <c r="W39">
        <v>-0.51469698988744927</v>
      </c>
      <c r="X39">
        <v>-0.5155161313654274</v>
      </c>
      <c r="Y39">
        <v>-0.48676851932872489</v>
      </c>
      <c r="Z39">
        <v>-0.42371848874012658</v>
      </c>
      <c r="AA39">
        <v>-0.30929913595480057</v>
      </c>
    </row>
    <row r="40" spans="1:27" x14ac:dyDescent="0.35">
      <c r="A40" t="s">
        <v>33</v>
      </c>
      <c r="B40">
        <v>130.68261125853269</v>
      </c>
      <c r="C40">
        <v>135.1229799116594</v>
      </c>
      <c r="D40">
        <v>140.4958613434741</v>
      </c>
      <c r="E40">
        <v>144.51402271619671</v>
      </c>
      <c r="F40">
        <v>140.68161995642191</v>
      </c>
      <c r="G40">
        <v>139.69135847264729</v>
      </c>
      <c r="H40">
        <v>138.3786238154857</v>
      </c>
      <c r="I40">
        <v>137.06147111785219</v>
      </c>
      <c r="J40">
        <v>134.20973040359931</v>
      </c>
      <c r="K40">
        <v>136.20754524860749</v>
      </c>
      <c r="L40">
        <v>138.6627637047074</v>
      </c>
      <c r="M40">
        <v>140.87437006230729</v>
      </c>
      <c r="N40">
        <v>144.01654827382421</v>
      </c>
      <c r="O40">
        <v>141.00447283896261</v>
      </c>
      <c r="P40">
        <v>142.32190540897659</v>
      </c>
      <c r="Q40">
        <v>144.06016863804601</v>
      </c>
      <c r="R40">
        <v>140.6497661953274</v>
      </c>
      <c r="S40">
        <v>141.71197012125651</v>
      </c>
      <c r="T40">
        <v>144.5382957705462</v>
      </c>
      <c r="U40">
        <v>143.4080826173068</v>
      </c>
      <c r="V40">
        <v>140.791902302148</v>
      </c>
      <c r="W40">
        <v>141.20563522759269</v>
      </c>
      <c r="X40">
        <v>141.79515866218739</v>
      </c>
      <c r="Y40">
        <v>141.81980845047099</v>
      </c>
      <c r="Z40">
        <v>142.3013457555968</v>
      </c>
      <c r="AA40">
        <v>142.73806838186869</v>
      </c>
    </row>
    <row r="41" spans="1:27" x14ac:dyDescent="0.35">
      <c r="A41" t="s">
        <v>34</v>
      </c>
      <c r="B41">
        <v>29185643.539999999</v>
      </c>
      <c r="C41">
        <v>20104411.899999999</v>
      </c>
      <c r="D41">
        <v>18500271.940000001</v>
      </c>
      <c r="E41">
        <v>8863012.9100000001</v>
      </c>
      <c r="F41">
        <v>14909851.08</v>
      </c>
      <c r="G41">
        <v>30317238.710000001</v>
      </c>
      <c r="H41">
        <v>25355015.75</v>
      </c>
      <c r="I41">
        <v>18445279.289999999</v>
      </c>
      <c r="J41">
        <v>18767162.07</v>
      </c>
      <c r="K41">
        <v>17279347.300000001</v>
      </c>
      <c r="L41">
        <v>15370368.4</v>
      </c>
      <c r="M41">
        <v>9062595.75</v>
      </c>
      <c r="N41">
        <v>6096634.5</v>
      </c>
      <c r="O41">
        <v>8837185.2599999998</v>
      </c>
      <c r="P41">
        <v>14396259.33</v>
      </c>
      <c r="Q41">
        <v>14075324.789999999</v>
      </c>
      <c r="R41">
        <v>26896353.84</v>
      </c>
      <c r="S41">
        <v>34891136.170000002</v>
      </c>
      <c r="T41">
        <v>21537777.699999999</v>
      </c>
      <c r="U41">
        <v>21020201.120000001</v>
      </c>
      <c r="V41">
        <v>43414634.259999998</v>
      </c>
      <c r="W41">
        <v>39926706.959999993</v>
      </c>
      <c r="X41">
        <v>42633922.900000013</v>
      </c>
      <c r="Y41">
        <v>42979688.649999999</v>
      </c>
      <c r="Z41">
        <v>60620781.590000004</v>
      </c>
      <c r="AA41">
        <v>48632517.210000001</v>
      </c>
    </row>
    <row r="42" spans="1:27" x14ac:dyDescent="0.35">
      <c r="A42" t="s">
        <v>35</v>
      </c>
      <c r="B42">
        <v>1.4228867161536869</v>
      </c>
      <c r="C42">
        <v>1.3735464357386289</v>
      </c>
      <c r="D42">
        <v>1.223530219910449</v>
      </c>
      <c r="E42">
        <v>1.2698331372655269</v>
      </c>
      <c r="F42">
        <v>1.334910150870557</v>
      </c>
      <c r="G42">
        <v>1.2338595464397379</v>
      </c>
      <c r="H42">
        <v>1.28209817647044</v>
      </c>
      <c r="I42">
        <v>1.338080919676558</v>
      </c>
      <c r="J42">
        <v>1.354001615897833</v>
      </c>
      <c r="K42">
        <v>1.3545546846745169</v>
      </c>
      <c r="L42">
        <v>1.322013489529118</v>
      </c>
      <c r="M42">
        <v>1.335059552996064</v>
      </c>
      <c r="N42">
        <v>1.294710302346854</v>
      </c>
      <c r="O42">
        <v>1.3204462563574371</v>
      </c>
      <c r="P42">
        <v>1.2751923636013509</v>
      </c>
      <c r="Q42">
        <v>1.29897967536727</v>
      </c>
      <c r="R42">
        <v>1.388682108257455</v>
      </c>
      <c r="S42">
        <v>1.3733042692531721</v>
      </c>
      <c r="T42">
        <v>1.3498879292257111</v>
      </c>
      <c r="U42">
        <v>1.3434619057425849</v>
      </c>
      <c r="V42">
        <v>1.381184319697591</v>
      </c>
      <c r="W42">
        <v>1.4163305890670661</v>
      </c>
      <c r="X42">
        <v>1.4168064809494709</v>
      </c>
      <c r="Y42">
        <v>1.4138365084348099</v>
      </c>
      <c r="Z42">
        <v>1.4708135296777489</v>
      </c>
      <c r="AA42">
        <v>1.480265224630146</v>
      </c>
    </row>
    <row r="43" spans="1:27" x14ac:dyDescent="0.35">
      <c r="A43" t="s">
        <v>36</v>
      </c>
      <c r="B43">
        <v>0.22648378690477219</v>
      </c>
      <c r="C43">
        <v>0.23588541256436829</v>
      </c>
      <c r="D43">
        <v>0.24013738237779661</v>
      </c>
      <c r="E43">
        <v>0.22854346474047951</v>
      </c>
      <c r="F43">
        <v>0.2347374997497963</v>
      </c>
      <c r="G43">
        <v>0.2331170286885603</v>
      </c>
      <c r="H43">
        <v>0.23050897425184719</v>
      </c>
      <c r="I43">
        <v>0.23203214605009109</v>
      </c>
      <c r="J43">
        <v>0.2456802894306758</v>
      </c>
      <c r="K43">
        <v>0.24242404583036539</v>
      </c>
      <c r="L43">
        <v>0.23833032813800351</v>
      </c>
      <c r="M43">
        <v>0.23651522433216779</v>
      </c>
      <c r="N43">
        <v>0.24164464295817639</v>
      </c>
      <c r="O43">
        <v>0.24180221604769209</v>
      </c>
      <c r="P43">
        <v>0.23222520297430621</v>
      </c>
      <c r="Q43">
        <v>0.23218569013070711</v>
      </c>
      <c r="R43">
        <v>0.23527613891106511</v>
      </c>
      <c r="S43">
        <v>0.23254247943585951</v>
      </c>
      <c r="T43">
        <v>0.23312413010684011</v>
      </c>
      <c r="U43">
        <v>0.23862857821318501</v>
      </c>
      <c r="V43">
        <v>0.24133729195888889</v>
      </c>
      <c r="W43">
        <v>0.24235281414124929</v>
      </c>
      <c r="X43">
        <v>0.24236451616236321</v>
      </c>
      <c r="Y43">
        <v>0.24195383599041029</v>
      </c>
      <c r="Z43">
        <v>0.24105312126771611</v>
      </c>
      <c r="AA43">
        <v>0.23941855908506859</v>
      </c>
    </row>
    <row r="45" spans="1:27" x14ac:dyDescent="0.35">
      <c r="A45" t="s">
        <v>40</v>
      </c>
      <c r="B45" t="s">
        <v>1</v>
      </c>
      <c r="C45" t="s">
        <v>2</v>
      </c>
      <c r="D45" t="s">
        <v>3</v>
      </c>
      <c r="E45" t="s">
        <v>4</v>
      </c>
      <c r="F45" t="s">
        <v>5</v>
      </c>
      <c r="G45" t="s">
        <v>6</v>
      </c>
      <c r="H45" t="s">
        <v>7</v>
      </c>
      <c r="I45" t="s">
        <v>8</v>
      </c>
      <c r="J45" t="s">
        <v>9</v>
      </c>
      <c r="K45" t="s">
        <v>10</v>
      </c>
      <c r="L45" t="s">
        <v>11</v>
      </c>
      <c r="M45" t="s">
        <v>12</v>
      </c>
      <c r="N45" t="s">
        <v>13</v>
      </c>
      <c r="O45" t="s">
        <v>14</v>
      </c>
      <c r="P45" t="s">
        <v>15</v>
      </c>
      <c r="Q45" t="s">
        <v>16</v>
      </c>
      <c r="R45" t="s">
        <v>17</v>
      </c>
      <c r="S45" t="s">
        <v>18</v>
      </c>
      <c r="T45" t="s">
        <v>19</v>
      </c>
      <c r="U45" t="s">
        <v>20</v>
      </c>
      <c r="V45" t="s">
        <v>21</v>
      </c>
      <c r="W45" t="s">
        <v>22</v>
      </c>
      <c r="X45" t="s">
        <v>23</v>
      </c>
      <c r="Y45" t="s">
        <v>24</v>
      </c>
      <c r="Z45" t="s">
        <v>25</v>
      </c>
      <c r="AA45" t="s">
        <v>26</v>
      </c>
    </row>
    <row r="46" spans="1:27" x14ac:dyDescent="0.35">
      <c r="A46" t="s">
        <v>28</v>
      </c>
      <c r="B46">
        <v>132.4052406085342</v>
      </c>
      <c r="C46">
        <v>133.2043204352899</v>
      </c>
      <c r="D46">
        <v>136.3321953766237</v>
      </c>
      <c r="E46">
        <v>135.35901515591621</v>
      </c>
      <c r="F46">
        <v>133.85737584675849</v>
      </c>
      <c r="G46">
        <v>131.8711109882932</v>
      </c>
      <c r="H46">
        <v>131.13601025157351</v>
      </c>
      <c r="I46">
        <v>129.49575375995741</v>
      </c>
      <c r="J46">
        <v>129.33986697515539</v>
      </c>
      <c r="K46">
        <v>131.44923485313231</v>
      </c>
      <c r="L46">
        <v>131.7012569159462</v>
      </c>
      <c r="M46">
        <v>131.26736776136539</v>
      </c>
      <c r="N46">
        <v>132.73238468866589</v>
      </c>
      <c r="O46">
        <v>133.43761150790689</v>
      </c>
      <c r="P46">
        <v>133.77076990491361</v>
      </c>
      <c r="Q46">
        <v>135.32305386348179</v>
      </c>
      <c r="R46">
        <v>136.16598007794221</v>
      </c>
      <c r="S46">
        <v>136.819962750126</v>
      </c>
      <c r="T46">
        <v>136.68873727956989</v>
      </c>
      <c r="U46">
        <v>134.94827752867641</v>
      </c>
      <c r="V46">
        <v>134.5540665758642</v>
      </c>
      <c r="W46">
        <v>136.39484121344259</v>
      </c>
      <c r="X46">
        <v>136.99098557816819</v>
      </c>
      <c r="Y46">
        <v>137.18006005902231</v>
      </c>
      <c r="Z46">
        <v>139.82814717048521</v>
      </c>
      <c r="AA46">
        <v>141.68431446040881</v>
      </c>
    </row>
    <row r="47" spans="1:27" x14ac:dyDescent="0.35">
      <c r="A47" t="s">
        <v>29</v>
      </c>
      <c r="B47">
        <v>0.55509217942646616</v>
      </c>
      <c r="C47">
        <v>0.6190176034061613</v>
      </c>
      <c r="D47">
        <v>0.28244888924878048</v>
      </c>
      <c r="E47">
        <v>-0.82617462306285616</v>
      </c>
      <c r="F47">
        <v>-0.37314023275518499</v>
      </c>
      <c r="G47">
        <v>-0.63191688299586757</v>
      </c>
      <c r="H47">
        <v>-1.221237850526661</v>
      </c>
      <c r="I47">
        <v>-1.443109534406924</v>
      </c>
      <c r="J47">
        <v>-1.132670934908514</v>
      </c>
      <c r="K47">
        <v>-1.037068076055067</v>
      </c>
      <c r="L47">
        <v>-1.761081625198831</v>
      </c>
      <c r="M47">
        <v>-1.621349347250409</v>
      </c>
      <c r="N47">
        <v>-1.8932999812666731</v>
      </c>
      <c r="O47">
        <v>-1.142759364955334</v>
      </c>
      <c r="P47">
        <v>-0.79219969729148099</v>
      </c>
      <c r="Q47">
        <v>0.31181630210459232</v>
      </c>
      <c r="R47">
        <v>-0.62328108840308127</v>
      </c>
      <c r="S47">
        <v>-0.38261555166501748</v>
      </c>
      <c r="T47">
        <v>-0.56753320227753423</v>
      </c>
      <c r="U47">
        <v>-0.41182198428847749</v>
      </c>
      <c r="V47">
        <v>-1.0607409982893661</v>
      </c>
      <c r="W47">
        <v>0.14018267803275061</v>
      </c>
      <c r="X47">
        <v>6.0621737640286458E-2</v>
      </c>
      <c r="Y47">
        <v>0.85686115621988457</v>
      </c>
      <c r="Z47">
        <v>0.74258695390488016</v>
      </c>
      <c r="AA47">
        <v>0.38372872482573062</v>
      </c>
    </row>
    <row r="48" spans="1:27" x14ac:dyDescent="0.35">
      <c r="A48" t="s">
        <v>30</v>
      </c>
      <c r="B48">
        <v>-0.79429028517815536</v>
      </c>
      <c r="C48">
        <v>-0.55482877112225837</v>
      </c>
      <c r="D48">
        <v>-0.2297095069630084</v>
      </c>
      <c r="E48">
        <v>-0.35699168077156901</v>
      </c>
      <c r="F48">
        <v>-0.35993676418182791</v>
      </c>
      <c r="G48">
        <v>1.8958462890834599E-2</v>
      </c>
      <c r="H48">
        <v>-0.55548366324441278</v>
      </c>
      <c r="I48">
        <v>-0.56715633561547985</v>
      </c>
      <c r="J48">
        <v>-1.5300549052244621</v>
      </c>
      <c r="K48">
        <v>-1.6859852563512421</v>
      </c>
      <c r="L48">
        <v>-2.3600627274214991</v>
      </c>
      <c r="M48">
        <v>-2.571393669706743</v>
      </c>
      <c r="N48">
        <v>-2.1665315666318898</v>
      </c>
      <c r="O48">
        <v>-1.63089885716703</v>
      </c>
      <c r="P48">
        <v>-1.4282719484723509</v>
      </c>
      <c r="Q48">
        <v>-0.80040232922458465</v>
      </c>
      <c r="R48">
        <v>-1.1522986965615221</v>
      </c>
      <c r="S48">
        <v>-0.76808350970819139</v>
      </c>
      <c r="T48">
        <v>-0.137437545092707</v>
      </c>
      <c r="U48">
        <v>1.614417308938112</v>
      </c>
      <c r="V48">
        <v>2.5521221397673268</v>
      </c>
      <c r="W48">
        <v>1.69524997441562</v>
      </c>
      <c r="X48">
        <v>1.7582027686798001</v>
      </c>
      <c r="Y48">
        <v>2.260931356000996</v>
      </c>
      <c r="Z48">
        <v>1.516981182575821</v>
      </c>
      <c r="AA48">
        <v>0.69618987287265355</v>
      </c>
    </row>
    <row r="49" spans="1:27" x14ac:dyDescent="0.35">
      <c r="A49" t="s">
        <v>31</v>
      </c>
      <c r="B49">
        <v>-0.38331909534821113</v>
      </c>
      <c r="C49">
        <v>5.7751799136573252E-2</v>
      </c>
      <c r="D49">
        <v>3.0804286279264659</v>
      </c>
      <c r="E49">
        <v>1.385392515146433</v>
      </c>
      <c r="F49">
        <v>1.5530756826182499</v>
      </c>
      <c r="G49">
        <v>3.187995759254874</v>
      </c>
      <c r="H49">
        <v>1.8780024972864851</v>
      </c>
      <c r="I49">
        <v>1.2784928353071741</v>
      </c>
      <c r="J49">
        <v>0.97333527794152319</v>
      </c>
      <c r="K49">
        <v>1.765421484601347</v>
      </c>
      <c r="L49">
        <v>2.680541209666234</v>
      </c>
      <c r="M49">
        <v>1.749207094109076</v>
      </c>
      <c r="N49">
        <v>1.187232294036024</v>
      </c>
      <c r="O49">
        <v>2.002301085374754</v>
      </c>
      <c r="P49">
        <v>3.2954434877371339</v>
      </c>
      <c r="Q49">
        <v>2.4096305708385422</v>
      </c>
      <c r="R49">
        <v>2.2610601541139119</v>
      </c>
      <c r="S49">
        <v>2.5509004765234509</v>
      </c>
      <c r="T49">
        <v>2.30744896350184</v>
      </c>
      <c r="U49">
        <v>1.776420492915042</v>
      </c>
      <c r="V49">
        <v>2.021642845775864</v>
      </c>
      <c r="W49">
        <v>2.5085805189318648</v>
      </c>
      <c r="X49">
        <v>2.4222537575179781</v>
      </c>
      <c r="Y49">
        <v>2.2380316879718962</v>
      </c>
      <c r="Z49">
        <v>2.0052028884581969</v>
      </c>
      <c r="AA49">
        <v>2.3623787456293619</v>
      </c>
    </row>
    <row r="50" spans="1:27" x14ac:dyDescent="0.35">
      <c r="A50" t="s">
        <v>32</v>
      </c>
      <c r="B50">
        <v>0.87533433998353738</v>
      </c>
      <c r="C50">
        <v>0.25839312550544141</v>
      </c>
      <c r="D50">
        <v>0.2479814505703925</v>
      </c>
      <c r="E50">
        <v>5.6589515173367237E-2</v>
      </c>
      <c r="F50">
        <v>0.18696504238192629</v>
      </c>
      <c r="G50">
        <v>0.37103073262691721</v>
      </c>
      <c r="H50">
        <v>0.34301409361501112</v>
      </c>
      <c r="I50">
        <v>0.40402862878805229</v>
      </c>
      <c r="J50">
        <v>5.3100283350837607E-3</v>
      </c>
      <c r="K50">
        <v>-6.9641350010235517E-3</v>
      </c>
      <c r="L50">
        <v>2.188864324972894E-4</v>
      </c>
      <c r="M50">
        <v>-0.80517296084469958</v>
      </c>
      <c r="N50">
        <v>-0.1764634217422803</v>
      </c>
      <c r="O50">
        <v>-0.10779296174793949</v>
      </c>
      <c r="P50">
        <v>5.4019849244043287E-2</v>
      </c>
      <c r="Q50">
        <v>-5.7681026672251327E-2</v>
      </c>
      <c r="R50">
        <v>-0.23309726557093621</v>
      </c>
      <c r="S50">
        <v>-0.22142757087401729</v>
      </c>
      <c r="T50">
        <v>-0.1805156565475011</v>
      </c>
      <c r="U50">
        <v>-0.22447182660990991</v>
      </c>
      <c r="V50">
        <v>-0.23129723492762119</v>
      </c>
      <c r="W50">
        <v>-0.17988965506621929</v>
      </c>
      <c r="X50">
        <v>-0.1926803837567245</v>
      </c>
      <c r="Y50">
        <v>-0.18020496721302881</v>
      </c>
      <c r="Z50">
        <v>-0.15992133286167171</v>
      </c>
      <c r="AA50">
        <v>-8.1836956383420922E-2</v>
      </c>
    </row>
    <row r="51" spans="1:27" x14ac:dyDescent="0.35">
      <c r="A51" t="s">
        <v>33</v>
      </c>
      <c r="B51">
        <v>132.65805774741781</v>
      </c>
      <c r="C51">
        <v>133.58465419221579</v>
      </c>
      <c r="D51">
        <v>139.71334483740631</v>
      </c>
      <c r="E51">
        <v>135.61783088240159</v>
      </c>
      <c r="F51">
        <v>134.8643395748216</v>
      </c>
      <c r="G51">
        <v>134.81717906006989</v>
      </c>
      <c r="H51">
        <v>131.5803053287039</v>
      </c>
      <c r="I51">
        <v>129.1680093540302</v>
      </c>
      <c r="J51">
        <v>127.655786441299</v>
      </c>
      <c r="K51">
        <v>130.48463887032631</v>
      </c>
      <c r="L51">
        <v>130.26087265942459</v>
      </c>
      <c r="M51">
        <v>128.01865887767269</v>
      </c>
      <c r="N51">
        <v>129.68332201306109</v>
      </c>
      <c r="O51">
        <v>132.55846140941139</v>
      </c>
      <c r="P51">
        <v>134.89976159613099</v>
      </c>
      <c r="Q51">
        <v>137.1864173805281</v>
      </c>
      <c r="R51">
        <v>136.41836318152059</v>
      </c>
      <c r="S51">
        <v>137.9987365944022</v>
      </c>
      <c r="T51">
        <v>138.11069983915399</v>
      </c>
      <c r="U51">
        <v>137.7028215196311</v>
      </c>
      <c r="V51">
        <v>137.83579332819039</v>
      </c>
      <c r="W51">
        <v>140.55896472975661</v>
      </c>
      <c r="X51">
        <v>141.03938345824949</v>
      </c>
      <c r="Y51">
        <v>142.35567929200201</v>
      </c>
      <c r="Z51">
        <v>143.93299686256239</v>
      </c>
      <c r="AA51">
        <v>145.0447748473531</v>
      </c>
    </row>
    <row r="52" spans="1:27" x14ac:dyDescent="0.35">
      <c r="A52" t="s">
        <v>34</v>
      </c>
      <c r="B52">
        <v>42553122.899999999</v>
      </c>
      <c r="C52">
        <v>47002296.299999997</v>
      </c>
      <c r="D52">
        <v>47477581.18</v>
      </c>
      <c r="E52">
        <v>49714389.219999999</v>
      </c>
      <c r="F52">
        <v>90567688.660000011</v>
      </c>
      <c r="G52">
        <v>127923648.14</v>
      </c>
      <c r="H52">
        <v>96652351.349999994</v>
      </c>
      <c r="I52">
        <v>73674278.699999988</v>
      </c>
      <c r="J52">
        <v>75796058.330000013</v>
      </c>
      <c r="K52">
        <v>68502841.209999993</v>
      </c>
      <c r="L52">
        <v>57431701.939999998</v>
      </c>
      <c r="M52">
        <v>64871475.329999998</v>
      </c>
      <c r="N52">
        <v>68527005.280000001</v>
      </c>
      <c r="O52">
        <v>60647500.859999999</v>
      </c>
      <c r="P52">
        <v>74281824.359999985</v>
      </c>
      <c r="Q52">
        <v>77684269.479999989</v>
      </c>
      <c r="R52">
        <v>115573172.11</v>
      </c>
      <c r="S52">
        <v>101846818.87</v>
      </c>
      <c r="T52">
        <v>81075577.480000004</v>
      </c>
      <c r="U52">
        <v>92100304.280000001</v>
      </c>
      <c r="V52">
        <v>151103820.03</v>
      </c>
      <c r="W52">
        <v>130204233.65000001</v>
      </c>
      <c r="X52">
        <v>108662439.09999999</v>
      </c>
      <c r="Y52">
        <v>91413081.210000008</v>
      </c>
      <c r="Z52">
        <v>95634997.019999996</v>
      </c>
      <c r="AA52">
        <v>56105027.549999997</v>
      </c>
    </row>
    <row r="53" spans="1:27" x14ac:dyDescent="0.35">
      <c r="A53" t="s">
        <v>35</v>
      </c>
      <c r="B53">
        <v>1.472548182079306</v>
      </c>
      <c r="C53">
        <v>1.446602835344907</v>
      </c>
      <c r="D53">
        <v>1.268798316004325</v>
      </c>
      <c r="E53">
        <v>1.3685063226384451</v>
      </c>
      <c r="F53">
        <v>1.358642606904809</v>
      </c>
      <c r="G53">
        <v>1.26247083769089</v>
      </c>
      <c r="H53">
        <v>1.3395292648655011</v>
      </c>
      <c r="I53">
        <v>1.3747945390995779</v>
      </c>
      <c r="J53">
        <v>1.392744983650499</v>
      </c>
      <c r="K53">
        <v>1.3461516773763911</v>
      </c>
      <c r="L53">
        <v>1.2923211053137511</v>
      </c>
      <c r="M53">
        <v>1.347105465052407</v>
      </c>
      <c r="N53">
        <v>1.380162806233175</v>
      </c>
      <c r="O53">
        <v>1.3322175832132499</v>
      </c>
      <c r="P53">
        <v>1.2561503830742859</v>
      </c>
      <c r="Q53">
        <v>1.308257025244792</v>
      </c>
      <c r="R53">
        <v>1.316996461522711</v>
      </c>
      <c r="S53">
        <v>1.2999470307927381</v>
      </c>
      <c r="T53">
        <v>1.314267708029303</v>
      </c>
      <c r="U53">
        <v>1.34550467688735</v>
      </c>
      <c r="V53">
        <v>1.3310798326014199</v>
      </c>
      <c r="W53">
        <v>1.302436440062831</v>
      </c>
      <c r="X53">
        <v>1.307514484851884</v>
      </c>
      <c r="Y53">
        <v>1.3183510771781239</v>
      </c>
      <c r="Z53">
        <v>1.3320468889142241</v>
      </c>
      <c r="AA53">
        <v>1.3110365443747429</v>
      </c>
    </row>
    <row r="54" spans="1:27" x14ac:dyDescent="0.35">
      <c r="A54" t="s">
        <v>36</v>
      </c>
      <c r="B54">
        <v>0.22249522371452091</v>
      </c>
      <c r="C54">
        <v>0.23130866963563651</v>
      </c>
      <c r="D54">
        <v>0.23145740784899441</v>
      </c>
      <c r="E54">
        <v>0.2341915783546662</v>
      </c>
      <c r="F54">
        <v>0.2323290708231153</v>
      </c>
      <c r="G54">
        <v>0.2296995609624726</v>
      </c>
      <c r="H54">
        <v>0.23009979866264271</v>
      </c>
      <c r="I54">
        <v>0.22922816244588501</v>
      </c>
      <c r="J54">
        <v>0.23492414245235591</v>
      </c>
      <c r="K54">
        <v>0.23509948764287181</v>
      </c>
      <c r="L54">
        <v>0.23499687305096431</v>
      </c>
      <c r="M54">
        <v>0.24650247086921001</v>
      </c>
      <c r="N54">
        <v>0.23752090602488971</v>
      </c>
      <c r="O54">
        <v>0.23653989945354201</v>
      </c>
      <c r="P54">
        <v>0.2342282878679422</v>
      </c>
      <c r="Q54">
        <v>0.23582401466674641</v>
      </c>
      <c r="R54">
        <v>0.23832996093672759</v>
      </c>
      <c r="S54">
        <v>0.23816325101248589</v>
      </c>
      <c r="T54">
        <v>0.23757879509353569</v>
      </c>
      <c r="U54">
        <v>0.23820674038014161</v>
      </c>
      <c r="V54">
        <v>0.23830424621325169</v>
      </c>
      <c r="W54">
        <v>0.23756985221523169</v>
      </c>
      <c r="X54">
        <v>0.23775257691081031</v>
      </c>
      <c r="Y54">
        <v>0.2375743566744718</v>
      </c>
      <c r="Z54">
        <v>0.23728459046945241</v>
      </c>
      <c r="AA54">
        <v>0.236169099376906</v>
      </c>
    </row>
    <row r="56" spans="1:27" x14ac:dyDescent="0.35">
      <c r="A56" t="s">
        <v>41</v>
      </c>
      <c r="B56" t="s">
        <v>1</v>
      </c>
      <c r="C56" t="s">
        <v>2</v>
      </c>
      <c r="D56" t="s">
        <v>3</v>
      </c>
      <c r="E56" t="s">
        <v>4</v>
      </c>
      <c r="F56" t="s">
        <v>5</v>
      </c>
      <c r="G56" t="s">
        <v>6</v>
      </c>
      <c r="H56" t="s">
        <v>7</v>
      </c>
      <c r="I56" t="s">
        <v>8</v>
      </c>
      <c r="J56" t="s">
        <v>9</v>
      </c>
      <c r="K56" t="s">
        <v>10</v>
      </c>
      <c r="L56" t="s">
        <v>11</v>
      </c>
      <c r="M56" t="s">
        <v>12</v>
      </c>
      <c r="N56" t="s">
        <v>13</v>
      </c>
      <c r="O56" t="s">
        <v>14</v>
      </c>
      <c r="P56" t="s">
        <v>15</v>
      </c>
      <c r="Q56" t="s">
        <v>16</v>
      </c>
      <c r="R56" t="s">
        <v>17</v>
      </c>
      <c r="S56" t="s">
        <v>18</v>
      </c>
      <c r="T56" t="s">
        <v>19</v>
      </c>
      <c r="U56" t="s">
        <v>20</v>
      </c>
      <c r="V56" t="s">
        <v>21</v>
      </c>
      <c r="W56" t="s">
        <v>22</v>
      </c>
      <c r="X56" t="s">
        <v>23</v>
      </c>
      <c r="Y56" t="s">
        <v>24</v>
      </c>
      <c r="Z56" t="s">
        <v>25</v>
      </c>
      <c r="AA56" t="s">
        <v>26</v>
      </c>
    </row>
    <row r="57" spans="1:27" x14ac:dyDescent="0.35">
      <c r="A57" t="s">
        <v>28</v>
      </c>
      <c r="B57">
        <v>138.31110788129681</v>
      </c>
      <c r="C57">
        <v>139.94234979419369</v>
      </c>
      <c r="D57">
        <v>140.21326887301029</v>
      </c>
      <c r="E57">
        <v>139.02306822914119</v>
      </c>
      <c r="F57">
        <v>138.05094234297749</v>
      </c>
      <c r="G57">
        <v>138.22982150103391</v>
      </c>
      <c r="H57">
        <v>137.4273919650816</v>
      </c>
      <c r="I57">
        <v>136.5754474126289</v>
      </c>
      <c r="J57">
        <v>136.62619100934259</v>
      </c>
      <c r="K57">
        <v>137.5539715340436</v>
      </c>
      <c r="L57">
        <v>138.43880890698861</v>
      </c>
      <c r="M57">
        <v>139.91935522956501</v>
      </c>
      <c r="N57">
        <v>141.0673565801379</v>
      </c>
      <c r="O57">
        <v>141.42781281253681</v>
      </c>
      <c r="P57">
        <v>141.31911811386121</v>
      </c>
      <c r="Q57">
        <v>141.37036260344871</v>
      </c>
      <c r="R57">
        <v>140.71650434850261</v>
      </c>
      <c r="S57">
        <v>141.285867585565</v>
      </c>
      <c r="T57">
        <v>140.9217740460771</v>
      </c>
      <c r="U57">
        <v>140.86289501388339</v>
      </c>
      <c r="V57">
        <v>140.82180970632899</v>
      </c>
      <c r="W57">
        <v>140.9130261474356</v>
      </c>
      <c r="X57">
        <v>140.9405733412554</v>
      </c>
      <c r="Y57">
        <v>141.60739685663719</v>
      </c>
      <c r="Z57">
        <v>142.4088148205243</v>
      </c>
      <c r="AA57">
        <v>142.9211629196293</v>
      </c>
    </row>
    <row r="58" spans="1:27" x14ac:dyDescent="0.35">
      <c r="A58" t="s">
        <v>29</v>
      </c>
      <c r="B58">
        <v>2.590807660332604</v>
      </c>
      <c r="C58">
        <v>2.3349743879272959</v>
      </c>
      <c r="D58">
        <v>2.2232278538134032</v>
      </c>
      <c r="E58">
        <v>2.247447582258328</v>
      </c>
      <c r="F58">
        <v>2.2844460029348772</v>
      </c>
      <c r="G58">
        <v>2.129302027323956</v>
      </c>
      <c r="H58">
        <v>1.84641892233808</v>
      </c>
      <c r="I58">
        <v>1.532438503873806</v>
      </c>
      <c r="J58">
        <v>0.96734906285831634</v>
      </c>
      <c r="K58">
        <v>0.85615656111611982</v>
      </c>
      <c r="L58">
        <v>0.68622795233698364</v>
      </c>
      <c r="M58">
        <v>0.69367149246856175</v>
      </c>
      <c r="N58">
        <v>0.51134617863612331</v>
      </c>
      <c r="O58">
        <v>0.5945253639535375</v>
      </c>
      <c r="P58">
        <v>0.67790594813772598</v>
      </c>
      <c r="Q58">
        <v>0.79599142755138708</v>
      </c>
      <c r="R58">
        <v>0.61569637015005885</v>
      </c>
      <c r="S58">
        <v>1.013640019284676</v>
      </c>
      <c r="T58">
        <v>0.9013983370433738</v>
      </c>
      <c r="U58">
        <v>0.62258632147679216</v>
      </c>
      <c r="V58">
        <v>0.28492138341752637</v>
      </c>
      <c r="W58">
        <v>0.87411933719567925</v>
      </c>
      <c r="X58">
        <v>0.61333733774252552</v>
      </c>
      <c r="Y58">
        <v>0.58318455430698179</v>
      </c>
      <c r="Z58">
        <v>0.27357359350827931</v>
      </c>
      <c r="AA58">
        <v>0.13405070188756241</v>
      </c>
    </row>
    <row r="59" spans="1:27" x14ac:dyDescent="0.35">
      <c r="A59" t="s">
        <v>30</v>
      </c>
      <c r="B59">
        <v>0.1162188255420146</v>
      </c>
      <c r="C59">
        <v>0.2422249759479192</v>
      </c>
      <c r="D59">
        <v>9.3941243964848611E-2</v>
      </c>
      <c r="E59">
        <v>0.24847993720943351</v>
      </c>
      <c r="F59">
        <v>0.32475589573554231</v>
      </c>
      <c r="G59">
        <v>0.49512753690808298</v>
      </c>
      <c r="H59">
        <v>0.85512877426305267</v>
      </c>
      <c r="I59">
        <v>0.47742374976024921</v>
      </c>
      <c r="J59">
        <v>0.39288447578243368</v>
      </c>
      <c r="K59">
        <v>4.4277889447526718E-2</v>
      </c>
      <c r="L59">
        <v>-0.14596133840803621</v>
      </c>
      <c r="M59">
        <v>-0.1867416303436836</v>
      </c>
      <c r="N59">
        <v>-0.303984123971203</v>
      </c>
      <c r="O59">
        <v>-8.5298468807857963E-2</v>
      </c>
      <c r="P59">
        <v>-9.7998239367146689E-2</v>
      </c>
      <c r="Q59">
        <v>0.103400196266677</v>
      </c>
      <c r="R59">
        <v>-2.1751611018272849E-2</v>
      </c>
      <c r="S59">
        <v>9.4716721590779276E-2</v>
      </c>
      <c r="T59">
        <v>-0.12958422962078631</v>
      </c>
      <c r="U59">
        <v>-0.16881096777240359</v>
      </c>
      <c r="V59">
        <v>-0.19190966623712211</v>
      </c>
      <c r="W59">
        <v>4.2637408903608058E-2</v>
      </c>
      <c r="X59">
        <v>0.21642668667388951</v>
      </c>
      <c r="Y59">
        <v>0.3013372059865998</v>
      </c>
      <c r="Z59">
        <v>0.2413784747069036</v>
      </c>
      <c r="AA59">
        <v>0.27431661196902229</v>
      </c>
    </row>
    <row r="60" spans="1:27" x14ac:dyDescent="0.35">
      <c r="A60" t="s">
        <v>31</v>
      </c>
      <c r="B60">
        <v>-1.3135471987204039</v>
      </c>
      <c r="C60">
        <v>-1.642386822836216</v>
      </c>
      <c r="D60">
        <v>2.4050800527971421E-2</v>
      </c>
      <c r="E60">
        <v>-1.490904024691986</v>
      </c>
      <c r="F60">
        <v>0.1175886975330466</v>
      </c>
      <c r="G60">
        <v>1.7419762692397069</v>
      </c>
      <c r="H60">
        <v>1.170780109475855</v>
      </c>
      <c r="I60">
        <v>1.0574209267046011</v>
      </c>
      <c r="J60">
        <v>-0.14426127913294171</v>
      </c>
      <c r="K60">
        <v>0.39537087851614949</v>
      </c>
      <c r="L60">
        <v>-0.42543537529077802</v>
      </c>
      <c r="M60">
        <v>-1.7278399062573819</v>
      </c>
      <c r="N60">
        <v>-2.0007209038844458</v>
      </c>
      <c r="O60">
        <v>-0.9904281957888158</v>
      </c>
      <c r="P60">
        <v>-2.880749526953676</v>
      </c>
      <c r="Q60">
        <v>-3.913205647233077</v>
      </c>
      <c r="R60">
        <v>-3.248205557441143</v>
      </c>
      <c r="S60">
        <v>-0.66244957531698756</v>
      </c>
      <c r="T60">
        <v>-1.1097254960788141</v>
      </c>
      <c r="U60">
        <v>-1.0559025021776469</v>
      </c>
      <c r="V60">
        <v>-0.5026880437657163</v>
      </c>
      <c r="W60">
        <v>-0.21308899553314989</v>
      </c>
      <c r="X60">
        <v>-0.3644828857394049</v>
      </c>
      <c r="Y60">
        <v>-0.15528186086812229</v>
      </c>
      <c r="Z60">
        <v>0.31436360852832801</v>
      </c>
      <c r="AA60">
        <v>0.63212289643654818</v>
      </c>
    </row>
    <row r="61" spans="1:27" x14ac:dyDescent="0.35">
      <c r="A61" t="s">
        <v>32</v>
      </c>
      <c r="B61">
        <v>0.17906900919314889</v>
      </c>
      <c r="C61">
        <v>0.1457795897803815</v>
      </c>
      <c r="D61">
        <v>5.9505643387882112E-2</v>
      </c>
      <c r="E61">
        <v>0.1160251089922552</v>
      </c>
      <c r="F61">
        <v>0.104374511865592</v>
      </c>
      <c r="G61">
        <v>0.11317593522904321</v>
      </c>
      <c r="H61">
        <v>0.39597449371508497</v>
      </c>
      <c r="I61">
        <v>0.35462431437565389</v>
      </c>
      <c r="J61">
        <v>0.14701741223451059</v>
      </c>
      <c r="K61">
        <v>7.2422326196821762E-2</v>
      </c>
      <c r="L61">
        <v>5.9353300259878908E-2</v>
      </c>
      <c r="M61">
        <v>0.12249091732474909</v>
      </c>
      <c r="N61">
        <v>-0.10391590423127239</v>
      </c>
      <c r="O61">
        <v>-7.0659560975309649E-2</v>
      </c>
      <c r="P61">
        <v>9.7066297262075885E-4</v>
      </c>
      <c r="Q61">
        <v>-2.5288283287891178E-3</v>
      </c>
      <c r="R61">
        <v>-8.3616182043909748E-2</v>
      </c>
      <c r="S61">
        <v>0.14157192780615621</v>
      </c>
      <c r="T61">
        <v>8.9525299564209432E-2</v>
      </c>
      <c r="U61">
        <v>0.1062122879310313</v>
      </c>
      <c r="V61">
        <v>-3.7071124131246941E-2</v>
      </c>
      <c r="W61">
        <v>-2.289404778192666E-2</v>
      </c>
      <c r="X61">
        <v>1.375984273460336E-2</v>
      </c>
      <c r="Y61">
        <v>0.29408024175968861</v>
      </c>
      <c r="Z61">
        <v>0.20140810369432821</v>
      </c>
      <c r="AA61">
        <v>0.29708122787859809</v>
      </c>
    </row>
    <row r="62" spans="1:27" x14ac:dyDescent="0.35">
      <c r="A62" t="s">
        <v>33</v>
      </c>
      <c r="B62">
        <v>139.8836561776441</v>
      </c>
      <c r="C62">
        <v>141.02294192501299</v>
      </c>
      <c r="D62">
        <v>142.61399441470451</v>
      </c>
      <c r="E62">
        <v>140.1441168329093</v>
      </c>
      <c r="F62">
        <v>140.88210745104649</v>
      </c>
      <c r="G62">
        <v>142.70940326973471</v>
      </c>
      <c r="H62">
        <v>141.69569426487359</v>
      </c>
      <c r="I62">
        <v>139.99735490734321</v>
      </c>
      <c r="J62">
        <v>137.98918068108489</v>
      </c>
      <c r="K62">
        <v>138.92219918932031</v>
      </c>
      <c r="L62">
        <v>138.61299344588659</v>
      </c>
      <c r="M62">
        <v>138.82093610275729</v>
      </c>
      <c r="N62">
        <v>139.1700818266871</v>
      </c>
      <c r="O62">
        <v>140.87595195091839</v>
      </c>
      <c r="P62">
        <v>139.0192469586508</v>
      </c>
      <c r="Q62">
        <v>138.3540197517049</v>
      </c>
      <c r="R62">
        <v>137.97862736814929</v>
      </c>
      <c r="S62">
        <v>141.87334667892961</v>
      </c>
      <c r="T62">
        <v>140.6733879569851</v>
      </c>
      <c r="U62">
        <v>140.36698015334119</v>
      </c>
      <c r="V62">
        <v>140.37506225561239</v>
      </c>
      <c r="W62">
        <v>141.5937998502198</v>
      </c>
      <c r="X62">
        <v>141.419614322667</v>
      </c>
      <c r="Y62">
        <v>142.63071699782239</v>
      </c>
      <c r="Z62">
        <v>143.43953860096209</v>
      </c>
      <c r="AA62">
        <v>144.2587343578011</v>
      </c>
    </row>
    <row r="63" spans="1:27" x14ac:dyDescent="0.35">
      <c r="A63" t="s">
        <v>34</v>
      </c>
      <c r="B63">
        <v>240764136.25999999</v>
      </c>
      <c r="C63">
        <v>210493795.44999999</v>
      </c>
      <c r="D63">
        <v>273319699.92000002</v>
      </c>
      <c r="E63">
        <v>231112169.58000001</v>
      </c>
      <c r="F63">
        <v>368398002.19999999</v>
      </c>
      <c r="G63">
        <v>372936325.88999999</v>
      </c>
      <c r="H63">
        <v>340193751.29000002</v>
      </c>
      <c r="I63">
        <v>287445547.94</v>
      </c>
      <c r="J63">
        <v>221384917.77000001</v>
      </c>
      <c r="K63">
        <v>355505092.49000001</v>
      </c>
      <c r="L63">
        <v>294016808.01999998</v>
      </c>
      <c r="M63">
        <v>222708125.90000001</v>
      </c>
      <c r="N63">
        <v>259835732.69999999</v>
      </c>
      <c r="O63">
        <v>257704111.05000001</v>
      </c>
      <c r="P63">
        <v>146091043.21000001</v>
      </c>
      <c r="Q63">
        <v>124837212.95</v>
      </c>
      <c r="R63">
        <v>389748768.83999991</v>
      </c>
      <c r="S63">
        <v>325640028.30000001</v>
      </c>
      <c r="T63">
        <v>300359129.88999999</v>
      </c>
      <c r="U63">
        <v>287647686.19</v>
      </c>
      <c r="V63">
        <v>440786430.79000002</v>
      </c>
      <c r="W63">
        <v>384948759.32999998</v>
      </c>
      <c r="X63">
        <v>378587880.94</v>
      </c>
      <c r="Y63">
        <v>341169741.92999989</v>
      </c>
      <c r="Z63">
        <v>559646274.66000009</v>
      </c>
      <c r="AA63">
        <v>430569818.83999997</v>
      </c>
    </row>
    <row r="64" spans="1:27" x14ac:dyDescent="0.35">
      <c r="A64" t="s">
        <v>35</v>
      </c>
      <c r="B64">
        <v>1.7088730496579549</v>
      </c>
      <c r="C64">
        <v>1.7386322916593859</v>
      </c>
      <c r="D64">
        <v>1.587823456965795</v>
      </c>
      <c r="E64">
        <v>1.7249234411485961</v>
      </c>
      <c r="F64">
        <v>1.579358488911037</v>
      </c>
      <c r="G64">
        <v>1.4323550887565879</v>
      </c>
      <c r="H64">
        <v>1.4840470489162121</v>
      </c>
      <c r="I64">
        <v>1.4943057984882711</v>
      </c>
      <c r="J64">
        <v>1.6030553193785471</v>
      </c>
      <c r="K64">
        <v>1.554219829998539</v>
      </c>
      <c r="L64">
        <v>1.628500938940342</v>
      </c>
      <c r="M64">
        <v>1.7463656023762339</v>
      </c>
      <c r="N64">
        <v>1.7710607152836599</v>
      </c>
      <c r="O64">
        <v>1.6796315109311151</v>
      </c>
      <c r="P64">
        <v>1.8507013146564411</v>
      </c>
      <c r="Q64">
        <v>1.944136257668152</v>
      </c>
      <c r="R64">
        <v>1.8839552540670721</v>
      </c>
      <c r="S64">
        <v>1.6499501878114919</v>
      </c>
      <c r="T64">
        <v>1.6904276467039649</v>
      </c>
      <c r="U64">
        <v>1.6855567875273889</v>
      </c>
      <c r="V64">
        <v>1.635492130657531</v>
      </c>
      <c r="W64">
        <v>1.6092840719939501</v>
      </c>
      <c r="X64">
        <v>1.622984876537503</v>
      </c>
      <c r="Y64">
        <v>1.6040526570921381</v>
      </c>
      <c r="Z64">
        <v>1.5615508046580699</v>
      </c>
      <c r="AA64">
        <v>1.5327943080147921</v>
      </c>
    </row>
    <row r="65" spans="1:27" x14ac:dyDescent="0.35">
      <c r="A65" t="s">
        <v>36</v>
      </c>
      <c r="B65">
        <v>0.24606441738037041</v>
      </c>
      <c r="C65">
        <v>0.24679605297185969</v>
      </c>
      <c r="D65">
        <v>0.24869218366180479</v>
      </c>
      <c r="E65">
        <v>0.24744999760456579</v>
      </c>
      <c r="F65">
        <v>0.2477060546842727</v>
      </c>
      <c r="G65">
        <v>0.2475126168081529</v>
      </c>
      <c r="H65">
        <v>0.24129726387439371</v>
      </c>
      <c r="I65">
        <v>0.2422060590247109</v>
      </c>
      <c r="J65">
        <v>0.24676884808275801</v>
      </c>
      <c r="K65">
        <v>0.2484083005231468</v>
      </c>
      <c r="L65">
        <v>0.24869553186242019</v>
      </c>
      <c r="M65">
        <v>0.24730789192692859</v>
      </c>
      <c r="N65">
        <v>0.25228386602706088</v>
      </c>
      <c r="O65">
        <v>0.25155295738407268</v>
      </c>
      <c r="P65">
        <v>0.24997866674785449</v>
      </c>
      <c r="Q65">
        <v>0.25005557864458883</v>
      </c>
      <c r="R65">
        <v>0.25183771828667928</v>
      </c>
      <c r="S65">
        <v>0.24688852905920541</v>
      </c>
      <c r="T65">
        <v>0.2480324109985888</v>
      </c>
      <c r="U65">
        <v>0.2476656640015158</v>
      </c>
      <c r="V65">
        <v>0.25081474998090653</v>
      </c>
      <c r="W65">
        <v>0.25050316588531713</v>
      </c>
      <c r="X65">
        <v>0.24969758587396479</v>
      </c>
      <c r="Y65">
        <v>0.24353669798330349</v>
      </c>
      <c r="Z65">
        <v>0.2455734482704543</v>
      </c>
      <c r="AA65">
        <v>0.24347074224442641</v>
      </c>
    </row>
    <row r="67" spans="1:27" x14ac:dyDescent="0.35">
      <c r="A67" t="s">
        <v>42</v>
      </c>
      <c r="B67" t="s">
        <v>1</v>
      </c>
      <c r="C67" t="s">
        <v>2</v>
      </c>
      <c r="D67" t="s">
        <v>3</v>
      </c>
      <c r="E67" t="s">
        <v>4</v>
      </c>
      <c r="F67" t="s">
        <v>5</v>
      </c>
      <c r="G67" t="s">
        <v>6</v>
      </c>
      <c r="H67" t="s">
        <v>7</v>
      </c>
      <c r="I67" t="s">
        <v>8</v>
      </c>
      <c r="J67" t="s">
        <v>9</v>
      </c>
      <c r="K67" t="s">
        <v>10</v>
      </c>
      <c r="L67" t="s">
        <v>11</v>
      </c>
      <c r="M67" t="s">
        <v>12</v>
      </c>
      <c r="N67" t="s">
        <v>13</v>
      </c>
      <c r="O67" t="s">
        <v>14</v>
      </c>
      <c r="P67" t="s">
        <v>15</v>
      </c>
      <c r="Q67" t="s">
        <v>16</v>
      </c>
      <c r="R67" t="s">
        <v>17</v>
      </c>
      <c r="S67" t="s">
        <v>18</v>
      </c>
      <c r="T67" t="s">
        <v>19</v>
      </c>
      <c r="U67" t="s">
        <v>20</v>
      </c>
      <c r="V67" t="s">
        <v>21</v>
      </c>
      <c r="W67" t="s">
        <v>22</v>
      </c>
      <c r="X67" t="s">
        <v>23</v>
      </c>
      <c r="Y67" t="s">
        <v>24</v>
      </c>
      <c r="Z67" t="s">
        <v>25</v>
      </c>
      <c r="AA67" t="s">
        <v>26</v>
      </c>
    </row>
    <row r="68" spans="1:27" x14ac:dyDescent="0.35">
      <c r="A68" t="s">
        <v>28</v>
      </c>
      <c r="B68">
        <v>130.89314071269479</v>
      </c>
      <c r="C68">
        <v>133.5432742073512</v>
      </c>
      <c r="D68">
        <v>135.34070478125579</v>
      </c>
      <c r="E68">
        <v>135.0297623107962</v>
      </c>
      <c r="F68">
        <v>135.31362124642521</v>
      </c>
      <c r="G68">
        <v>135.3730929259138</v>
      </c>
      <c r="H68">
        <v>135.1175099949395</v>
      </c>
      <c r="I68">
        <v>133.5595815890558</v>
      </c>
      <c r="J68">
        <v>134.139955755936</v>
      </c>
      <c r="K68">
        <v>136.44765420264659</v>
      </c>
      <c r="L68">
        <v>137.2363976235612</v>
      </c>
      <c r="M68">
        <v>138.55094342109959</v>
      </c>
      <c r="N68">
        <v>139.34943339449549</v>
      </c>
      <c r="O68">
        <v>138.7241333472804</v>
      </c>
      <c r="P68">
        <v>138.78583548892499</v>
      </c>
      <c r="Q68">
        <v>138.23773919928519</v>
      </c>
      <c r="R68">
        <v>137.47432668197979</v>
      </c>
      <c r="S68">
        <v>138.7118674592908</v>
      </c>
      <c r="T68">
        <v>140.02209937604829</v>
      </c>
      <c r="U68">
        <v>138.53881959557509</v>
      </c>
      <c r="V68">
        <v>138.06970282710881</v>
      </c>
      <c r="W68">
        <v>139.13950028751401</v>
      </c>
      <c r="X68">
        <v>139.51510519500761</v>
      </c>
      <c r="Y68">
        <v>140.42967595001491</v>
      </c>
      <c r="Z68">
        <v>141.63181593500701</v>
      </c>
      <c r="AA68">
        <v>141.98451382068549</v>
      </c>
    </row>
    <row r="69" spans="1:27" x14ac:dyDescent="0.35">
      <c r="A69" t="s">
        <v>29</v>
      </c>
      <c r="B69">
        <v>0.50879057426336682</v>
      </c>
      <c r="C69">
        <v>0.65405489566697905</v>
      </c>
      <c r="D69">
        <v>0.48244929556603422</v>
      </c>
      <c r="E69">
        <v>0.52212224385197903</v>
      </c>
      <c r="F69">
        <v>1.1370099186220819</v>
      </c>
      <c r="G69">
        <v>1.0351099644926891</v>
      </c>
      <c r="H69">
        <v>0.69471917852056397</v>
      </c>
      <c r="I69">
        <v>0.20089019445016709</v>
      </c>
      <c r="J69">
        <v>1.2350278107260139E-2</v>
      </c>
      <c r="K69">
        <v>0.56526480263738699</v>
      </c>
      <c r="L69">
        <v>0.46538272332116071</v>
      </c>
      <c r="M69">
        <v>0.56027557824678809</v>
      </c>
      <c r="N69">
        <v>0.58093623864157451</v>
      </c>
      <c r="O69">
        <v>0.78450555767747965</v>
      </c>
      <c r="P69">
        <v>1.0026956071358371</v>
      </c>
      <c r="Q69">
        <v>0.78314145095734855</v>
      </c>
      <c r="R69">
        <v>0.28576704374102901</v>
      </c>
      <c r="S69">
        <v>0.90389091858392789</v>
      </c>
      <c r="T69">
        <v>1.0348229664702051</v>
      </c>
      <c r="U69">
        <v>0.9419754615529895</v>
      </c>
      <c r="V69">
        <v>0.99696197766413241</v>
      </c>
      <c r="W69">
        <v>1.3526475590816971</v>
      </c>
      <c r="X69">
        <v>1.634063598607371</v>
      </c>
      <c r="Y69">
        <v>1.826886816321857</v>
      </c>
      <c r="Z69">
        <v>1.788385239396465</v>
      </c>
      <c r="AA69">
        <v>1.923394114302192</v>
      </c>
    </row>
    <row r="70" spans="1:27" x14ac:dyDescent="0.35">
      <c r="A70" t="s">
        <v>30</v>
      </c>
      <c r="B70">
        <v>-0.64821650242244899</v>
      </c>
      <c r="C70">
        <v>-0.55763814120553978</v>
      </c>
      <c r="D70">
        <v>-0.2339803430663161</v>
      </c>
      <c r="E70">
        <v>0.24875308782956829</v>
      </c>
      <c r="F70">
        <v>0.1029011170774729</v>
      </c>
      <c r="G70">
        <v>5.3854851710444449E-2</v>
      </c>
      <c r="H70">
        <v>-0.10263734765118419</v>
      </c>
      <c r="I70">
        <v>-0.50348255944501563</v>
      </c>
      <c r="J70">
        <v>-0.93885333177583663</v>
      </c>
      <c r="K70">
        <v>-0.93002779685608516</v>
      </c>
      <c r="L70">
        <v>-0.99491972747114521</v>
      </c>
      <c r="M70">
        <v>-0.72343175931883263</v>
      </c>
      <c r="N70">
        <v>-0.73494378103096492</v>
      </c>
      <c r="O70">
        <v>-0.63419078510932236</v>
      </c>
      <c r="P70">
        <v>-0.59830978520810985</v>
      </c>
      <c r="Q70">
        <v>-0.53025302220172865</v>
      </c>
      <c r="R70">
        <v>-0.64016741672895294</v>
      </c>
      <c r="S70">
        <v>-0.18699045890524271</v>
      </c>
      <c r="T70">
        <v>0.1962145871345268</v>
      </c>
      <c r="U70">
        <v>0.92469703485188703</v>
      </c>
      <c r="V70">
        <v>0.91862856055892661</v>
      </c>
      <c r="W70">
        <v>1.026153379806573</v>
      </c>
      <c r="X70">
        <v>1.2887370326607079</v>
      </c>
      <c r="Y70">
        <v>1.6329000175928261</v>
      </c>
      <c r="Z70">
        <v>1.0872476278416501</v>
      </c>
      <c r="AA70">
        <v>1.243380485452418</v>
      </c>
    </row>
    <row r="71" spans="1:27" x14ac:dyDescent="0.35">
      <c r="A71" t="s">
        <v>31</v>
      </c>
      <c r="B71">
        <v>-0.78227141872544459</v>
      </c>
      <c r="C71">
        <v>-0.94245876056996447</v>
      </c>
      <c r="D71">
        <v>2.4944133750731869</v>
      </c>
      <c r="E71">
        <v>1.70945694056465</v>
      </c>
      <c r="F71">
        <v>3.7598889697733759</v>
      </c>
      <c r="G71">
        <v>6.5065679984716427</v>
      </c>
      <c r="H71">
        <v>5.4532950663276312</v>
      </c>
      <c r="I71">
        <v>4.8566628135754373</v>
      </c>
      <c r="J71">
        <v>5.0971073567754077</v>
      </c>
      <c r="K71">
        <v>5.0687305815753989</v>
      </c>
      <c r="L71">
        <v>4.691232305812262</v>
      </c>
      <c r="M71">
        <v>4.5169987306347741</v>
      </c>
      <c r="N71">
        <v>4.1127961250500631</v>
      </c>
      <c r="O71">
        <v>5.6401676115798018</v>
      </c>
      <c r="P71">
        <v>6.454406701671954</v>
      </c>
      <c r="Q71">
        <v>7.0053289049079153</v>
      </c>
      <c r="R71">
        <v>6.1364484229825287</v>
      </c>
      <c r="S71">
        <v>6.495787491866027</v>
      </c>
      <c r="T71">
        <v>6.9834583054413129</v>
      </c>
      <c r="U71">
        <v>6.9687694187817044</v>
      </c>
      <c r="V71">
        <v>6.6146835739477803</v>
      </c>
      <c r="W71">
        <v>7.4851172427773687</v>
      </c>
      <c r="X71">
        <v>7.2529902801811907</v>
      </c>
      <c r="Y71">
        <v>7.1112545097318822</v>
      </c>
      <c r="Z71">
        <v>6.1769013732172642</v>
      </c>
      <c r="AA71">
        <v>6.5010550115671304</v>
      </c>
    </row>
    <row r="72" spans="1:27" x14ac:dyDescent="0.35">
      <c r="A72" t="s">
        <v>32</v>
      </c>
      <c r="B72">
        <v>0.25471745690890513</v>
      </c>
      <c r="C72">
        <v>-0.12714651744989541</v>
      </c>
      <c r="D72">
        <v>-0.28953378524186518</v>
      </c>
      <c r="E72">
        <v>-0.1339160320789364</v>
      </c>
      <c r="F72">
        <v>-0.28442377666036661</v>
      </c>
      <c r="G72">
        <v>-0.13995273989725529</v>
      </c>
      <c r="H72">
        <v>-0.1114210977685087</v>
      </c>
      <c r="I72">
        <v>-0.1462990307952336</v>
      </c>
      <c r="J72">
        <v>-0.40674335562116309</v>
      </c>
      <c r="K72">
        <v>-0.26662217778219832</v>
      </c>
      <c r="L72">
        <v>-0.27427978706782602</v>
      </c>
      <c r="M72">
        <v>-0.23511346554522419</v>
      </c>
      <c r="N72">
        <v>-0.50163402015463221</v>
      </c>
      <c r="O72">
        <v>-0.60354941969057263</v>
      </c>
      <c r="P72">
        <v>-0.26444680085924088</v>
      </c>
      <c r="Q72">
        <v>-5.7523214280613542E-2</v>
      </c>
      <c r="R72">
        <v>-0.12551342511168539</v>
      </c>
      <c r="S72">
        <v>5.7282446476009781E-2</v>
      </c>
      <c r="T72">
        <v>-4.1653825697870538E-2</v>
      </c>
      <c r="U72">
        <v>-0.2440961632628143</v>
      </c>
      <c r="V72">
        <v>-0.28533255322381068</v>
      </c>
      <c r="W72">
        <v>-8.3188705427262338E-2</v>
      </c>
      <c r="X72">
        <v>-0.10560675419461341</v>
      </c>
      <c r="Y72">
        <v>-0.1131085727244672</v>
      </c>
      <c r="Z72">
        <v>4.215328382408997E-2</v>
      </c>
      <c r="AA72">
        <v>0.28794132013972551</v>
      </c>
    </row>
    <row r="73" spans="1:27" x14ac:dyDescent="0.35">
      <c r="A73" t="s">
        <v>33</v>
      </c>
      <c r="B73">
        <v>130.22616082271921</v>
      </c>
      <c r="C73">
        <v>132.5700856837928</v>
      </c>
      <c r="D73">
        <v>137.79405332358689</v>
      </c>
      <c r="E73">
        <v>137.3761785509634</v>
      </c>
      <c r="F73">
        <v>140.02899747523779</v>
      </c>
      <c r="G73">
        <v>142.82867300069131</v>
      </c>
      <c r="H73">
        <v>141.051465794368</v>
      </c>
      <c r="I73">
        <v>137.96735300684119</v>
      </c>
      <c r="J73">
        <v>137.90381670342171</v>
      </c>
      <c r="K73">
        <v>140.88499961222109</v>
      </c>
      <c r="L73">
        <v>141.12381313815561</v>
      </c>
      <c r="M73">
        <v>142.66967250511709</v>
      </c>
      <c r="N73">
        <v>142.8065879570016</v>
      </c>
      <c r="O73">
        <v>143.91106631173781</v>
      </c>
      <c r="P73">
        <v>145.38018121166539</v>
      </c>
      <c r="Q73">
        <v>145.4384333186681</v>
      </c>
      <c r="R73">
        <v>143.13086130686281</v>
      </c>
      <c r="S73">
        <v>145.98183785731149</v>
      </c>
      <c r="T73">
        <v>148.19494140939639</v>
      </c>
      <c r="U73">
        <v>147.13016534749889</v>
      </c>
      <c r="V73">
        <v>146.3146443860559</v>
      </c>
      <c r="W73">
        <v>148.92022976375239</v>
      </c>
      <c r="X73">
        <v>149.58528935226221</v>
      </c>
      <c r="Y73">
        <v>150.88760872093701</v>
      </c>
      <c r="Z73">
        <v>150.7265034592865</v>
      </c>
      <c r="AA73">
        <v>151.94028475214699</v>
      </c>
    </row>
    <row r="74" spans="1:27" x14ac:dyDescent="0.35">
      <c r="A74" t="s">
        <v>34</v>
      </c>
      <c r="B74">
        <v>159160815.81</v>
      </c>
      <c r="C74">
        <v>138102385.34</v>
      </c>
      <c r="D74">
        <v>143197446.96000001</v>
      </c>
      <c r="E74">
        <v>109161940.58</v>
      </c>
      <c r="F74">
        <v>157691004.66999999</v>
      </c>
      <c r="G74">
        <v>225588810.63</v>
      </c>
      <c r="H74">
        <v>181876192.52000001</v>
      </c>
      <c r="I74">
        <v>161916743.80000001</v>
      </c>
      <c r="J74">
        <v>156409884.69999999</v>
      </c>
      <c r="K74">
        <v>155752921.34</v>
      </c>
      <c r="L74">
        <v>131973060.86</v>
      </c>
      <c r="M74">
        <v>76618569.969999999</v>
      </c>
      <c r="N74">
        <v>54041206.030000001</v>
      </c>
      <c r="O74">
        <v>66578905.630000003</v>
      </c>
      <c r="P74">
        <v>107815918.89</v>
      </c>
      <c r="Q74">
        <v>158784411.47</v>
      </c>
      <c r="R74">
        <v>270140068.75</v>
      </c>
      <c r="S74">
        <v>316279067.27999997</v>
      </c>
      <c r="T74">
        <v>227499702.12</v>
      </c>
      <c r="U74">
        <v>241079645.25999999</v>
      </c>
      <c r="V74">
        <v>381663830.16000003</v>
      </c>
      <c r="W74">
        <v>390870718.56</v>
      </c>
      <c r="X74">
        <v>334276093.48000002</v>
      </c>
      <c r="Y74">
        <v>269135750</v>
      </c>
      <c r="Z74">
        <v>373412260.05000001</v>
      </c>
      <c r="AA74">
        <v>372470386.13999999</v>
      </c>
    </row>
    <row r="75" spans="1:27" x14ac:dyDescent="0.35">
      <c r="A75" t="s">
        <v>35</v>
      </c>
      <c r="B75">
        <v>1.8961636660323391</v>
      </c>
      <c r="C75">
        <v>1.924106443024417</v>
      </c>
      <c r="D75">
        <v>1.729964669684624</v>
      </c>
      <c r="E75">
        <v>1.79965991382833</v>
      </c>
      <c r="F75">
        <v>1.672500042954149</v>
      </c>
      <c r="G75">
        <v>1.4914088273865529</v>
      </c>
      <c r="H75">
        <v>1.5509079647305619</v>
      </c>
      <c r="I75">
        <v>1.5984939878820761</v>
      </c>
      <c r="J75">
        <v>1.5813764965540069</v>
      </c>
      <c r="K75">
        <v>1.5874784056756179</v>
      </c>
      <c r="L75">
        <v>1.6069768411529191</v>
      </c>
      <c r="M75">
        <v>1.6163360247429259</v>
      </c>
      <c r="N75">
        <v>1.6427916852203479</v>
      </c>
      <c r="O75">
        <v>1.5431865046932509</v>
      </c>
      <c r="P75">
        <v>1.4949011369135949</v>
      </c>
      <c r="Q75">
        <v>1.4844861474761719</v>
      </c>
      <c r="R75">
        <v>1.53024585346762</v>
      </c>
      <c r="S75">
        <v>1.5038392471781981</v>
      </c>
      <c r="T75">
        <v>1.48281921457232</v>
      </c>
      <c r="U75">
        <v>1.487348338247424</v>
      </c>
      <c r="V75">
        <v>1.495162986617709</v>
      </c>
      <c r="W75">
        <v>1.449646409556518</v>
      </c>
      <c r="X75">
        <v>1.4508583999730911</v>
      </c>
      <c r="Y75">
        <v>1.443440260959042</v>
      </c>
      <c r="Z75">
        <v>1.497104901863497</v>
      </c>
      <c r="AA75">
        <v>1.4936069373859719</v>
      </c>
    </row>
    <row r="76" spans="1:27" x14ac:dyDescent="0.35">
      <c r="A76" t="s">
        <v>36</v>
      </c>
      <c r="B76">
        <v>0.24361059858165729</v>
      </c>
      <c r="C76">
        <v>0.24963273675140629</v>
      </c>
      <c r="D76">
        <v>0.25219828473462891</v>
      </c>
      <c r="E76">
        <v>0.25069521488020258</v>
      </c>
      <c r="F76">
        <v>0.25264493096308432</v>
      </c>
      <c r="G76">
        <v>0.24998345102141889</v>
      </c>
      <c r="H76">
        <v>0.24950060835962309</v>
      </c>
      <c r="I76">
        <v>0.25038121173807848</v>
      </c>
      <c r="J76">
        <v>0.25401081348041071</v>
      </c>
      <c r="K76">
        <v>0.25214477686998737</v>
      </c>
      <c r="L76">
        <v>0.25217129336641653</v>
      </c>
      <c r="M76">
        <v>0.25158453417393162</v>
      </c>
      <c r="N76">
        <v>0.25547398199343829</v>
      </c>
      <c r="O76">
        <v>0.2566311469164051</v>
      </c>
      <c r="P76">
        <v>0.25177491713568972</v>
      </c>
      <c r="Q76">
        <v>0.2494920964801243</v>
      </c>
      <c r="R76">
        <v>0.25029958182080092</v>
      </c>
      <c r="S76">
        <v>0.24752691587968609</v>
      </c>
      <c r="T76">
        <v>0.24917497953848841</v>
      </c>
      <c r="U76">
        <v>0.25217920899917079</v>
      </c>
      <c r="V76">
        <v>0.2523699146495037</v>
      </c>
      <c r="W76">
        <v>0.2496561883582733</v>
      </c>
      <c r="X76">
        <v>0.2495955522142875</v>
      </c>
      <c r="Y76">
        <v>0.24922040868484341</v>
      </c>
      <c r="Z76">
        <v>0.24696266864326341</v>
      </c>
      <c r="AA76">
        <v>0.2439280404694241</v>
      </c>
    </row>
    <row r="78" spans="1:27" x14ac:dyDescent="0.35">
      <c r="A78" t="s">
        <v>43</v>
      </c>
      <c r="B78" t="s">
        <v>1</v>
      </c>
      <c r="C78" t="s">
        <v>2</v>
      </c>
      <c r="D78" t="s">
        <v>3</v>
      </c>
      <c r="E78" t="s">
        <v>4</v>
      </c>
      <c r="F78" t="s">
        <v>5</v>
      </c>
      <c r="G78" t="s">
        <v>6</v>
      </c>
      <c r="H78" t="s">
        <v>7</v>
      </c>
      <c r="I78" t="s">
        <v>8</v>
      </c>
      <c r="J78" t="s">
        <v>9</v>
      </c>
      <c r="K78" t="s">
        <v>10</v>
      </c>
      <c r="L78" t="s">
        <v>11</v>
      </c>
      <c r="M78" t="s">
        <v>12</v>
      </c>
      <c r="N78" t="s">
        <v>13</v>
      </c>
      <c r="O78" t="s">
        <v>14</v>
      </c>
      <c r="P78" t="s">
        <v>15</v>
      </c>
      <c r="Q78" t="s">
        <v>16</v>
      </c>
      <c r="R78" t="s">
        <v>17</v>
      </c>
      <c r="S78" t="s">
        <v>18</v>
      </c>
      <c r="T78" t="s">
        <v>19</v>
      </c>
      <c r="U78" t="s">
        <v>20</v>
      </c>
      <c r="V78" t="s">
        <v>21</v>
      </c>
      <c r="W78" t="s">
        <v>22</v>
      </c>
      <c r="X78" t="s">
        <v>23</v>
      </c>
      <c r="Y78" t="s">
        <v>24</v>
      </c>
      <c r="Z78" t="s">
        <v>25</v>
      </c>
      <c r="AA78" t="s">
        <v>26</v>
      </c>
    </row>
    <row r="79" spans="1:27" x14ac:dyDescent="0.35">
      <c r="A79" t="s">
        <v>28</v>
      </c>
      <c r="B79">
        <v>131.21212993632611</v>
      </c>
      <c r="C79">
        <v>133.45720612152391</v>
      </c>
      <c r="D79">
        <v>135.5875833352541</v>
      </c>
      <c r="E79">
        <v>135.13278964101389</v>
      </c>
      <c r="F79">
        <v>134.78236581202131</v>
      </c>
      <c r="G79">
        <v>134.10584959667011</v>
      </c>
      <c r="H79">
        <v>133.73588746265301</v>
      </c>
      <c r="I79">
        <v>132.28873696648611</v>
      </c>
      <c r="J79">
        <v>132.57312329476071</v>
      </c>
      <c r="K79">
        <v>134.9207996723224</v>
      </c>
      <c r="L79">
        <v>135.5580208677909</v>
      </c>
      <c r="M79">
        <v>135.21151203055331</v>
      </c>
      <c r="N79">
        <v>135.64988906113209</v>
      </c>
      <c r="O79">
        <v>136.2041035307893</v>
      </c>
      <c r="P79">
        <v>136.7400758094436</v>
      </c>
      <c r="Q79">
        <v>137.280211969183</v>
      </c>
      <c r="R79">
        <v>137.0823002975321</v>
      </c>
      <c r="S79">
        <v>138.2510385974191</v>
      </c>
      <c r="T79">
        <v>139.1462863255918</v>
      </c>
      <c r="U79">
        <v>137.54629283234081</v>
      </c>
      <c r="V79">
        <v>137.07259636388881</v>
      </c>
      <c r="W79">
        <v>138.45367528315651</v>
      </c>
      <c r="X79">
        <v>138.89588384944449</v>
      </c>
      <c r="Y79">
        <v>139.60577256819639</v>
      </c>
      <c r="Z79">
        <v>141.26406225066049</v>
      </c>
      <c r="AA79">
        <v>141.94521456823</v>
      </c>
    </row>
    <row r="80" spans="1:27" x14ac:dyDescent="0.35">
      <c r="A80" t="s">
        <v>29</v>
      </c>
      <c r="B80">
        <v>0.51855825768461639</v>
      </c>
      <c r="C80">
        <v>0.64515812883319645</v>
      </c>
      <c r="D80">
        <v>0.43264971971392813</v>
      </c>
      <c r="E80">
        <v>0.1002233032716518</v>
      </c>
      <c r="F80">
        <v>0.58608939734960275</v>
      </c>
      <c r="G80">
        <v>0.43187194391473738</v>
      </c>
      <c r="H80">
        <v>2.9861820025177649E-2</v>
      </c>
      <c r="I80">
        <v>-0.31322317422262169</v>
      </c>
      <c r="J80">
        <v>-0.36140456002631138</v>
      </c>
      <c r="K80">
        <v>7.5804226434096206E-2</v>
      </c>
      <c r="L80">
        <v>-0.2097303781337328</v>
      </c>
      <c r="M80">
        <v>-0.43997307694043641</v>
      </c>
      <c r="N80">
        <v>-0.8023914341168058</v>
      </c>
      <c r="O80">
        <v>-0.13420152741187599</v>
      </c>
      <c r="P80">
        <v>0.27051685868746111</v>
      </c>
      <c r="Q80">
        <v>0.62830255335331209</v>
      </c>
      <c r="R80">
        <v>1.338444158219141E-2</v>
      </c>
      <c r="S80">
        <v>0.59052454785527508</v>
      </c>
      <c r="T80">
        <v>0.61381726608401233</v>
      </c>
      <c r="U80">
        <v>0.56774779008707243</v>
      </c>
      <c r="V80">
        <v>0.41335525897018099</v>
      </c>
      <c r="W80">
        <v>1.0496814310900111</v>
      </c>
      <c r="X80">
        <v>1.2480641476252039</v>
      </c>
      <c r="Y80">
        <v>1.5809477734879109</v>
      </c>
      <c r="Z80">
        <v>1.5751553048664719</v>
      </c>
      <c r="AA80">
        <v>1.721835727294855</v>
      </c>
    </row>
    <row r="81" spans="1:27" x14ac:dyDescent="0.35">
      <c r="A81" t="s">
        <v>30</v>
      </c>
      <c r="B81">
        <v>-0.6790319020414507</v>
      </c>
      <c r="C81">
        <v>-0.55692477812957208</v>
      </c>
      <c r="D81">
        <v>-0.23291691609436679</v>
      </c>
      <c r="E81">
        <v>5.9207979177292681E-2</v>
      </c>
      <c r="F81">
        <v>-6.5947580898337091E-2</v>
      </c>
      <c r="G81">
        <v>4.1227083568273287E-2</v>
      </c>
      <c r="H81">
        <v>-0.25977980994294197</v>
      </c>
      <c r="I81">
        <v>-0.52339469141712502</v>
      </c>
      <c r="J81">
        <v>-1.131831807525316</v>
      </c>
      <c r="K81">
        <v>-1.160948212101895</v>
      </c>
      <c r="L81">
        <v>-1.4088611971553811</v>
      </c>
      <c r="M81">
        <v>-1.570699955652564</v>
      </c>
      <c r="N81">
        <v>-1.535334214195867</v>
      </c>
      <c r="O81">
        <v>-1.1093111262787481</v>
      </c>
      <c r="P81">
        <v>-0.93687028868672695</v>
      </c>
      <c r="Q81">
        <v>-0.61900199091203423</v>
      </c>
      <c r="R81">
        <v>-0.79361985309083405</v>
      </c>
      <c r="S81">
        <v>-0.32853270886417563</v>
      </c>
      <c r="T81">
        <v>0.1085502760697454</v>
      </c>
      <c r="U81">
        <v>1.115355107761524</v>
      </c>
      <c r="V81">
        <v>1.3819208038564339</v>
      </c>
      <c r="W81">
        <v>1.193344700305482</v>
      </c>
      <c r="X81">
        <v>1.4039071707215629</v>
      </c>
      <c r="Y81">
        <v>1.7921302654004869</v>
      </c>
      <c r="Z81">
        <v>1.1748668743182651</v>
      </c>
      <c r="AA81">
        <v>1.1717474812873789</v>
      </c>
    </row>
    <row r="82" spans="1:27" x14ac:dyDescent="0.35">
      <c r="A82" t="s">
        <v>31</v>
      </c>
      <c r="B82">
        <v>-0.69810932583052088</v>
      </c>
      <c r="C82">
        <v>-0.6884825095470597</v>
      </c>
      <c r="D82">
        <v>2.640329633806509</v>
      </c>
      <c r="E82">
        <v>1.6080531317161091</v>
      </c>
      <c r="F82">
        <v>2.954817549953475</v>
      </c>
      <c r="G82">
        <v>5.3056941482718152</v>
      </c>
      <c r="H82">
        <v>4.2126307209049401</v>
      </c>
      <c r="I82">
        <v>3.7376936380207582</v>
      </c>
      <c r="J82">
        <v>3.751036429613408</v>
      </c>
      <c r="K82">
        <v>4.059677097444264</v>
      </c>
      <c r="L82">
        <v>4.0815464139679909</v>
      </c>
      <c r="M82">
        <v>3.2479997244731922</v>
      </c>
      <c r="N82">
        <v>2.4771344314334289</v>
      </c>
      <c r="O82">
        <v>3.90603458555641</v>
      </c>
      <c r="P82">
        <v>5.1657935292667689</v>
      </c>
      <c r="Q82">
        <v>5.4955582815917534</v>
      </c>
      <c r="R82">
        <v>4.9752466078921413</v>
      </c>
      <c r="S82">
        <v>5.5348945966338086</v>
      </c>
      <c r="T82">
        <v>5.754875905091386</v>
      </c>
      <c r="U82">
        <v>5.5334582103476624</v>
      </c>
      <c r="V82">
        <v>5.3120031290434397</v>
      </c>
      <c r="W82">
        <v>6.2415991123985997</v>
      </c>
      <c r="X82">
        <v>6.0679057264745646</v>
      </c>
      <c r="Y82">
        <v>5.875703940714768</v>
      </c>
      <c r="Z82">
        <v>5.3263253040798819</v>
      </c>
      <c r="AA82">
        <v>5.9592587757034314</v>
      </c>
    </row>
    <row r="83" spans="1:27" x14ac:dyDescent="0.35">
      <c r="A83" t="s">
        <v>32</v>
      </c>
      <c r="B83">
        <v>0.3856414112383959</v>
      </c>
      <c r="C83">
        <v>-2.9249217538129951E-2</v>
      </c>
      <c r="D83">
        <v>-0.1556939033616552</v>
      </c>
      <c r="E83">
        <v>-7.4304465418298896E-2</v>
      </c>
      <c r="F83">
        <v>-0.1124555960976905</v>
      </c>
      <c r="G83">
        <v>4.4954095273343778E-2</v>
      </c>
      <c r="H83">
        <v>4.6272721231617367E-2</v>
      </c>
      <c r="I83">
        <v>2.5800028575578091E-2</v>
      </c>
      <c r="J83">
        <v>-0.2722419646667269</v>
      </c>
      <c r="K83">
        <v>-0.18730509147288951</v>
      </c>
      <c r="L83">
        <v>-0.19104573441603101</v>
      </c>
      <c r="M83">
        <v>-0.49647885282418469</v>
      </c>
      <c r="N83">
        <v>-0.31983347761472491</v>
      </c>
      <c r="O83">
        <v>-0.36722748748391543</v>
      </c>
      <c r="P83">
        <v>-0.13453698789131041</v>
      </c>
      <c r="Q83">
        <v>-5.7575058526160218E-2</v>
      </c>
      <c r="R83">
        <v>-0.15774930501544221</v>
      </c>
      <c r="S83">
        <v>-1.060554992543658E-2</v>
      </c>
      <c r="T83">
        <v>-7.8138611973225414E-2</v>
      </c>
      <c r="U83">
        <v>-0.23867144494011511</v>
      </c>
      <c r="V83">
        <v>-0.27000702997145237</v>
      </c>
      <c r="W83">
        <v>-0.1073519721273154</v>
      </c>
      <c r="X83">
        <v>-0.12696780606426519</v>
      </c>
      <c r="Y83">
        <v>-0.1301201052197942</v>
      </c>
      <c r="Z83">
        <v>9.518801845493219E-4</v>
      </c>
      <c r="AA83">
        <v>0.23953345601822201</v>
      </c>
    </row>
    <row r="84" spans="1:27" x14ac:dyDescent="0.35">
      <c r="A84" t="s">
        <v>33</v>
      </c>
      <c r="B84">
        <v>130.73918837737719</v>
      </c>
      <c r="C84">
        <v>132.82770774514239</v>
      </c>
      <c r="D84">
        <v>138.27195186931851</v>
      </c>
      <c r="E84">
        <v>136.82596958976069</v>
      </c>
      <c r="F84">
        <v>138.14486958232831</v>
      </c>
      <c r="G84">
        <v>139.92959686769831</v>
      </c>
      <c r="H84">
        <v>137.7648729148718</v>
      </c>
      <c r="I84">
        <v>135.21561276744271</v>
      </c>
      <c r="J84">
        <v>134.55868139215579</v>
      </c>
      <c r="K84">
        <v>137.70802769262599</v>
      </c>
      <c r="L84">
        <v>137.82992997205369</v>
      </c>
      <c r="M84">
        <v>135.95235986960941</v>
      </c>
      <c r="N84">
        <v>135.46946436663811</v>
      </c>
      <c r="O84">
        <v>138.49939797517121</v>
      </c>
      <c r="P84">
        <v>141.10497892081969</v>
      </c>
      <c r="Q84">
        <v>142.72749575469001</v>
      </c>
      <c r="R84">
        <v>141.11956218890009</v>
      </c>
      <c r="S84">
        <v>144.03731948311849</v>
      </c>
      <c r="T84">
        <v>145.54539116086369</v>
      </c>
      <c r="U84">
        <v>144.5241824955969</v>
      </c>
      <c r="V84">
        <v>143.9098685257874</v>
      </c>
      <c r="W84">
        <v>146.83094855482329</v>
      </c>
      <c r="X84">
        <v>147.4887930882015</v>
      </c>
      <c r="Y84">
        <v>148.72443444257979</v>
      </c>
      <c r="Z84">
        <v>149.3413616141097</v>
      </c>
      <c r="AA84">
        <v>151.0375900085339</v>
      </c>
    </row>
    <row r="85" spans="1:27" x14ac:dyDescent="0.35">
      <c r="A85" t="s">
        <v>34</v>
      </c>
      <c r="B85">
        <v>201713938.71000001</v>
      </c>
      <c r="C85">
        <v>185104681.63999999</v>
      </c>
      <c r="D85">
        <v>190675028.13999999</v>
      </c>
      <c r="E85">
        <v>158876329.80000001</v>
      </c>
      <c r="F85">
        <v>248258693.33000001</v>
      </c>
      <c r="G85">
        <v>353512458.76999998</v>
      </c>
      <c r="H85">
        <v>278528543.87</v>
      </c>
      <c r="I85">
        <v>235591022.5</v>
      </c>
      <c r="J85">
        <v>232205943.03</v>
      </c>
      <c r="K85">
        <v>224255762.55000001</v>
      </c>
      <c r="L85">
        <v>189404762.80000001</v>
      </c>
      <c r="M85">
        <v>141490045.30000001</v>
      </c>
      <c r="N85">
        <v>122568211.31</v>
      </c>
      <c r="O85">
        <v>127226406.48999999</v>
      </c>
      <c r="P85">
        <v>182097743.25</v>
      </c>
      <c r="Q85">
        <v>236468680.94999999</v>
      </c>
      <c r="R85">
        <v>385713240.86000001</v>
      </c>
      <c r="S85">
        <v>418125886.14999998</v>
      </c>
      <c r="T85">
        <v>308575279.60000002</v>
      </c>
      <c r="U85">
        <v>333179949.54000002</v>
      </c>
      <c r="V85">
        <v>532767650.18999988</v>
      </c>
      <c r="W85">
        <v>521074952.20999998</v>
      </c>
      <c r="X85">
        <v>442938532.57999998</v>
      </c>
      <c r="Y85">
        <v>360548831.20999998</v>
      </c>
      <c r="Z85">
        <v>469047257.06999987</v>
      </c>
      <c r="AA85">
        <v>428575413.69</v>
      </c>
    </row>
    <row r="86" spans="1:27" x14ac:dyDescent="0.35">
      <c r="A86" t="s">
        <v>35</v>
      </c>
      <c r="B86">
        <v>1.806798687755294</v>
      </c>
      <c r="C86">
        <v>1.8028573970596</v>
      </c>
      <c r="D86">
        <v>1.615135458917365</v>
      </c>
      <c r="E86">
        <v>1.6647465666167141</v>
      </c>
      <c r="F86">
        <v>1.5580011620873351</v>
      </c>
      <c r="G86">
        <v>1.408564270955343</v>
      </c>
      <c r="H86">
        <v>1.4775573196462299</v>
      </c>
      <c r="I86">
        <v>1.528538454943047</v>
      </c>
      <c r="J86">
        <v>1.519803890063641</v>
      </c>
      <c r="K86">
        <v>1.5137609396875371</v>
      </c>
      <c r="L86">
        <v>1.511566281422124</v>
      </c>
      <c r="M86">
        <v>1.492897067790061</v>
      </c>
      <c r="N86">
        <v>1.4959577681330209</v>
      </c>
      <c r="O86">
        <v>1.4426198204656551</v>
      </c>
      <c r="P86">
        <v>1.3975092568936369</v>
      </c>
      <c r="Q86">
        <v>1.426591670428951</v>
      </c>
      <c r="R86">
        <v>1.466348880103028</v>
      </c>
      <c r="S86">
        <v>1.454175319832252</v>
      </c>
      <c r="T86">
        <v>1.438533713978063</v>
      </c>
      <c r="U86">
        <v>1.4481387627928131</v>
      </c>
      <c r="V86">
        <v>1.4486256426825239</v>
      </c>
      <c r="W86">
        <v>1.4128621404561279</v>
      </c>
      <c r="X86">
        <v>1.415693025318312</v>
      </c>
      <c r="Y86">
        <v>1.4117253121764239</v>
      </c>
      <c r="Z86">
        <v>1.463450888672722</v>
      </c>
      <c r="AA86">
        <v>1.469706553457</v>
      </c>
    </row>
    <row r="87" spans="1:27" x14ac:dyDescent="0.35">
      <c r="A87" t="s">
        <v>36</v>
      </c>
      <c r="B87">
        <v>0.23915614616479869</v>
      </c>
      <c r="C87">
        <v>0.24497983859472139</v>
      </c>
      <c r="D87">
        <v>0.24703386086807469</v>
      </c>
      <c r="E87">
        <v>0.2455310207500338</v>
      </c>
      <c r="F87">
        <v>0.24523346644864319</v>
      </c>
      <c r="G87">
        <v>0.24264342904923911</v>
      </c>
      <c r="H87">
        <v>0.24276832214847541</v>
      </c>
      <c r="I87">
        <v>0.24376620734457319</v>
      </c>
      <c r="J87">
        <v>0.24778059210153311</v>
      </c>
      <c r="K87">
        <v>0.24693799543424491</v>
      </c>
      <c r="L87">
        <v>0.2469636302962388</v>
      </c>
      <c r="M87">
        <v>0.2492544695845908</v>
      </c>
      <c r="N87">
        <v>0.24543654636033299</v>
      </c>
      <c r="O87">
        <v>0.2470538588250509</v>
      </c>
      <c r="P87">
        <v>0.24461724669939311</v>
      </c>
      <c r="Q87">
        <v>0.24500188261078901</v>
      </c>
      <c r="R87">
        <v>0.2467130649269498</v>
      </c>
      <c r="S87">
        <v>0.2452461207620478</v>
      </c>
      <c r="T87">
        <v>0.24612817892744179</v>
      </c>
      <c r="U87">
        <v>0.24831682588418441</v>
      </c>
      <c r="V87">
        <v>0.24838060292752681</v>
      </c>
      <c r="W87">
        <v>0.24663610050245399</v>
      </c>
      <c r="X87">
        <v>0.24669021323828749</v>
      </c>
      <c r="Y87">
        <v>0.2462676838219526</v>
      </c>
      <c r="Z87">
        <v>0.2449893856459521</v>
      </c>
      <c r="AA87">
        <v>0.24291231350551229</v>
      </c>
    </row>
    <row r="89" spans="1:27" x14ac:dyDescent="0.35">
      <c r="A89" t="s">
        <v>44</v>
      </c>
      <c r="B89" t="s">
        <v>1</v>
      </c>
      <c r="C89" t="s">
        <v>2</v>
      </c>
      <c r="D89" t="s">
        <v>3</v>
      </c>
      <c r="E89" t="s">
        <v>4</v>
      </c>
      <c r="F89" t="s">
        <v>5</v>
      </c>
      <c r="G89" t="s">
        <v>6</v>
      </c>
      <c r="H89" t="s">
        <v>7</v>
      </c>
      <c r="I89" t="s">
        <v>8</v>
      </c>
      <c r="J89" t="s">
        <v>9</v>
      </c>
      <c r="K89" t="s">
        <v>10</v>
      </c>
      <c r="L89" t="s">
        <v>11</v>
      </c>
      <c r="M89" t="s">
        <v>12</v>
      </c>
      <c r="N89" t="s">
        <v>13</v>
      </c>
      <c r="O89" t="s">
        <v>14</v>
      </c>
      <c r="P89" t="s">
        <v>15</v>
      </c>
      <c r="Q89" t="s">
        <v>16</v>
      </c>
      <c r="R89" t="s">
        <v>17</v>
      </c>
      <c r="S89" t="s">
        <v>18</v>
      </c>
      <c r="T89" t="s">
        <v>19</v>
      </c>
      <c r="U89" t="s">
        <v>20</v>
      </c>
      <c r="V89" t="s">
        <v>21</v>
      </c>
      <c r="W89" t="s">
        <v>22</v>
      </c>
      <c r="X89" t="s">
        <v>23</v>
      </c>
      <c r="Y89" t="s">
        <v>24</v>
      </c>
      <c r="Z89" t="s">
        <v>25</v>
      </c>
      <c r="AA89" t="s">
        <v>26</v>
      </c>
    </row>
    <row r="90" spans="1:27" x14ac:dyDescent="0.35">
      <c r="A90" t="s">
        <v>28</v>
      </c>
      <c r="B90">
        <v>135.07487340302899</v>
      </c>
      <c r="C90">
        <v>136.9078829687663</v>
      </c>
      <c r="D90">
        <v>138.31237934401469</v>
      </c>
      <c r="E90">
        <v>137.4382184580229</v>
      </c>
      <c r="F90">
        <v>136.73505208425439</v>
      </c>
      <c r="G90">
        <v>136.22296915494269</v>
      </c>
      <c r="H90">
        <v>135.76559735739721</v>
      </c>
      <c r="I90">
        <v>134.64458721232091</v>
      </c>
      <c r="J90">
        <v>134.55131143798391</v>
      </c>
      <c r="K90">
        <v>136.5354412924068</v>
      </c>
      <c r="L90">
        <v>137.3101150129288</v>
      </c>
      <c r="M90">
        <v>138.09037035218719</v>
      </c>
      <c r="N90">
        <v>139.3309484859337</v>
      </c>
      <c r="O90">
        <v>139.70128365939911</v>
      </c>
      <c r="P90">
        <v>138.7784058644427</v>
      </c>
      <c r="Q90">
        <v>138.69342723732009</v>
      </c>
      <c r="R90">
        <v>138.90885857744971</v>
      </c>
      <c r="S90">
        <v>139.57976552397679</v>
      </c>
      <c r="T90">
        <v>140.02205215282109</v>
      </c>
      <c r="U90">
        <v>139.08297207892701</v>
      </c>
      <c r="V90">
        <v>138.77009052448119</v>
      </c>
      <c r="W90">
        <v>139.49859723376659</v>
      </c>
      <c r="X90">
        <v>139.83814772452581</v>
      </c>
      <c r="Y90">
        <v>140.57894567215521</v>
      </c>
      <c r="Z90">
        <v>141.88684881572649</v>
      </c>
      <c r="AA90">
        <v>142.4343215188928</v>
      </c>
    </row>
    <row r="91" spans="1:27" x14ac:dyDescent="0.35">
      <c r="A91" t="s">
        <v>29</v>
      </c>
      <c r="B91">
        <v>1.6461244937691291</v>
      </c>
      <c r="C91">
        <v>1.544291615408564</v>
      </c>
      <c r="D91">
        <v>1.4874036828496831</v>
      </c>
      <c r="E91">
        <v>1.372695856899246</v>
      </c>
      <c r="F91">
        <v>1.6007077174880731</v>
      </c>
      <c r="G91">
        <v>1.3032800213032469</v>
      </c>
      <c r="H91">
        <v>1.0286643197936891</v>
      </c>
      <c r="I91">
        <v>0.70109831371078635</v>
      </c>
      <c r="J91">
        <v>0.2871226413817618</v>
      </c>
      <c r="K91">
        <v>0.55431053900116323</v>
      </c>
      <c r="L91">
        <v>0.33519112381143829</v>
      </c>
      <c r="M91">
        <v>0.25325351631212861</v>
      </c>
      <c r="N91">
        <v>9.0266658280587497E-2</v>
      </c>
      <c r="O91">
        <v>0.35366811965511458</v>
      </c>
      <c r="P91">
        <v>0.45186338704428858</v>
      </c>
      <c r="Q91">
        <v>0.68624185645088298</v>
      </c>
      <c r="R91">
        <v>0.31610763070113912</v>
      </c>
      <c r="S91">
        <v>0.77577548691225795</v>
      </c>
      <c r="T91">
        <v>0.75566768363314019</v>
      </c>
      <c r="U91">
        <v>0.59315609306920769</v>
      </c>
      <c r="V91">
        <v>0.35520552625025348</v>
      </c>
      <c r="W91">
        <v>0.97508911151911593</v>
      </c>
      <c r="X91">
        <v>0.95556000658404761</v>
      </c>
      <c r="Y91">
        <v>1.0958435835389739</v>
      </c>
      <c r="Z91">
        <v>0.86704804701079696</v>
      </c>
      <c r="AA91">
        <v>0.92610028599668015</v>
      </c>
    </row>
    <row r="92" spans="1:27" x14ac:dyDescent="0.35">
      <c r="A92" t="s">
        <v>30</v>
      </c>
      <c r="B92">
        <v>-0.24631474526537531</v>
      </c>
      <c r="C92">
        <v>-0.1317055859170714</v>
      </c>
      <c r="D92">
        <v>-4.0378577141007427E-2</v>
      </c>
      <c r="E92">
        <v>0.17137296078830189</v>
      </c>
      <c r="F92">
        <v>0.16746329631723869</v>
      </c>
      <c r="G92">
        <v>0.27424553024043652</v>
      </c>
      <c r="H92">
        <v>0.3532333893121099</v>
      </c>
      <c r="I92">
        <v>2.6625749736115981E-2</v>
      </c>
      <c r="J92">
        <v>-0.38766075344514911</v>
      </c>
      <c r="K92">
        <v>-0.42191243040337412</v>
      </c>
      <c r="L92">
        <v>-0.64076600295880215</v>
      </c>
      <c r="M92">
        <v>-0.72440585170994853</v>
      </c>
      <c r="N92">
        <v>-0.69865677423889327</v>
      </c>
      <c r="O92">
        <v>-0.42375292922033581</v>
      </c>
      <c r="P92">
        <v>-0.56345200670729434</v>
      </c>
      <c r="Q92">
        <v>-0.36939998552284248</v>
      </c>
      <c r="R92">
        <v>-0.40567731910279442</v>
      </c>
      <c r="S92">
        <v>-0.1432231190677265</v>
      </c>
      <c r="T92">
        <v>-8.9104418849163015E-3</v>
      </c>
      <c r="U92">
        <v>0.52036323070585278</v>
      </c>
      <c r="V92">
        <v>0.66935318266915478</v>
      </c>
      <c r="W92">
        <v>0.70443548243941068</v>
      </c>
      <c r="X92">
        <v>0.85667495430753848</v>
      </c>
      <c r="Y92">
        <v>1.0673190621351041</v>
      </c>
      <c r="Z92">
        <v>0.66701561525353537</v>
      </c>
      <c r="AA92">
        <v>0.72199040623972588</v>
      </c>
    </row>
    <row r="93" spans="1:27" x14ac:dyDescent="0.35">
      <c r="A93" t="s">
        <v>31</v>
      </c>
      <c r="B93">
        <v>-1.0329855067533169</v>
      </c>
      <c r="C93">
        <v>-1.196044977626733</v>
      </c>
      <c r="D93">
        <v>1.099190257916296</v>
      </c>
      <c r="E93">
        <v>-0.22842849015623029</v>
      </c>
      <c r="F93">
        <v>1.2598234817912251</v>
      </c>
      <c r="G93">
        <v>3.4761916693919468</v>
      </c>
      <c r="H93">
        <v>2.5401217803660519</v>
      </c>
      <c r="I93">
        <v>2.2646944221441649</v>
      </c>
      <c r="J93">
        <v>1.849851380559439</v>
      </c>
      <c r="K93">
        <v>1.81275147294372</v>
      </c>
      <c r="L93">
        <v>1.3404018737390699</v>
      </c>
      <c r="M93">
        <v>0.20526089004229009</v>
      </c>
      <c r="N93">
        <v>-0.56547755048299742</v>
      </c>
      <c r="O93">
        <v>0.6279401480976855</v>
      </c>
      <c r="P93">
        <v>1.5839287068966079</v>
      </c>
      <c r="Q93">
        <v>2.2446734053431729</v>
      </c>
      <c r="R93">
        <v>0.84212297712495987</v>
      </c>
      <c r="S93">
        <v>2.8215364118462678</v>
      </c>
      <c r="T93">
        <v>2.36888609770965</v>
      </c>
      <c r="U93">
        <v>2.480413768792685</v>
      </c>
      <c r="V93">
        <v>2.679343045457061</v>
      </c>
      <c r="W93">
        <v>3.499149718014583</v>
      </c>
      <c r="X93">
        <v>3.10363782954055</v>
      </c>
      <c r="Y93">
        <v>2.9434887361173279</v>
      </c>
      <c r="Z93">
        <v>2.5996379038617858</v>
      </c>
      <c r="AA93">
        <v>3.2895076746962881</v>
      </c>
    </row>
    <row r="94" spans="1:27" x14ac:dyDescent="0.35">
      <c r="A94" t="s">
        <v>32</v>
      </c>
      <c r="B94">
        <v>0.2732398511001915</v>
      </c>
      <c r="C94">
        <v>6.3881772845279503E-2</v>
      </c>
      <c r="D94">
        <v>-2.8928938193995689E-2</v>
      </c>
      <c r="E94">
        <v>3.8487273177049683E-2</v>
      </c>
      <c r="F94">
        <v>1.7081274529861919E-2</v>
      </c>
      <c r="G94">
        <v>7.9977076763280419E-2</v>
      </c>
      <c r="H94">
        <v>0.23855019166469521</v>
      </c>
      <c r="I94">
        <v>0.2065122050267747</v>
      </c>
      <c r="J94">
        <v>-6.76132767873482E-2</v>
      </c>
      <c r="K94">
        <v>-2.8042149109371299E-2</v>
      </c>
      <c r="L94">
        <v>-3.8753140641573647E-2</v>
      </c>
      <c r="M94">
        <v>-0.11797723365234521</v>
      </c>
      <c r="N94">
        <v>-0.1731218608500498</v>
      </c>
      <c r="O94">
        <v>-0.16868055398727441</v>
      </c>
      <c r="P94">
        <v>-7.4216663448838996E-2</v>
      </c>
      <c r="Q94">
        <v>-3.8555667818003438E-2</v>
      </c>
      <c r="R94">
        <v>-0.1204898480117433</v>
      </c>
      <c r="S94">
        <v>5.6021700923754969E-2</v>
      </c>
      <c r="T94">
        <v>4.5622270637987643E-3</v>
      </c>
      <c r="U94">
        <v>-7.8876677350065511E-2</v>
      </c>
      <c r="V94">
        <v>-0.164542948885392</v>
      </c>
      <c r="W94">
        <v>-7.1467731154104375E-2</v>
      </c>
      <c r="X94">
        <v>-6.2115621798938321E-2</v>
      </c>
      <c r="Y94">
        <v>7.6122580160478071E-2</v>
      </c>
      <c r="Z94">
        <v>0.1100072744874514</v>
      </c>
      <c r="AA94">
        <v>0.2683741371584768</v>
      </c>
    </row>
    <row r="95" spans="1:27" x14ac:dyDescent="0.35">
      <c r="A95" t="s">
        <v>33</v>
      </c>
      <c r="B95">
        <v>135.7149374958797</v>
      </c>
      <c r="C95">
        <v>137.1883057934763</v>
      </c>
      <c r="D95">
        <v>140.8296657694456</v>
      </c>
      <c r="E95">
        <v>138.7923460587312</v>
      </c>
      <c r="F95">
        <v>139.78012785438079</v>
      </c>
      <c r="G95">
        <v>141.35666345264161</v>
      </c>
      <c r="H95">
        <v>139.92616703853369</v>
      </c>
      <c r="I95">
        <v>137.84351790293869</v>
      </c>
      <c r="J95">
        <v>136.2330114296926</v>
      </c>
      <c r="K95">
        <v>138.45254872483889</v>
      </c>
      <c r="L95">
        <v>138.30618886687901</v>
      </c>
      <c r="M95">
        <v>137.7065016731793</v>
      </c>
      <c r="N95">
        <v>137.98395895864229</v>
      </c>
      <c r="O95">
        <v>140.09045844394441</v>
      </c>
      <c r="P95">
        <v>140.17652928822741</v>
      </c>
      <c r="Q95">
        <v>141.2163868457734</v>
      </c>
      <c r="R95">
        <v>139.5409220181613</v>
      </c>
      <c r="S95">
        <v>143.0898760045913</v>
      </c>
      <c r="T95">
        <v>143.14225771934269</v>
      </c>
      <c r="U95">
        <v>142.59802849414459</v>
      </c>
      <c r="V95">
        <v>142.3094493299723</v>
      </c>
      <c r="W95">
        <v>144.6058038145857</v>
      </c>
      <c r="X95">
        <v>144.69190489315889</v>
      </c>
      <c r="Y95">
        <v>145.7617196341071</v>
      </c>
      <c r="Z95">
        <v>146.1305576563401</v>
      </c>
      <c r="AA95">
        <v>147.64029402298399</v>
      </c>
    </row>
    <row r="96" spans="1:27" x14ac:dyDescent="0.35">
      <c r="A96" t="s">
        <v>34</v>
      </c>
      <c r="B96">
        <v>442478074.97000003</v>
      </c>
      <c r="C96">
        <v>395598477.08999997</v>
      </c>
      <c r="D96">
        <v>463994728.05999988</v>
      </c>
      <c r="E96">
        <v>389988499.38</v>
      </c>
      <c r="F96">
        <v>616656695.52999997</v>
      </c>
      <c r="G96">
        <v>726448784.65999997</v>
      </c>
      <c r="H96">
        <v>618722295.16000009</v>
      </c>
      <c r="I96">
        <v>523036570.43999988</v>
      </c>
      <c r="J96">
        <v>453590860.80000001</v>
      </c>
      <c r="K96">
        <v>579760855.03999996</v>
      </c>
      <c r="L96">
        <v>483421570.81999999</v>
      </c>
      <c r="M96">
        <v>364198171.19999999</v>
      </c>
      <c r="N96">
        <v>382403944.00999999</v>
      </c>
      <c r="O96">
        <v>384930517.54000002</v>
      </c>
      <c r="P96">
        <v>328188786.45999998</v>
      </c>
      <c r="Q96">
        <v>361305893.89999998</v>
      </c>
      <c r="R96">
        <v>775462009.69999993</v>
      </c>
      <c r="S96">
        <v>743765914.45000005</v>
      </c>
      <c r="T96">
        <v>608934409.49000001</v>
      </c>
      <c r="U96">
        <v>620827635.73000002</v>
      </c>
      <c r="V96">
        <v>973554080.9799999</v>
      </c>
      <c r="W96">
        <v>906023711.54000008</v>
      </c>
      <c r="X96">
        <v>821526413.51999998</v>
      </c>
      <c r="Y96">
        <v>701718573.13999999</v>
      </c>
      <c r="Z96">
        <v>1028693531.73</v>
      </c>
      <c r="AA96">
        <v>859145232.52999997</v>
      </c>
    </row>
    <row r="97" spans="1:27" x14ac:dyDescent="0.35">
      <c r="A97" t="s">
        <v>35</v>
      </c>
      <c r="B97">
        <v>1.753514733119093</v>
      </c>
      <c r="C97">
        <v>1.7686838929088451</v>
      </c>
      <c r="D97">
        <v>1.599047111946637</v>
      </c>
      <c r="E97">
        <v>1.700408151647341</v>
      </c>
      <c r="F97">
        <v>1.5707602816934589</v>
      </c>
      <c r="G97">
        <v>1.4207777406012001</v>
      </c>
      <c r="H97">
        <v>1.4811255850255161</v>
      </c>
      <c r="I97">
        <v>1.5097251916872729</v>
      </c>
      <c r="J97">
        <v>1.560436566834529</v>
      </c>
      <c r="K97">
        <v>1.538570033673476</v>
      </c>
      <c r="L97">
        <v>1.582685893838468</v>
      </c>
      <c r="M97">
        <v>1.64789373382578</v>
      </c>
      <c r="N97">
        <v>1.6828846473153829</v>
      </c>
      <c r="O97">
        <v>1.6012949169225421</v>
      </c>
      <c r="P97">
        <v>1.5992446702427581</v>
      </c>
      <c r="Q97">
        <v>1.6054119579999639</v>
      </c>
      <c r="R97">
        <v>1.6762386852466611</v>
      </c>
      <c r="S97">
        <v>1.539890640083694</v>
      </c>
      <c r="T97">
        <v>1.562781319761235</v>
      </c>
      <c r="U97">
        <v>1.5581415100036371</v>
      </c>
      <c r="V97">
        <v>1.5332313301096181</v>
      </c>
      <c r="W97">
        <v>1.4963173280937301</v>
      </c>
      <c r="X97">
        <v>1.511220304049312</v>
      </c>
      <c r="Y97">
        <v>1.50523326984293</v>
      </c>
      <c r="Z97">
        <v>1.5168207707923551</v>
      </c>
      <c r="AA97">
        <v>1.5013236561568311</v>
      </c>
    </row>
    <row r="98" spans="1:27" x14ac:dyDescent="0.35">
      <c r="A98" t="s">
        <v>36</v>
      </c>
      <c r="B98">
        <v>0.24291512100751761</v>
      </c>
      <c r="C98">
        <v>0.2459462271925919</v>
      </c>
      <c r="D98">
        <v>0.24801070879530851</v>
      </c>
      <c r="E98">
        <v>0.24666823096246249</v>
      </c>
      <c r="F98">
        <v>0.2467106199002671</v>
      </c>
      <c r="G98">
        <v>0.24514311936633121</v>
      </c>
      <c r="H98">
        <v>0.24195948620294569</v>
      </c>
      <c r="I98">
        <v>0.24290879561848061</v>
      </c>
      <c r="J98">
        <v>0.24728678835512211</v>
      </c>
      <c r="K98">
        <v>0.2478395757014786</v>
      </c>
      <c r="L98">
        <v>0.24801697214325191</v>
      </c>
      <c r="M98">
        <v>0.2480641323002811</v>
      </c>
      <c r="N98">
        <v>0.25008916135163878</v>
      </c>
      <c r="O98">
        <v>0.25006592500803038</v>
      </c>
      <c r="P98">
        <v>0.2470038469742388</v>
      </c>
      <c r="Q98">
        <v>0.24674801888646969</v>
      </c>
      <c r="R98">
        <v>0.24928872603310651</v>
      </c>
      <c r="S98">
        <v>0.2459652097576252</v>
      </c>
      <c r="T98">
        <v>0.24706744837762351</v>
      </c>
      <c r="U98">
        <v>0.24801512345003851</v>
      </c>
      <c r="V98">
        <v>0.2494826875601516</v>
      </c>
      <c r="W98">
        <v>0.24827912816543959</v>
      </c>
      <c r="X98">
        <v>0.24807611491424181</v>
      </c>
      <c r="Y98">
        <v>0.24493990119021011</v>
      </c>
      <c r="Z98">
        <v>0.24530713671747009</v>
      </c>
      <c r="AA98">
        <v>0.2431921760384641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98"/>
  <sheetViews>
    <sheetView zoomScale="160" zoomScaleNormal="160" workbookViewId="0">
      <selection activeCell="A7" sqref="A7"/>
    </sheetView>
  </sheetViews>
  <sheetFormatPr defaultRowHeight="14.5" x14ac:dyDescent="0.35"/>
  <cols>
    <col min="1" max="1" width="24" style="1" bestFit="1" customWidth="1"/>
    <col min="2" max="25" width="13.453125" style="1" bestFit="1" customWidth="1"/>
    <col min="26" max="26" width="14.453125" style="1" bestFit="1" customWidth="1"/>
    <col min="27" max="27" width="13.453125" style="1" bestFit="1" customWidth="1"/>
    <col min="28" max="28" width="12.36328125" style="1" bestFit="1" customWidth="1"/>
    <col min="29" max="16384" width="8.7265625" style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 s="1" t="s">
        <v>28</v>
      </c>
      <c r="B2" s="1">
        <v>131.7721135565809</v>
      </c>
      <c r="C2" s="1">
        <v>133.6762745166736</v>
      </c>
      <c r="D2" s="1">
        <v>135.30849007606599</v>
      </c>
      <c r="E2" s="1">
        <v>135.8053435104764</v>
      </c>
      <c r="F2" s="1">
        <v>134.5779548085435</v>
      </c>
      <c r="G2" s="1">
        <v>135.17083101332781</v>
      </c>
      <c r="H2" s="1">
        <v>135.3613360699463</v>
      </c>
      <c r="I2" s="1">
        <v>134.4036045995351</v>
      </c>
      <c r="J2" s="1">
        <v>134.09620938166361</v>
      </c>
      <c r="K2" s="1">
        <v>135.85072691788909</v>
      </c>
      <c r="L2" s="1">
        <v>136.13007717311399</v>
      </c>
      <c r="M2" s="1">
        <v>136.74340071107</v>
      </c>
      <c r="N2" s="1">
        <v>136.6539223916246</v>
      </c>
      <c r="O2" s="1">
        <v>136.84109925674059</v>
      </c>
      <c r="P2" s="1">
        <v>136.41646386522669</v>
      </c>
      <c r="Q2" s="1">
        <v>137.0002354426118</v>
      </c>
      <c r="R2" s="1">
        <v>136.35420553748409</v>
      </c>
      <c r="S2" s="1">
        <v>137.11731341219601</v>
      </c>
      <c r="T2" s="1">
        <v>138.05869277886561</v>
      </c>
      <c r="U2" s="1">
        <v>136.78342021347899</v>
      </c>
      <c r="V2" s="1">
        <v>136.76661070065819</v>
      </c>
      <c r="W2" s="1">
        <v>137.97459986624801</v>
      </c>
      <c r="X2" s="1">
        <v>138.5137279255751</v>
      </c>
      <c r="Y2" s="1">
        <v>139.3486693985632</v>
      </c>
      <c r="Z2" s="1">
        <v>140.24932411810539</v>
      </c>
      <c r="AA2" s="1">
        <v>140.94644639690361</v>
      </c>
      <c r="AB2" s="1">
        <v>141.23057160695879</v>
      </c>
    </row>
    <row r="3" spans="1:28" x14ac:dyDescent="0.35">
      <c r="A3" s="1" t="s">
        <v>29</v>
      </c>
      <c r="B3" s="1">
        <v>1.492902283402165</v>
      </c>
      <c r="C3" s="1">
        <v>1.2652604151283171</v>
      </c>
      <c r="D3" s="1">
        <v>0.52527493526452895</v>
      </c>
      <c r="E3" s="1">
        <v>0.93390939861990097</v>
      </c>
      <c r="F3" s="1">
        <v>1.2283896410060771</v>
      </c>
      <c r="G3" s="1">
        <v>1.257861555880996</v>
      </c>
      <c r="H3" s="1">
        <v>1.0176310282748271</v>
      </c>
      <c r="I3" s="1">
        <v>0.79973605544206927</v>
      </c>
      <c r="J3" s="1">
        <v>1.200892294644375</v>
      </c>
      <c r="K3" s="1">
        <v>1.0510907298043279</v>
      </c>
      <c r="L3" s="1">
        <v>1.0864969544392711</v>
      </c>
      <c r="M3" s="1">
        <v>1.0047697178187169</v>
      </c>
      <c r="N3" s="1">
        <v>0.64673770997350766</v>
      </c>
      <c r="O3" s="1">
        <v>0.96789147874731607</v>
      </c>
      <c r="P3" s="1">
        <v>0.56149103671353906</v>
      </c>
      <c r="Q3" s="1">
        <v>0.64742519882571381</v>
      </c>
      <c r="R3" s="1">
        <v>0.49146641601659302</v>
      </c>
      <c r="S3" s="1">
        <v>0.93024380674157903</v>
      </c>
      <c r="T3" s="1">
        <v>0.73785117990267846</v>
      </c>
      <c r="U3" s="1">
        <v>0.90084791275076359</v>
      </c>
      <c r="V3" s="1">
        <v>1.1727688655227479</v>
      </c>
      <c r="W3" s="1">
        <v>1.9598924522312751</v>
      </c>
      <c r="X3" s="1">
        <v>2.2460822568719361</v>
      </c>
      <c r="Y3" s="1">
        <v>2.1423550937936571</v>
      </c>
      <c r="Z3" s="1">
        <v>2.105745656819078</v>
      </c>
      <c r="AA3" s="1">
        <v>2.294815187463636</v>
      </c>
      <c r="AB3" s="1">
        <v>2.519824672141497</v>
      </c>
    </row>
    <row r="4" spans="1:28" x14ac:dyDescent="0.35">
      <c r="A4" s="1" t="s">
        <v>30</v>
      </c>
      <c r="B4" s="1">
        <v>11.182520719654271</v>
      </c>
      <c r="C4" s="1">
        <v>10.258474533721269</v>
      </c>
      <c r="D4" s="1">
        <v>9.7703887836904659</v>
      </c>
      <c r="E4" s="1">
        <v>9.7672664165195364</v>
      </c>
      <c r="F4" s="1">
        <v>10.26033689021463</v>
      </c>
      <c r="G4" s="1">
        <v>9.9812479658873308</v>
      </c>
      <c r="H4" s="1">
        <v>9.8204985700855172</v>
      </c>
      <c r="I4" s="1">
        <v>10.025963207780499</v>
      </c>
      <c r="J4" s="1">
        <v>9.9907232270141701</v>
      </c>
      <c r="K4" s="1">
        <v>9.2459174468827356</v>
      </c>
      <c r="L4" s="1">
        <v>9.0221546204022083</v>
      </c>
      <c r="M4" s="1">
        <v>8.8542036714257897</v>
      </c>
      <c r="N4" s="1">
        <v>8.8090653344172249</v>
      </c>
      <c r="O4" s="1">
        <v>8.787267537681144</v>
      </c>
      <c r="P4" s="1">
        <v>9.0171639500726855</v>
      </c>
      <c r="Q4" s="1">
        <v>8.7492100089947034</v>
      </c>
      <c r="R4" s="1">
        <v>9.1213677788984295</v>
      </c>
      <c r="S4" s="1">
        <v>8.9935002157326309</v>
      </c>
      <c r="T4" s="1">
        <v>8.7782849955853948</v>
      </c>
      <c r="U4" s="1">
        <v>9.5188230476474445</v>
      </c>
      <c r="V4" s="1">
        <v>9.4204385447668351</v>
      </c>
      <c r="W4" s="1">
        <v>8.9900694122257416</v>
      </c>
      <c r="X4" s="1">
        <v>9.0115329334366763</v>
      </c>
      <c r="Y4" s="1">
        <v>8.6625096720618462</v>
      </c>
      <c r="Z4" s="1">
        <v>8.1319353333654121</v>
      </c>
      <c r="AA4" s="1">
        <v>7.9883679398928091</v>
      </c>
      <c r="AB4" s="1">
        <v>7.8920081253417811</v>
      </c>
    </row>
    <row r="5" spans="1:28" x14ac:dyDescent="0.35">
      <c r="A5" s="1" t="s">
        <v>31</v>
      </c>
      <c r="B5" s="1">
        <v>0.6995156921922121</v>
      </c>
      <c r="C5" s="1">
        <v>3.6123933297351751E-2</v>
      </c>
      <c r="D5" s="1">
        <v>4.8300176122872793</v>
      </c>
      <c r="E5" s="1">
        <v>4.5971237511371346</v>
      </c>
      <c r="F5" s="1">
        <v>4.2408818455764781</v>
      </c>
      <c r="G5" s="1">
        <v>7.1931064986716207</v>
      </c>
      <c r="H5" s="1">
        <v>5.9322432433159831</v>
      </c>
      <c r="I5" s="1">
        <v>6.3279624971512218</v>
      </c>
      <c r="J5" s="1">
        <v>5.628023714007564</v>
      </c>
      <c r="K5" s="1">
        <v>4.1418764247259006</v>
      </c>
      <c r="L5" s="1">
        <v>3.2477712288592571</v>
      </c>
      <c r="M5" s="1">
        <v>2.0865856579747142</v>
      </c>
      <c r="N5" s="1">
        <v>1.8909291877813681</v>
      </c>
      <c r="O5" s="1">
        <v>3.8489973174699501</v>
      </c>
      <c r="P5" s="1">
        <v>4.5925534008757669</v>
      </c>
      <c r="Q5" s="1">
        <v>3.879671040241826</v>
      </c>
      <c r="R5" s="1">
        <v>3.469237550916842</v>
      </c>
      <c r="S5" s="1">
        <v>4.2714312596962269</v>
      </c>
      <c r="T5" s="1">
        <v>5.8648016384009658</v>
      </c>
      <c r="U5" s="1">
        <v>5.4234805367940009</v>
      </c>
      <c r="V5" s="1">
        <v>5.6233189601589064</v>
      </c>
      <c r="W5" s="1">
        <v>6.3763580733040568</v>
      </c>
      <c r="X5" s="1">
        <v>6.2301477716884612</v>
      </c>
      <c r="Y5" s="1">
        <v>6.589964921392248</v>
      </c>
      <c r="Z5" s="1">
        <v>6.5769826747626938</v>
      </c>
      <c r="AA5" s="1">
        <v>6.463613536858416</v>
      </c>
      <c r="AB5" s="1">
        <v>7.1208416525976936</v>
      </c>
    </row>
    <row r="6" spans="1:28" x14ac:dyDescent="0.35">
      <c r="A6" s="1" t="s">
        <v>32</v>
      </c>
      <c r="B6" s="1">
        <v>0.4819279291884237</v>
      </c>
      <c r="C6" s="1">
        <v>6.9913767696970497E-2</v>
      </c>
      <c r="D6" s="1">
        <v>0.27076840167273941</v>
      </c>
      <c r="E6" s="1">
        <v>0.68768765510394536</v>
      </c>
      <c r="F6" s="1">
        <v>0.14220413127196549</v>
      </c>
      <c r="G6" s="1">
        <v>0.26324467553781122</v>
      </c>
      <c r="H6" s="1">
        <v>0.12417577568200031</v>
      </c>
      <c r="I6" s="1">
        <v>0.11188458270374339</v>
      </c>
      <c r="J6" s="1">
        <v>-0.1075990921058928</v>
      </c>
      <c r="K6" s="1">
        <v>-0.29795430347681012</v>
      </c>
      <c r="L6" s="1">
        <v>-0.31593867789590002</v>
      </c>
      <c r="M6" s="1">
        <v>-0.48464715690956173</v>
      </c>
      <c r="N6" s="1">
        <v>-0.58324518850782103</v>
      </c>
      <c r="O6" s="1">
        <v>-0.75285572742317952</v>
      </c>
      <c r="P6" s="1">
        <v>-0.52915362900161078</v>
      </c>
      <c r="Q6" s="1">
        <v>-0.4912546660220512</v>
      </c>
      <c r="R6" s="1">
        <v>-0.56718420141030512</v>
      </c>
      <c r="S6" s="1">
        <v>-0.19824086511517899</v>
      </c>
      <c r="T6" s="1">
        <v>-0.16248937981719611</v>
      </c>
      <c r="U6" s="1">
        <v>-3.338208996040648E-2</v>
      </c>
      <c r="V6" s="1">
        <v>-8.5040609684587931E-2</v>
      </c>
      <c r="W6" s="1">
        <v>0.38263633318513463</v>
      </c>
      <c r="X6" s="1">
        <v>0.69830467506577676</v>
      </c>
      <c r="Y6" s="1">
        <v>0.54774548156698211</v>
      </c>
      <c r="Z6" s="1">
        <v>0.56389542057425213</v>
      </c>
      <c r="AA6" s="1">
        <v>1.3026974542555869</v>
      </c>
      <c r="AB6" s="1">
        <v>1.7044515502069051</v>
      </c>
    </row>
    <row r="7" spans="1:28" x14ac:dyDescent="0.35">
      <c r="A7" s="1" t="s">
        <v>33</v>
      </c>
      <c r="B7" s="1">
        <v>145.62898018101799</v>
      </c>
      <c r="C7" s="1">
        <v>145.30604716651749</v>
      </c>
      <c r="D7" s="1">
        <v>150.70493980898101</v>
      </c>
      <c r="E7" s="1">
        <v>151.79133073185699</v>
      </c>
      <c r="F7" s="1">
        <v>150.44976731661259</v>
      </c>
      <c r="G7" s="1">
        <v>153.8662917093055</v>
      </c>
      <c r="H7" s="1">
        <v>152.25588468730459</v>
      </c>
      <c r="I7" s="1">
        <v>151.66915094261259</v>
      </c>
      <c r="J7" s="1">
        <v>150.80824952522391</v>
      </c>
      <c r="K7" s="1">
        <v>149.9916572158252</v>
      </c>
      <c r="L7" s="1">
        <v>149.1705612989189</v>
      </c>
      <c r="M7" s="1">
        <v>148.20431260137971</v>
      </c>
      <c r="N7" s="1">
        <v>147.4174094352889</v>
      </c>
      <c r="O7" s="1">
        <v>149.6923998632158</v>
      </c>
      <c r="P7" s="1">
        <v>150.0585186238871</v>
      </c>
      <c r="Q7" s="1">
        <v>149.78528702465201</v>
      </c>
      <c r="R7" s="1">
        <v>148.86909308190559</v>
      </c>
      <c r="S7" s="1">
        <v>151.11424782925121</v>
      </c>
      <c r="T7" s="1">
        <v>153.27714121293749</v>
      </c>
      <c r="U7" s="1">
        <v>152.59318962071089</v>
      </c>
      <c r="V7" s="1">
        <v>152.89809646142211</v>
      </c>
      <c r="W7" s="1">
        <v>155.68355613719419</v>
      </c>
      <c r="X7" s="1">
        <v>156.699795562638</v>
      </c>
      <c r="Y7" s="1">
        <v>157.2912445673779</v>
      </c>
      <c r="Z7" s="1">
        <v>157.62788320362691</v>
      </c>
      <c r="AA7" s="1">
        <v>158.995940515374</v>
      </c>
      <c r="AB7" s="1">
        <v>160.46769760724669</v>
      </c>
    </row>
    <row r="8" spans="1:28" x14ac:dyDescent="0.35">
      <c r="A8" s="1" t="s">
        <v>34</v>
      </c>
      <c r="B8" s="1">
        <v>31928861.07</v>
      </c>
      <c r="C8" s="1">
        <v>27618790.48</v>
      </c>
      <c r="D8" s="1">
        <v>26431942.460000001</v>
      </c>
      <c r="E8" s="1">
        <v>21654998.129999999</v>
      </c>
      <c r="F8" s="1">
        <v>32568890.920000002</v>
      </c>
      <c r="G8" s="1">
        <v>39004240.039999999</v>
      </c>
      <c r="H8" s="1">
        <v>26302042.850000001</v>
      </c>
      <c r="I8" s="1">
        <v>22853785.66</v>
      </c>
      <c r="J8" s="1">
        <v>23396801.280000001</v>
      </c>
      <c r="K8" s="1">
        <v>23586459.859999999</v>
      </c>
      <c r="L8" s="1">
        <v>23580532.52</v>
      </c>
      <c r="M8" s="1">
        <v>16112956.449999999</v>
      </c>
      <c r="N8" s="1">
        <v>16314571.369999999</v>
      </c>
      <c r="O8" s="1">
        <v>16428579.93</v>
      </c>
      <c r="P8" s="1">
        <v>23332468.559999999</v>
      </c>
      <c r="Q8" s="1">
        <v>26882990.690000001</v>
      </c>
      <c r="R8" s="1">
        <v>45044215.819999993</v>
      </c>
      <c r="S8" s="1">
        <v>43506307.18</v>
      </c>
      <c r="T8" s="1">
        <v>30755791.309999999</v>
      </c>
      <c r="U8" s="1">
        <v>31983638.84</v>
      </c>
      <c r="V8" s="1">
        <v>55673651.960000001</v>
      </c>
      <c r="W8" s="1">
        <v>57814559.840000004</v>
      </c>
      <c r="X8" s="1">
        <v>51238052.810000002</v>
      </c>
      <c r="Y8" s="1">
        <v>39321771.869999997</v>
      </c>
      <c r="Z8" s="1">
        <v>51612471.109999999</v>
      </c>
      <c r="AA8" s="1">
        <v>66142160.039999999</v>
      </c>
      <c r="AB8" s="1">
        <v>7863583.8499999996</v>
      </c>
    </row>
    <row r="9" spans="1:28" x14ac:dyDescent="0.35">
      <c r="A9" s="1" t="s">
        <v>35</v>
      </c>
      <c r="B9" s="1">
        <v>1.89885201810634</v>
      </c>
      <c r="C9" s="1">
        <v>1.937875062747215</v>
      </c>
      <c r="D9" s="1">
        <v>1.6558813169242781</v>
      </c>
      <c r="E9" s="1">
        <v>1.6695809558154631</v>
      </c>
      <c r="F9" s="1">
        <v>1.690536362024913</v>
      </c>
      <c r="G9" s="1">
        <v>1.516876088313434</v>
      </c>
      <c r="H9" s="1">
        <v>1.59104451509906</v>
      </c>
      <c r="I9" s="1">
        <v>1.567766911932281</v>
      </c>
      <c r="J9" s="1">
        <v>1.608939781528967</v>
      </c>
      <c r="K9" s="1">
        <v>1.6963602103102411</v>
      </c>
      <c r="L9" s="1">
        <v>1.748954633596514</v>
      </c>
      <c r="M9" s="1">
        <v>1.8172596671779579</v>
      </c>
      <c r="N9" s="1">
        <v>1.8287688713069781</v>
      </c>
      <c r="O9" s="1">
        <v>1.7135883930900031</v>
      </c>
      <c r="P9" s="1">
        <v>1.669849799948484</v>
      </c>
      <c r="Q9" s="1">
        <v>1.7117840564563629</v>
      </c>
      <c r="R9" s="1">
        <v>1.735927202887245</v>
      </c>
      <c r="S9" s="1">
        <v>1.688739337664928</v>
      </c>
      <c r="T9" s="1">
        <v>1.5950116683293549</v>
      </c>
      <c r="U9" s="1">
        <v>1.6209717331297651</v>
      </c>
      <c r="V9" s="1">
        <v>1.6092165317553579</v>
      </c>
      <c r="W9" s="1">
        <v>1.564920113335055</v>
      </c>
      <c r="X9" s="1">
        <v>1.573520719312443</v>
      </c>
      <c r="Y9" s="1">
        <v>1.5523550046239849</v>
      </c>
      <c r="Z9" s="1">
        <v>1.5531186661904299</v>
      </c>
      <c r="AA9" s="1">
        <v>1.5597874390083279</v>
      </c>
      <c r="AB9" s="1">
        <v>1.5211269616119001</v>
      </c>
    </row>
    <row r="10" spans="1:28" x14ac:dyDescent="0.35">
      <c r="A10" s="1" t="s">
        <v>36</v>
      </c>
      <c r="B10" s="1">
        <v>0.2431153152973082</v>
      </c>
      <c r="C10" s="1">
        <v>0.24900123189004331</v>
      </c>
      <c r="D10" s="1">
        <v>0.2461318799761037</v>
      </c>
      <c r="E10" s="1">
        <v>0.24017589064137221</v>
      </c>
      <c r="F10" s="1">
        <v>0.24796851241040049</v>
      </c>
      <c r="G10" s="1">
        <v>0.2462393617780313</v>
      </c>
      <c r="H10" s="1">
        <v>0.2482260603474</v>
      </c>
      <c r="I10" s="1">
        <v>0.24840164881851801</v>
      </c>
      <c r="J10" s="1">
        <v>0.25153712988722698</v>
      </c>
      <c r="K10" s="1">
        <v>0.25425649004966872</v>
      </c>
      <c r="L10" s="1">
        <v>0.25451340968422709</v>
      </c>
      <c r="M10" s="1">
        <v>0.25692353081299368</v>
      </c>
      <c r="N10" s="1">
        <v>0.2583320741215403</v>
      </c>
      <c r="O10" s="1">
        <v>0.26075508182033108</v>
      </c>
      <c r="P10" s="1">
        <v>0.25755933755716592</v>
      </c>
      <c r="Q10" s="1">
        <v>0.25701792380031502</v>
      </c>
      <c r="R10" s="1">
        <v>0.25810263144871859</v>
      </c>
      <c r="S10" s="1">
        <v>0.25283201235878833</v>
      </c>
      <c r="T10" s="1">
        <v>0.25232127685453137</v>
      </c>
      <c r="U10" s="1">
        <v>0.25047688699943438</v>
      </c>
      <c r="V10" s="1">
        <v>0.25121486585263703</v>
      </c>
      <c r="W10" s="1">
        <v>0.24453376666878379</v>
      </c>
      <c r="X10" s="1">
        <v>0.24002421892763179</v>
      </c>
      <c r="Y10" s="1">
        <v>0.24217506454904311</v>
      </c>
      <c r="Z10" s="1">
        <v>0.24194435113465351</v>
      </c>
      <c r="AA10" s="1">
        <v>0.2313900363677773</v>
      </c>
      <c r="AB10" s="1">
        <v>0.22565069213990141</v>
      </c>
    </row>
    <row r="12" spans="1:28" x14ac:dyDescent="0.35">
      <c r="A12" s="1" t="s">
        <v>37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6</v>
      </c>
      <c r="H12" s="1" t="s">
        <v>7</v>
      </c>
      <c r="I12" s="1" t="s">
        <v>8</v>
      </c>
      <c r="J12" s="1" t="s">
        <v>9</v>
      </c>
      <c r="K12" s="1" t="s">
        <v>10</v>
      </c>
      <c r="L12" s="1" t="s">
        <v>11</v>
      </c>
      <c r="M12" s="1" t="s">
        <v>12</v>
      </c>
      <c r="N12" s="1" t="s">
        <v>13</v>
      </c>
      <c r="O12" s="1" t="s">
        <v>14</v>
      </c>
      <c r="P12" s="1" t="s">
        <v>15</v>
      </c>
      <c r="Q12" s="1" t="s">
        <v>16</v>
      </c>
      <c r="R12" s="1" t="s">
        <v>17</v>
      </c>
      <c r="S12" s="1" t="s">
        <v>18</v>
      </c>
      <c r="T12" s="1" t="s">
        <v>19</v>
      </c>
      <c r="U12" s="1" t="s">
        <v>20</v>
      </c>
      <c r="V12" s="1" t="s">
        <v>21</v>
      </c>
      <c r="W12" s="1" t="s">
        <v>22</v>
      </c>
      <c r="X12" s="1" t="s">
        <v>23</v>
      </c>
      <c r="Y12" s="1" t="s">
        <v>24</v>
      </c>
      <c r="Z12" s="1" t="s">
        <v>25</v>
      </c>
      <c r="AA12" s="1" t="s">
        <v>26</v>
      </c>
      <c r="AB12" s="1" t="s">
        <v>27</v>
      </c>
    </row>
    <row r="13" spans="1:28" x14ac:dyDescent="0.35">
      <c r="A13" s="1" t="s">
        <v>28</v>
      </c>
      <c r="B13" s="1">
        <v>131.02374056102511</v>
      </c>
      <c r="C13" s="1">
        <v>132.8617911649242</v>
      </c>
      <c r="D13" s="1">
        <v>133.9770238880532</v>
      </c>
      <c r="E13" s="1">
        <v>132.88551358739431</v>
      </c>
      <c r="F13" s="1">
        <v>135.44222542653091</v>
      </c>
      <c r="G13" s="1">
        <v>135.14214550215371</v>
      </c>
      <c r="H13" s="1">
        <v>134.9174650654553</v>
      </c>
      <c r="I13" s="1">
        <v>132.88314373931999</v>
      </c>
      <c r="J13" s="1">
        <v>134.0458546506193</v>
      </c>
      <c r="K13" s="1">
        <v>136.6950372810056</v>
      </c>
      <c r="L13" s="1">
        <v>137.8900692946446</v>
      </c>
      <c r="M13" s="1">
        <v>139.67200216083279</v>
      </c>
      <c r="N13" s="1">
        <v>141.24218744766199</v>
      </c>
      <c r="O13" s="1">
        <v>140.53478907220429</v>
      </c>
      <c r="P13" s="1">
        <v>140.6901144550194</v>
      </c>
      <c r="Q13" s="1">
        <v>138.93060381512291</v>
      </c>
      <c r="R13" s="1">
        <v>138.077915992643</v>
      </c>
      <c r="S13" s="1">
        <v>140.13019299246139</v>
      </c>
      <c r="T13" s="1">
        <v>141.48693992933181</v>
      </c>
      <c r="U13" s="1">
        <v>139.87967032459511</v>
      </c>
      <c r="V13" s="1">
        <v>139.75792256188049</v>
      </c>
      <c r="W13" s="1">
        <v>140.54572163897851</v>
      </c>
      <c r="X13" s="1">
        <v>140.88101945499329</v>
      </c>
      <c r="Y13" s="1">
        <v>141.7057413869658</v>
      </c>
      <c r="Z13" s="1">
        <v>142.76907461715399</v>
      </c>
      <c r="AA13" s="1">
        <v>143.0878158692305</v>
      </c>
      <c r="AB13" s="1">
        <v>143.69803116438311</v>
      </c>
    </row>
    <row r="14" spans="1:28" x14ac:dyDescent="0.35">
      <c r="A14" s="1" t="s">
        <v>29</v>
      </c>
      <c r="B14" s="1">
        <v>1.405877799498616</v>
      </c>
      <c r="C14" s="1">
        <v>1.500425834929253</v>
      </c>
      <c r="D14" s="1">
        <v>0.5140381457812282</v>
      </c>
      <c r="E14" s="1">
        <v>-2.3408440416918769E-2</v>
      </c>
      <c r="F14" s="1">
        <v>0.46714751096023061</v>
      </c>
      <c r="G14" s="1">
        <v>0.79712515786145233</v>
      </c>
      <c r="H14" s="1">
        <v>0.42801962395136162</v>
      </c>
      <c r="I14" s="1">
        <v>-0.73974685353424929</v>
      </c>
      <c r="J14" s="1">
        <v>-0.63639367340164199</v>
      </c>
      <c r="K14" s="1">
        <v>0.4699104395166821</v>
      </c>
      <c r="L14" s="1">
        <v>0.38200097625359969</v>
      </c>
      <c r="M14" s="1">
        <v>0.18903414977621361</v>
      </c>
      <c r="N14" s="1">
        <v>0.55948740623605586</v>
      </c>
      <c r="O14" s="1">
        <v>1.0166095878231769</v>
      </c>
      <c r="P14" s="1">
        <v>1.018685253160156</v>
      </c>
      <c r="Q14" s="1">
        <v>0.62756471616089338</v>
      </c>
      <c r="R14" s="1">
        <v>-0.24434332159734801</v>
      </c>
      <c r="S14" s="1">
        <v>0.17600074673258401</v>
      </c>
      <c r="T14" s="1">
        <v>0.43028574630928229</v>
      </c>
      <c r="U14" s="1">
        <v>0.30549148019603489</v>
      </c>
      <c r="V14" s="1">
        <v>0.39574649117986099</v>
      </c>
      <c r="W14" s="1">
        <v>0.85275190464294992</v>
      </c>
      <c r="X14" s="1">
        <v>1.1731429562932401</v>
      </c>
      <c r="Y14" s="1">
        <v>1.787413676533989</v>
      </c>
      <c r="Z14" s="1">
        <v>1.6028638658664001</v>
      </c>
      <c r="AA14" s="1">
        <v>1.73907655507001</v>
      </c>
      <c r="AB14" s="1">
        <v>1.802367972258095</v>
      </c>
    </row>
    <row r="15" spans="1:28" x14ac:dyDescent="0.35">
      <c r="A15" s="1" t="s">
        <v>30</v>
      </c>
      <c r="B15" s="1">
        <v>10.59605445405685</v>
      </c>
      <c r="C15" s="1">
        <v>9.9341225334656293</v>
      </c>
      <c r="D15" s="1">
        <v>9.4600706575747147</v>
      </c>
      <c r="E15" s="1">
        <v>10.205920503408359</v>
      </c>
      <c r="F15" s="1">
        <v>9.0678736578431121</v>
      </c>
      <c r="G15" s="1">
        <v>9.145028277262151</v>
      </c>
      <c r="H15" s="1">
        <v>9.3294870937800045</v>
      </c>
      <c r="I15" s="1">
        <v>9.9182411687751859</v>
      </c>
      <c r="J15" s="1">
        <v>9.2678803638408276</v>
      </c>
      <c r="K15" s="1">
        <v>8.2622650167490495</v>
      </c>
      <c r="L15" s="1">
        <v>7.7572879280322624</v>
      </c>
      <c r="M15" s="1">
        <v>7.0247491614642117</v>
      </c>
      <c r="N15" s="1">
        <v>6.1779610214123126</v>
      </c>
      <c r="O15" s="1">
        <v>6.6686793701268217</v>
      </c>
      <c r="P15" s="1">
        <v>6.5244934665890666</v>
      </c>
      <c r="Q15" s="1">
        <v>7.2517729425973334</v>
      </c>
      <c r="R15" s="1">
        <v>7.7162074436714523</v>
      </c>
      <c r="S15" s="1">
        <v>7.0462290538114392</v>
      </c>
      <c r="T15" s="1">
        <v>6.5502513044775883</v>
      </c>
      <c r="U15" s="1">
        <v>7.515541030122753</v>
      </c>
      <c r="V15" s="1">
        <v>7.6157077110569107</v>
      </c>
      <c r="W15" s="1">
        <v>7.3094216126034981</v>
      </c>
      <c r="X15" s="1">
        <v>7.3126727961057849</v>
      </c>
      <c r="Y15" s="1">
        <v>7.1882667423341644</v>
      </c>
      <c r="Z15" s="1">
        <v>6.5209330194781323</v>
      </c>
      <c r="AA15" s="1">
        <v>6.3961835208849367</v>
      </c>
      <c r="AB15" s="1">
        <v>6.1123378869889091</v>
      </c>
    </row>
    <row r="16" spans="1:28" x14ac:dyDescent="0.35">
      <c r="A16" s="1" t="s">
        <v>31</v>
      </c>
      <c r="B16" s="1">
        <v>0.4342605205637009</v>
      </c>
      <c r="C16" s="1">
        <v>-2.776685556349134E-3</v>
      </c>
      <c r="D16" s="1">
        <v>0.86321340431466087</v>
      </c>
      <c r="E16" s="1">
        <v>-1.460083763063611</v>
      </c>
      <c r="F16" s="1">
        <v>3.5114664971543581</v>
      </c>
      <c r="G16" s="1">
        <v>7.3258348780782274</v>
      </c>
      <c r="H16" s="1">
        <v>5.5644030554256192</v>
      </c>
      <c r="I16" s="1">
        <v>4.3841425800309288</v>
      </c>
      <c r="J16" s="1">
        <v>4.7843014913497752</v>
      </c>
      <c r="K16" s="1">
        <v>4.7501037165723146</v>
      </c>
      <c r="L16" s="1">
        <v>4.6707950635584288</v>
      </c>
      <c r="M16" s="1">
        <v>4.3520184032309874</v>
      </c>
      <c r="N16" s="1">
        <v>4.1872545221455439</v>
      </c>
      <c r="O16" s="1">
        <v>6.8891367245569164</v>
      </c>
      <c r="P16" s="1">
        <v>7.405845322184117</v>
      </c>
      <c r="Q16" s="1">
        <v>8.0420252308269013</v>
      </c>
      <c r="R16" s="1">
        <v>7.7023340231977144</v>
      </c>
      <c r="S16" s="1">
        <v>7.7617658272585981</v>
      </c>
      <c r="T16" s="1">
        <v>7.6454824681897771</v>
      </c>
      <c r="U16" s="1">
        <v>7.6621478003343979</v>
      </c>
      <c r="V16" s="1">
        <v>7.6301319500436682</v>
      </c>
      <c r="W16" s="1">
        <v>8.6454312214310534</v>
      </c>
      <c r="X16" s="1">
        <v>8.7319599169810509</v>
      </c>
      <c r="Y16" s="1">
        <v>8.6554455646318118</v>
      </c>
      <c r="Z16" s="1">
        <v>7.5510171463526747</v>
      </c>
      <c r="AA16" s="1">
        <v>7.5042143450037777</v>
      </c>
      <c r="AB16" s="1">
        <v>7.5246339448358297</v>
      </c>
    </row>
    <row r="17" spans="1:28" x14ac:dyDescent="0.35">
      <c r="A17" s="1" t="s">
        <v>32</v>
      </c>
      <c r="B17" s="1">
        <v>0.2477727963726081</v>
      </c>
      <c r="C17" s="1">
        <v>4.2616911455006228E-2</v>
      </c>
      <c r="D17" s="1">
        <v>-0.43180526391544072</v>
      </c>
      <c r="E17" s="1">
        <v>-0.49266742125750768</v>
      </c>
      <c r="F17" s="1">
        <v>-0.44528403344001038</v>
      </c>
      <c r="G17" s="1">
        <v>-0.34871257990940491</v>
      </c>
      <c r="H17" s="1">
        <v>-0.20524274118964511</v>
      </c>
      <c r="I17" s="1">
        <v>-0.34843474711711842</v>
      </c>
      <c r="J17" s="1">
        <v>-0.49419655548167118</v>
      </c>
      <c r="K17" s="1">
        <v>-0.32837508634192158</v>
      </c>
      <c r="L17" s="1">
        <v>-0.2446769847398122</v>
      </c>
      <c r="M17" s="1">
        <v>-0.2643377298779559</v>
      </c>
      <c r="N17" s="1">
        <v>-0.371418886258853</v>
      </c>
      <c r="O17" s="1">
        <v>-0.44864402836844058</v>
      </c>
      <c r="P17" s="1">
        <v>-0.26455890988001551</v>
      </c>
      <c r="Q17" s="1">
        <v>5.6189887008190602E-2</v>
      </c>
      <c r="R17" s="1">
        <v>8.8743787630278237E-2</v>
      </c>
      <c r="S17" s="1">
        <v>5.4988693963795007E-2</v>
      </c>
      <c r="T17" s="1">
        <v>-0.1712724045628117</v>
      </c>
      <c r="U17" s="1">
        <v>-0.4705491707856479</v>
      </c>
      <c r="V17" s="1">
        <v>-0.48590602390274068</v>
      </c>
      <c r="W17" s="1">
        <v>-0.39428987115479652</v>
      </c>
      <c r="X17" s="1">
        <v>-0.47419012100888719</v>
      </c>
      <c r="Y17" s="1">
        <v>-0.54859172993874439</v>
      </c>
      <c r="Z17" s="1">
        <v>-0.38976750481855948</v>
      </c>
      <c r="AA17" s="1">
        <v>-0.33481510605200598</v>
      </c>
      <c r="AB17" s="1">
        <v>-0.43766817650776663</v>
      </c>
    </row>
    <row r="18" spans="1:28" x14ac:dyDescent="0.35">
      <c r="A18" s="1" t="s">
        <v>33</v>
      </c>
      <c r="B18" s="1">
        <v>143.70770613151689</v>
      </c>
      <c r="C18" s="1">
        <v>144.33617975921771</v>
      </c>
      <c r="D18" s="1">
        <v>144.3825408318084</v>
      </c>
      <c r="E18" s="1">
        <v>141.11527446606459</v>
      </c>
      <c r="F18" s="1">
        <v>148.04342905904861</v>
      </c>
      <c r="G18" s="1">
        <v>152.06142123544609</v>
      </c>
      <c r="H18" s="1">
        <v>150.03413209742271</v>
      </c>
      <c r="I18" s="1">
        <v>146.09734588747469</v>
      </c>
      <c r="J18" s="1">
        <v>146.96744627692661</v>
      </c>
      <c r="K18" s="1">
        <v>149.84894136750171</v>
      </c>
      <c r="L18" s="1">
        <v>150.45547627774911</v>
      </c>
      <c r="M18" s="1">
        <v>150.97346614542619</v>
      </c>
      <c r="N18" s="1">
        <v>151.79547151119709</v>
      </c>
      <c r="O18" s="1">
        <v>154.6605707263428</v>
      </c>
      <c r="P18" s="1">
        <v>155.3745795870727</v>
      </c>
      <c r="Q18" s="1">
        <v>154.90815659171619</v>
      </c>
      <c r="R18" s="1">
        <v>153.34085792554521</v>
      </c>
      <c r="S18" s="1">
        <v>155.1691773142278</v>
      </c>
      <c r="T18" s="1">
        <v>155.94168704374559</v>
      </c>
      <c r="U18" s="1">
        <v>154.89230146446269</v>
      </c>
      <c r="V18" s="1">
        <v>154.91360269025819</v>
      </c>
      <c r="W18" s="1">
        <v>156.95903650650121</v>
      </c>
      <c r="X18" s="1">
        <v>157.62460500336451</v>
      </c>
      <c r="Y18" s="1">
        <v>158.78827564052699</v>
      </c>
      <c r="Z18" s="1">
        <v>158.05412114403271</v>
      </c>
      <c r="AA18" s="1">
        <v>158.3924751841372</v>
      </c>
      <c r="AB18" s="1">
        <v>158.6997027919582</v>
      </c>
    </row>
    <row r="19" spans="1:28" x14ac:dyDescent="0.35">
      <c r="A19" s="1" t="s">
        <v>34</v>
      </c>
      <c r="B19" s="1">
        <v>25120539.34</v>
      </c>
      <c r="C19" s="1">
        <v>31246017.079999998</v>
      </c>
      <c r="D19" s="1">
        <v>39613738.189999998</v>
      </c>
      <c r="E19" s="1">
        <v>35104640.25</v>
      </c>
      <c r="F19" s="1">
        <v>47756132.329999998</v>
      </c>
      <c r="G19" s="1">
        <v>74770598.969999999</v>
      </c>
      <c r="H19" s="1">
        <v>64617700.700000003</v>
      </c>
      <c r="I19" s="1">
        <v>62370105.200000003</v>
      </c>
      <c r="J19" s="1">
        <v>60650122.659999996</v>
      </c>
      <c r="K19" s="1">
        <v>62094516.159999996</v>
      </c>
      <c r="L19" s="1">
        <v>56174343.960000008</v>
      </c>
      <c r="M19" s="1">
        <v>31557178.300000001</v>
      </c>
      <c r="N19" s="1">
        <v>19409890.780000001</v>
      </c>
      <c r="O19" s="1">
        <v>25367007.899999999</v>
      </c>
      <c r="P19" s="1">
        <v>42495535.539999999</v>
      </c>
      <c r="Q19" s="1">
        <v>74017311.580000013</v>
      </c>
      <c r="R19" s="1">
        <v>130624686.29000001</v>
      </c>
      <c r="S19" s="1">
        <v>144393293.22999999</v>
      </c>
      <c r="T19" s="1">
        <v>107239695.43000001</v>
      </c>
      <c r="U19" s="1">
        <v>117976702.31</v>
      </c>
      <c r="V19" s="1">
        <v>174053371.68000001</v>
      </c>
      <c r="W19" s="1">
        <v>177866802.46000001</v>
      </c>
      <c r="X19" s="1">
        <v>151169527.86000001</v>
      </c>
      <c r="Y19" s="1">
        <v>116091199.55</v>
      </c>
      <c r="Z19" s="1">
        <v>157642940.02000001</v>
      </c>
      <c r="AA19" s="1">
        <v>172258760.97999999</v>
      </c>
      <c r="AB19" s="1">
        <v>15170108.529999999</v>
      </c>
    </row>
    <row r="20" spans="1:28" x14ac:dyDescent="0.35">
      <c r="A20" s="1" t="s">
        <v>35</v>
      </c>
      <c r="B20" s="1">
        <v>1.9144552634962531</v>
      </c>
      <c r="C20" s="1">
        <v>1.9401633344444911</v>
      </c>
      <c r="D20" s="1">
        <v>1.889222740922667</v>
      </c>
      <c r="E20" s="1">
        <v>2.0258872801802119</v>
      </c>
      <c r="F20" s="1">
        <v>1.733443147226214</v>
      </c>
      <c r="G20" s="1">
        <v>1.509068536583634</v>
      </c>
      <c r="H20" s="1">
        <v>1.6126821732102581</v>
      </c>
      <c r="I20" s="1">
        <v>1.6821092599981811</v>
      </c>
      <c r="J20" s="1">
        <v>1.6585705005088369</v>
      </c>
      <c r="K20" s="1">
        <v>1.660582134319275</v>
      </c>
      <c r="L20" s="1">
        <v>1.6652473492024451</v>
      </c>
      <c r="M20" s="1">
        <v>1.6839989174570009</v>
      </c>
      <c r="N20" s="1">
        <v>1.693690910462027</v>
      </c>
      <c r="O20" s="1">
        <v>1.5347566632613581</v>
      </c>
      <c r="P20" s="1">
        <v>1.5043620398715229</v>
      </c>
      <c r="Q20" s="1">
        <v>1.4669396923043001</v>
      </c>
      <c r="R20" s="1">
        <v>1.486921528047193</v>
      </c>
      <c r="S20" s="1">
        <v>1.483425539573024</v>
      </c>
      <c r="T20" s="1">
        <v>1.490265737165307</v>
      </c>
      <c r="U20" s="1">
        <v>1.489285423509741</v>
      </c>
      <c r="V20" s="1">
        <v>1.4911687088209611</v>
      </c>
      <c r="W20" s="1">
        <v>1.431445222268761</v>
      </c>
      <c r="X20" s="1">
        <v>1.426355299001115</v>
      </c>
      <c r="Y20" s="1">
        <v>1.430856143256952</v>
      </c>
      <c r="Z20" s="1">
        <v>1.495822520802784</v>
      </c>
      <c r="AA20" s="1">
        <v>1.4985756267644841</v>
      </c>
      <c r="AB20" s="1">
        <v>1.497374473833186</v>
      </c>
    </row>
    <row r="21" spans="1:28" x14ac:dyDescent="0.35">
      <c r="A21" s="1" t="s">
        <v>36</v>
      </c>
      <c r="B21" s="1">
        <v>0.24646038862324851</v>
      </c>
      <c r="C21" s="1">
        <v>0.2493911869792142</v>
      </c>
      <c r="D21" s="1">
        <v>0.25616864662736338</v>
      </c>
      <c r="E21" s="1">
        <v>0.2570381060179644</v>
      </c>
      <c r="F21" s="1">
        <v>0.25636120047771438</v>
      </c>
      <c r="G21" s="1">
        <v>0.25498160828442012</v>
      </c>
      <c r="H21" s="1">
        <v>0.25293203915985207</v>
      </c>
      <c r="I21" s="1">
        <v>0.25497763924453032</v>
      </c>
      <c r="J21" s="1">
        <v>0.2570599507925953</v>
      </c>
      <c r="K21" s="1">
        <v>0.25469107266202751</v>
      </c>
      <c r="L21" s="1">
        <v>0.25349538549628298</v>
      </c>
      <c r="M21" s="1">
        <v>0.2537762532839708</v>
      </c>
      <c r="N21" s="1">
        <v>0.25530598408941219</v>
      </c>
      <c r="O21" s="1">
        <v>0.25640920040526338</v>
      </c>
      <c r="P21" s="1">
        <v>0.25377941299828588</v>
      </c>
      <c r="Q21" s="1">
        <v>0.24919728732845439</v>
      </c>
      <c r="R21" s="1">
        <v>0.24873223160528171</v>
      </c>
      <c r="S21" s="1">
        <v>0.24921444722908859</v>
      </c>
      <c r="T21" s="1">
        <v>0.2524467486366116</v>
      </c>
      <c r="U21" s="1">
        <v>0.25672213101122349</v>
      </c>
      <c r="V21" s="1">
        <v>0.25694151462718201</v>
      </c>
      <c r="W21" s="1">
        <v>0.25563271244506852</v>
      </c>
      <c r="X21" s="1">
        <v>0.25677414458584119</v>
      </c>
      <c r="Y21" s="1">
        <v>0.25783702471341058</v>
      </c>
      <c r="Z21" s="1">
        <v>0.25556810721169371</v>
      </c>
      <c r="AA21" s="1">
        <v>0.25478307294360009</v>
      </c>
      <c r="AB21" s="1">
        <v>0.25625240252153952</v>
      </c>
    </row>
    <row r="23" spans="1:28" x14ac:dyDescent="0.35">
      <c r="A23" s="1" t="s">
        <v>38</v>
      </c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  <c r="J23" s="1" t="s">
        <v>9</v>
      </c>
      <c r="K23" s="1" t="s">
        <v>10</v>
      </c>
      <c r="L23" s="1" t="s">
        <v>11</v>
      </c>
      <c r="M23" s="1" t="s">
        <v>12</v>
      </c>
      <c r="N23" s="1" t="s">
        <v>13</v>
      </c>
      <c r="O23" s="1" t="s">
        <v>14</v>
      </c>
      <c r="P23" s="1" t="s">
        <v>15</v>
      </c>
      <c r="Q23" s="1" t="s">
        <v>16</v>
      </c>
      <c r="R23" s="1" t="s">
        <v>17</v>
      </c>
      <c r="S23" s="1" t="s">
        <v>18</v>
      </c>
      <c r="T23" s="1" t="s">
        <v>19</v>
      </c>
      <c r="U23" s="1" t="s">
        <v>20</v>
      </c>
      <c r="V23" s="1" t="s">
        <v>21</v>
      </c>
      <c r="W23" s="1" t="s">
        <v>22</v>
      </c>
      <c r="X23" s="1" t="s">
        <v>23</v>
      </c>
      <c r="Y23" s="1" t="s">
        <v>24</v>
      </c>
      <c r="Z23" s="1" t="s">
        <v>25</v>
      </c>
      <c r="AA23" s="1" t="s">
        <v>26</v>
      </c>
      <c r="AB23" s="1" t="s">
        <v>27</v>
      </c>
    </row>
    <row r="24" spans="1:28" x14ac:dyDescent="0.35">
      <c r="A24" s="1" t="s">
        <v>28</v>
      </c>
      <c r="B24" s="1">
        <v>130.04903700221621</v>
      </c>
      <c r="C24" s="1">
        <v>133.1207717529023</v>
      </c>
      <c r="D24" s="1">
        <v>135.5091346012222</v>
      </c>
      <c r="E24" s="1">
        <v>135.29709634106169</v>
      </c>
      <c r="F24" s="1">
        <v>135.25602005308559</v>
      </c>
      <c r="G24" s="1">
        <v>135.44450557465149</v>
      </c>
      <c r="H24" s="1">
        <v>135.0243677977891</v>
      </c>
      <c r="I24" s="1">
        <v>133.6390065764549</v>
      </c>
      <c r="J24" s="1">
        <v>134.37539887083719</v>
      </c>
      <c r="K24" s="1">
        <v>136.6500572548444</v>
      </c>
      <c r="L24" s="1">
        <v>137.11574532115</v>
      </c>
      <c r="M24" s="1">
        <v>138.231604818877</v>
      </c>
      <c r="N24" s="1">
        <v>139.1940251931957</v>
      </c>
      <c r="O24" s="1">
        <v>137.6876765525258</v>
      </c>
      <c r="P24" s="1">
        <v>138.30515917510829</v>
      </c>
      <c r="Q24" s="1">
        <v>137.37836866541551</v>
      </c>
      <c r="R24" s="1">
        <v>136.65538364985869</v>
      </c>
      <c r="S24" s="1">
        <v>137.42339571606601</v>
      </c>
      <c r="T24" s="1">
        <v>138.5009252564584</v>
      </c>
      <c r="U24" s="1">
        <v>137.12881796354111</v>
      </c>
      <c r="V24" s="1">
        <v>136.59243945562051</v>
      </c>
      <c r="W24" s="1">
        <v>137.84932732452529</v>
      </c>
      <c r="X24" s="1">
        <v>138.47866109598871</v>
      </c>
      <c r="Y24" s="1">
        <v>139.9129774417593</v>
      </c>
      <c r="Z24" s="1">
        <v>140.97805942509291</v>
      </c>
      <c r="AA24" s="1">
        <v>141.15235144889451</v>
      </c>
      <c r="AB24" s="1">
        <v>141.3692795803679</v>
      </c>
    </row>
    <row r="25" spans="1:28" x14ac:dyDescent="0.35">
      <c r="A25" s="1" t="s">
        <v>29</v>
      </c>
      <c r="B25" s="1">
        <v>0.70597559645108521</v>
      </c>
      <c r="C25" s="1">
        <v>0.56327554567649052</v>
      </c>
      <c r="D25" s="1">
        <v>0.80501656158168211</v>
      </c>
      <c r="E25" s="1">
        <v>0.75172438947372111</v>
      </c>
      <c r="F25" s="1">
        <v>1.4976468067298101</v>
      </c>
      <c r="G25" s="1">
        <v>1.620498965140369</v>
      </c>
      <c r="H25" s="1">
        <v>1.275624887960275</v>
      </c>
      <c r="I25" s="1">
        <v>0.89794285027505316</v>
      </c>
      <c r="J25" s="1">
        <v>0.2458822219124947</v>
      </c>
      <c r="K25" s="1">
        <v>0.49198973946394298</v>
      </c>
      <c r="L25" s="1">
        <v>8.4223397554036183E-2</v>
      </c>
      <c r="M25" s="1">
        <v>0.6170281723822072</v>
      </c>
      <c r="N25" s="1">
        <v>0.24196958527865159</v>
      </c>
      <c r="O25" s="1">
        <v>0.20250772578151999</v>
      </c>
      <c r="P25" s="1">
        <v>1.1352179658107839</v>
      </c>
      <c r="Q25" s="1">
        <v>0.92639953868634506</v>
      </c>
      <c r="R25" s="1">
        <v>0.78894657667587631</v>
      </c>
      <c r="S25" s="1">
        <v>1.5907764137590601</v>
      </c>
      <c r="T25" s="1">
        <v>1.6994398206059509</v>
      </c>
      <c r="U25" s="1">
        <v>1.612922814000691</v>
      </c>
      <c r="V25" s="1">
        <v>1.477998245581233</v>
      </c>
      <c r="W25" s="1">
        <v>1.6168390841752669</v>
      </c>
      <c r="X25" s="1">
        <v>1.7006493531091931</v>
      </c>
      <c r="Y25" s="1">
        <v>1.9651229479689001</v>
      </c>
      <c r="Z25" s="1">
        <v>2.035993507446122</v>
      </c>
      <c r="AA25" s="1">
        <v>2.1387835775007709</v>
      </c>
      <c r="AB25" s="1">
        <v>2.0309761944855489</v>
      </c>
    </row>
    <row r="26" spans="1:28" x14ac:dyDescent="0.35">
      <c r="A26" s="1" t="s">
        <v>30</v>
      </c>
      <c r="B26" s="1">
        <v>12.090667116540979</v>
      </c>
      <c r="C26" s="1">
        <v>10.74715882701617</v>
      </c>
      <c r="D26" s="1">
        <v>9.8357549547237451</v>
      </c>
      <c r="E26" s="1">
        <v>10.045112425327099</v>
      </c>
      <c r="F26" s="1">
        <v>9.9922796657524202</v>
      </c>
      <c r="G26" s="1">
        <v>9.9485199039999461</v>
      </c>
      <c r="H26" s="1">
        <v>10.129727927230091</v>
      </c>
      <c r="I26" s="1">
        <v>10.723323368227669</v>
      </c>
      <c r="J26" s="1">
        <v>10.30214790367963</v>
      </c>
      <c r="K26" s="1">
        <v>9.2818247049206217</v>
      </c>
      <c r="L26" s="1">
        <v>9.0146170149858893</v>
      </c>
      <c r="M26" s="1">
        <v>8.5606648184702543</v>
      </c>
      <c r="N26" s="1">
        <v>8.1078086402341718</v>
      </c>
      <c r="O26" s="1">
        <v>8.7710071787594899</v>
      </c>
      <c r="P26" s="1">
        <v>8.5092781227571166</v>
      </c>
      <c r="Q26" s="1">
        <v>9.0713697642336104</v>
      </c>
      <c r="R26" s="1">
        <v>9.3429749442262136</v>
      </c>
      <c r="S26" s="1">
        <v>9.3329654915329225</v>
      </c>
      <c r="T26" s="1">
        <v>8.9786957838805623</v>
      </c>
      <c r="U26" s="1">
        <v>9.8851428473224647</v>
      </c>
      <c r="V26" s="1">
        <v>10.08482711532028</v>
      </c>
      <c r="W26" s="1">
        <v>9.5983773659720448</v>
      </c>
      <c r="X26" s="1">
        <v>9.3251328965502704</v>
      </c>
      <c r="Y26" s="1">
        <v>8.8580243771781273</v>
      </c>
      <c r="Z26" s="1">
        <v>8.2116518660168012</v>
      </c>
      <c r="AA26" s="1">
        <v>8.2475252436368702</v>
      </c>
      <c r="AB26" s="1">
        <v>8.0557182461573724</v>
      </c>
    </row>
    <row r="27" spans="1:28" x14ac:dyDescent="0.35">
      <c r="A27" s="1" t="s">
        <v>31</v>
      </c>
      <c r="B27" s="1">
        <v>-2.29192873128207</v>
      </c>
      <c r="C27" s="1">
        <v>-2.7460512870702281</v>
      </c>
      <c r="D27" s="1">
        <v>2.0851278035863818</v>
      </c>
      <c r="E27" s="1">
        <v>2.482008544996225</v>
      </c>
      <c r="F27" s="1">
        <v>4.1617985556909582</v>
      </c>
      <c r="G27" s="1">
        <v>6.4720138338289397</v>
      </c>
      <c r="H27" s="1">
        <v>6.1553156239470743</v>
      </c>
      <c r="I27" s="1">
        <v>5.6916163460768026</v>
      </c>
      <c r="J27" s="1">
        <v>6.393005547172768</v>
      </c>
      <c r="K27" s="1">
        <v>6.9884974340978463</v>
      </c>
      <c r="L27" s="1">
        <v>6.6924227425554914</v>
      </c>
      <c r="M27" s="1">
        <v>7.8945084793605256</v>
      </c>
      <c r="N27" s="1">
        <v>7.692044908465494</v>
      </c>
      <c r="O27" s="1">
        <v>7.3895941707567889</v>
      </c>
      <c r="P27" s="1">
        <v>8.4759063679724846</v>
      </c>
      <c r="Q27" s="1">
        <v>8.5713436831621248</v>
      </c>
      <c r="R27" s="1">
        <v>6.9023099196622963</v>
      </c>
      <c r="S27" s="1">
        <v>7.5297223755697962</v>
      </c>
      <c r="T27" s="1">
        <v>8.168380544131054</v>
      </c>
      <c r="U27" s="1">
        <v>8.0334526804332658</v>
      </c>
      <c r="V27" s="1">
        <v>7.6877701324921972</v>
      </c>
      <c r="W27" s="1">
        <v>8.6395867395251038</v>
      </c>
      <c r="X27" s="1">
        <v>8.5455254220824148</v>
      </c>
      <c r="Y27" s="1">
        <v>8.8214925306365402</v>
      </c>
      <c r="Z27" s="1">
        <v>7.765625728658434</v>
      </c>
      <c r="AA27" s="1">
        <v>8.0003036507446836</v>
      </c>
      <c r="AB27" s="1">
        <v>7.5406902370062836</v>
      </c>
    </row>
    <row r="28" spans="1:28" x14ac:dyDescent="0.35">
      <c r="A28" s="1" t="s">
        <v>32</v>
      </c>
      <c r="B28" s="1">
        <v>2.4985645203128289E-2</v>
      </c>
      <c r="C28" s="1">
        <v>-0.32949129663661653</v>
      </c>
      <c r="D28" s="1">
        <v>-0.43815089600280399</v>
      </c>
      <c r="E28" s="1">
        <v>-0.38006515767407489</v>
      </c>
      <c r="F28" s="1">
        <v>-0.44770095771591789</v>
      </c>
      <c r="G28" s="1">
        <v>-0.25565256227861038</v>
      </c>
      <c r="H28" s="1">
        <v>-0.27987614301248959</v>
      </c>
      <c r="I28" s="1">
        <v>-0.15454272310077949</v>
      </c>
      <c r="J28" s="1">
        <v>-0.31832469372281569</v>
      </c>
      <c r="K28" s="1">
        <v>-8.2703364504032595E-2</v>
      </c>
      <c r="L28" s="1">
        <v>-0.30358248694435869</v>
      </c>
      <c r="M28" s="1">
        <v>-3.0310670698903142E-2</v>
      </c>
      <c r="N28" s="1">
        <v>-0.60886851881541415</v>
      </c>
      <c r="O28" s="1">
        <v>-0.78077749565920729</v>
      </c>
      <c r="P28" s="1">
        <v>-0.2872209829913358</v>
      </c>
      <c r="Q28" s="1">
        <v>-6.0700449498700119E-2</v>
      </c>
      <c r="R28" s="1">
        <v>-0.28290457834266652</v>
      </c>
      <c r="S28" s="1">
        <v>0.14211143552484759</v>
      </c>
      <c r="T28" s="1">
        <v>0.16525582998006191</v>
      </c>
      <c r="U28" s="1">
        <v>3.5675660452508813E-2</v>
      </c>
      <c r="V28" s="1">
        <v>-1.8719090875563E-3</v>
      </c>
      <c r="W28" s="1">
        <v>0.31182594268845121</v>
      </c>
      <c r="X28" s="1">
        <v>0.25237078234014781</v>
      </c>
      <c r="Y28" s="1">
        <v>0.46244211398760748</v>
      </c>
      <c r="Z28" s="1">
        <v>0.71698596850291463</v>
      </c>
      <c r="AA28" s="1">
        <v>0.93370855595526059</v>
      </c>
      <c r="AB28" s="1">
        <v>1.055273210176533</v>
      </c>
    </row>
    <row r="29" spans="1:28" x14ac:dyDescent="0.35">
      <c r="A29" s="1" t="s">
        <v>33</v>
      </c>
      <c r="B29" s="1">
        <v>140.57873662912931</v>
      </c>
      <c r="C29" s="1">
        <v>141.35566354188811</v>
      </c>
      <c r="D29" s="1">
        <v>147.79688302511121</v>
      </c>
      <c r="E29" s="1">
        <v>148.19587654318471</v>
      </c>
      <c r="F29" s="1">
        <v>150.4600441235429</v>
      </c>
      <c r="G29" s="1">
        <v>153.22988571534211</v>
      </c>
      <c r="H29" s="1">
        <v>152.30516009391411</v>
      </c>
      <c r="I29" s="1">
        <v>150.79734641793371</v>
      </c>
      <c r="J29" s="1">
        <v>150.99810984987931</v>
      </c>
      <c r="K29" s="1">
        <v>153.32966576882279</v>
      </c>
      <c r="L29" s="1">
        <v>152.60342598930109</v>
      </c>
      <c r="M29" s="1">
        <v>155.27349561839111</v>
      </c>
      <c r="N29" s="1">
        <v>154.62697980835861</v>
      </c>
      <c r="O29" s="1">
        <v>153.27000813216441</v>
      </c>
      <c r="P29" s="1">
        <v>156.13834064865731</v>
      </c>
      <c r="Q29" s="1">
        <v>155.8867812019989</v>
      </c>
      <c r="R29" s="1">
        <v>153.40671051208039</v>
      </c>
      <c r="S29" s="1">
        <v>156.0189714324527</v>
      </c>
      <c r="T29" s="1">
        <v>157.51269723505601</v>
      </c>
      <c r="U29" s="1">
        <v>156.69601196574999</v>
      </c>
      <c r="V29" s="1">
        <v>155.84116303992661</v>
      </c>
      <c r="W29" s="1">
        <v>158.01595645688619</v>
      </c>
      <c r="X29" s="1">
        <v>158.30233955007071</v>
      </c>
      <c r="Y29" s="1">
        <v>160.02005941153041</v>
      </c>
      <c r="Z29" s="1">
        <v>159.70831649571721</v>
      </c>
      <c r="AA29" s="1">
        <v>160.4726724767321</v>
      </c>
      <c r="AB29" s="1">
        <v>160.05193746819359</v>
      </c>
    </row>
    <row r="30" spans="1:28" x14ac:dyDescent="0.35">
      <c r="A30" s="1" t="s">
        <v>34</v>
      </c>
      <c r="B30" s="1">
        <v>73037972.550000012</v>
      </c>
      <c r="C30" s="1">
        <v>59003406.780000001</v>
      </c>
      <c r="D30" s="1">
        <v>58434685.850000001</v>
      </c>
      <c r="E30" s="1">
        <v>43471680.969999999</v>
      </c>
      <c r="F30" s="1">
        <v>62473986.030000001</v>
      </c>
      <c r="G30" s="1">
        <v>81344802.680000007</v>
      </c>
      <c r="H30" s="1">
        <v>65620075.810000002</v>
      </c>
      <c r="I30" s="1">
        <v>57925221.600000001</v>
      </c>
      <c r="J30" s="1">
        <v>53469740.140000001</v>
      </c>
      <c r="K30" s="1">
        <v>52867125.859999999</v>
      </c>
      <c r="L30" s="1">
        <v>36837943.489999987</v>
      </c>
      <c r="M30" s="1">
        <v>20038396.449999999</v>
      </c>
      <c r="N30" s="1">
        <v>12198339.9</v>
      </c>
      <c r="O30" s="1">
        <v>15969416.27</v>
      </c>
      <c r="P30" s="1">
        <v>27616140.649999999</v>
      </c>
      <c r="Q30" s="1">
        <v>43795069.290000007</v>
      </c>
      <c r="R30" s="1">
        <v>67634411.099999994</v>
      </c>
      <c r="S30" s="1">
        <v>93584724.570000008</v>
      </c>
      <c r="T30" s="1">
        <v>68075321.590000004</v>
      </c>
      <c r="U30" s="1">
        <v>69889122.100000009</v>
      </c>
      <c r="V30" s="1">
        <v>108694514.89</v>
      </c>
      <c r="W30" s="1">
        <v>115284896</v>
      </c>
      <c r="X30" s="1">
        <v>89260079.860000014</v>
      </c>
      <c r="Y30" s="1">
        <v>70709187.349999994</v>
      </c>
      <c r="Z30" s="1">
        <v>103672626.01000001</v>
      </c>
      <c r="AA30" s="1">
        <v>118346593.3</v>
      </c>
      <c r="AB30" s="1">
        <v>12446894.560000001</v>
      </c>
    </row>
    <row r="31" spans="1:28" x14ac:dyDescent="0.35">
      <c r="A31" s="1" t="s">
        <v>35</v>
      </c>
      <c r="B31" s="1">
        <v>2.0748193371342389</v>
      </c>
      <c r="C31" s="1">
        <v>2.1015324286511898</v>
      </c>
      <c r="D31" s="1">
        <v>1.8173454233184481</v>
      </c>
      <c r="E31" s="1">
        <v>1.793999497353163</v>
      </c>
      <c r="F31" s="1">
        <v>1.695188320253473</v>
      </c>
      <c r="G31" s="1">
        <v>1.5592933038924151</v>
      </c>
      <c r="H31" s="1">
        <v>1.577922610356054</v>
      </c>
      <c r="I31" s="1">
        <v>1.6051990384660699</v>
      </c>
      <c r="J31" s="1">
        <v>1.5639408501663079</v>
      </c>
      <c r="K31" s="1">
        <v>1.5289119156413029</v>
      </c>
      <c r="L31" s="1">
        <v>1.546328073967324</v>
      </c>
      <c r="M31" s="1">
        <v>1.4756171482729099</v>
      </c>
      <c r="N31" s="1">
        <v>1.487526770090265</v>
      </c>
      <c r="O31" s="1">
        <v>1.5053179899554829</v>
      </c>
      <c r="P31" s="1">
        <v>1.441417272472207</v>
      </c>
      <c r="Q31" s="1">
        <v>1.435803312755169</v>
      </c>
      <c r="R31" s="1">
        <v>1.53398176943163</v>
      </c>
      <c r="S31" s="1">
        <v>1.497075154378247</v>
      </c>
      <c r="T31" s="1">
        <v>1.4595070268158199</v>
      </c>
      <c r="U31" s="1">
        <v>1.4674439599745139</v>
      </c>
      <c r="V31" s="1">
        <v>1.487778227500459</v>
      </c>
      <c r="W31" s="1">
        <v>1.4317890153220529</v>
      </c>
      <c r="X31" s="1">
        <v>1.437322033995152</v>
      </c>
      <c r="Y31" s="1">
        <v>1.421088674668439</v>
      </c>
      <c r="Z31" s="1">
        <v>1.483198486549504</v>
      </c>
      <c r="AA31" s="1">
        <v>1.469393902897371</v>
      </c>
      <c r="AB31" s="1">
        <v>1.496429986058454</v>
      </c>
    </row>
    <row r="32" spans="1:28" x14ac:dyDescent="0.35">
      <c r="A32" s="1" t="s">
        <v>36</v>
      </c>
      <c r="B32" s="1">
        <v>0.24964306221138391</v>
      </c>
      <c r="C32" s="1">
        <v>0.25470701852338018</v>
      </c>
      <c r="D32" s="1">
        <v>0.25625929851432577</v>
      </c>
      <c r="E32" s="1">
        <v>0.25542950225248678</v>
      </c>
      <c r="F32" s="1">
        <v>0.25639572796737031</v>
      </c>
      <c r="G32" s="1">
        <v>0.25365217946112301</v>
      </c>
      <c r="H32" s="1">
        <v>0.25399823061446408</v>
      </c>
      <c r="I32" s="1">
        <v>0.25220775318715399</v>
      </c>
      <c r="J32" s="1">
        <v>0.25454749562461171</v>
      </c>
      <c r="K32" s="1">
        <v>0.25118147663577189</v>
      </c>
      <c r="L32" s="1">
        <v>0.2543368926706337</v>
      </c>
      <c r="M32" s="1">
        <v>0.2504330095814129</v>
      </c>
      <c r="N32" s="1">
        <v>0.25869812169736311</v>
      </c>
      <c r="O32" s="1">
        <v>0.26115396422370302</v>
      </c>
      <c r="P32" s="1">
        <v>0.25410315689987623</v>
      </c>
      <c r="Q32" s="1">
        <v>0.25086714927855291</v>
      </c>
      <c r="R32" s="1">
        <v>0.25404149397632381</v>
      </c>
      <c r="S32" s="1">
        <v>0.24796983663535929</v>
      </c>
      <c r="T32" s="1">
        <v>0.24763920242885629</v>
      </c>
      <c r="U32" s="1">
        <v>0.2494903477078213</v>
      </c>
      <c r="V32" s="1">
        <v>0.25002674155839372</v>
      </c>
      <c r="W32" s="1">
        <v>0.2455453436758793</v>
      </c>
      <c r="X32" s="1">
        <v>0.24639470310942649</v>
      </c>
      <c r="Y32" s="1">
        <v>0.24339368408589129</v>
      </c>
      <c r="Z32" s="1">
        <v>0.23975734330710119</v>
      </c>
      <c r="AA32" s="1">
        <v>0.2366613063434963</v>
      </c>
      <c r="AB32" s="1">
        <v>0.2349246684260495</v>
      </c>
    </row>
    <row r="34" spans="1:28" x14ac:dyDescent="0.35">
      <c r="A34" s="1" t="s">
        <v>39</v>
      </c>
      <c r="B34" s="1" t="s">
        <v>1</v>
      </c>
      <c r="C34" s="1" t="s">
        <v>2</v>
      </c>
      <c r="D34" s="1" t="s">
        <v>3</v>
      </c>
      <c r="E34" s="1" t="s">
        <v>4</v>
      </c>
      <c r="F34" s="1" t="s">
        <v>5</v>
      </c>
      <c r="G34" s="1" t="s">
        <v>6</v>
      </c>
      <c r="H34" s="1" t="s">
        <v>7</v>
      </c>
      <c r="I34" s="1" t="s">
        <v>8</v>
      </c>
      <c r="J34" s="1" t="s">
        <v>9</v>
      </c>
      <c r="K34" s="1" t="s">
        <v>10</v>
      </c>
      <c r="L34" s="1" t="s">
        <v>11</v>
      </c>
      <c r="M34" s="1" t="s">
        <v>12</v>
      </c>
      <c r="N34" s="1" t="s">
        <v>13</v>
      </c>
      <c r="O34" s="1" t="s">
        <v>14</v>
      </c>
      <c r="P34" s="1" t="s">
        <v>15</v>
      </c>
      <c r="Q34" s="1" t="s">
        <v>16</v>
      </c>
      <c r="R34" s="1" t="s">
        <v>17</v>
      </c>
      <c r="S34" s="1" t="s">
        <v>18</v>
      </c>
      <c r="T34" s="1" t="s">
        <v>19</v>
      </c>
      <c r="U34" s="1" t="s">
        <v>20</v>
      </c>
      <c r="V34" s="1" t="s">
        <v>21</v>
      </c>
      <c r="W34" s="1" t="s">
        <v>22</v>
      </c>
      <c r="X34" s="1" t="s">
        <v>23</v>
      </c>
      <c r="Y34" s="1" t="s">
        <v>24</v>
      </c>
      <c r="Z34" s="1" t="s">
        <v>25</v>
      </c>
      <c r="AA34" s="1" t="s">
        <v>26</v>
      </c>
      <c r="AB34" s="1" t="s">
        <v>27</v>
      </c>
    </row>
    <row r="35" spans="1:28" x14ac:dyDescent="0.35">
      <c r="A35" s="1" t="s">
        <v>28</v>
      </c>
      <c r="B35" s="1">
        <v>131.93220934195591</v>
      </c>
      <c r="C35" s="1">
        <v>135.6651454248871</v>
      </c>
      <c r="D35" s="1">
        <v>137.77440959079931</v>
      </c>
      <c r="E35" s="1">
        <v>140.3148155816894</v>
      </c>
      <c r="F35" s="1">
        <v>136.74657379357421</v>
      </c>
      <c r="G35" s="1">
        <v>136.0120971139637</v>
      </c>
      <c r="H35" s="1">
        <v>135.61507416479881</v>
      </c>
      <c r="I35" s="1">
        <v>134.55233977781279</v>
      </c>
      <c r="J35" s="1">
        <v>133.82649272373871</v>
      </c>
      <c r="K35" s="1">
        <v>135.7542622523689</v>
      </c>
      <c r="L35" s="1">
        <v>136.83145607664599</v>
      </c>
      <c r="M35" s="1">
        <v>138.5584785780058</v>
      </c>
      <c r="N35" s="1">
        <v>140.88245124915099</v>
      </c>
      <c r="O35" s="1">
        <v>138.8885094056663</v>
      </c>
      <c r="P35" s="1">
        <v>137.92337249578631</v>
      </c>
      <c r="Q35" s="1">
        <v>139.62455276374411</v>
      </c>
      <c r="R35" s="1">
        <v>138.47757940377039</v>
      </c>
      <c r="S35" s="1">
        <v>138.28305148748419</v>
      </c>
      <c r="T35" s="1">
        <v>140.33496139523359</v>
      </c>
      <c r="U35" s="1">
        <v>138.37431564958931</v>
      </c>
      <c r="V35" s="1">
        <v>136.66569058637739</v>
      </c>
      <c r="W35" s="1">
        <v>138.2870900315385</v>
      </c>
      <c r="X35" s="1">
        <v>138.04613194623491</v>
      </c>
      <c r="Y35" s="1">
        <v>138.8209903887105</v>
      </c>
      <c r="Z35" s="1">
        <v>140.97004720935229</v>
      </c>
      <c r="AA35" s="1">
        <v>141.8201970181436</v>
      </c>
      <c r="AB35" s="1">
        <v>142.46101976084799</v>
      </c>
    </row>
    <row r="36" spans="1:28" x14ac:dyDescent="0.35">
      <c r="A36" s="1" t="s">
        <v>29</v>
      </c>
      <c r="B36" s="1">
        <v>-1.788010356573289</v>
      </c>
      <c r="C36" s="1">
        <v>-1.2454602644626971</v>
      </c>
      <c r="D36" s="1">
        <v>-0.65636004228790779</v>
      </c>
      <c r="E36" s="1">
        <v>0.50239835390923238</v>
      </c>
      <c r="F36" s="1">
        <v>1.5780446688008329</v>
      </c>
      <c r="G36" s="1">
        <v>-0.23144986547088889</v>
      </c>
      <c r="H36" s="1">
        <v>-0.44795963658492149</v>
      </c>
      <c r="I36" s="1">
        <v>0.48434309973086592</v>
      </c>
      <c r="J36" s="1">
        <v>3.1496193240004508E-2</v>
      </c>
      <c r="K36" s="1">
        <v>0.50429951864224243</v>
      </c>
      <c r="L36" s="1">
        <v>0.76418784545208307</v>
      </c>
      <c r="M36" s="1">
        <v>0.9605015916395393</v>
      </c>
      <c r="N36" s="1">
        <v>1.201550764344572</v>
      </c>
      <c r="O36" s="1">
        <v>0.8080451066820753</v>
      </c>
      <c r="P36" s="1">
        <v>1.415004029708971</v>
      </c>
      <c r="Q36" s="1">
        <v>1.446714155559421</v>
      </c>
      <c r="R36" s="1">
        <v>1.26588798294478</v>
      </c>
      <c r="S36" s="1">
        <v>2.0580911961712798</v>
      </c>
      <c r="T36" s="1">
        <v>2.3548585977103289</v>
      </c>
      <c r="U36" s="1">
        <v>2.314035359852733</v>
      </c>
      <c r="V36" s="1">
        <v>1.9783643651936169</v>
      </c>
      <c r="W36" s="1">
        <v>1.9403226427696501</v>
      </c>
      <c r="X36" s="1">
        <v>2.3960326378388661</v>
      </c>
      <c r="Y36" s="1">
        <v>1.4146508129672839</v>
      </c>
      <c r="Z36" s="1">
        <v>1.5814886802092569</v>
      </c>
      <c r="AA36" s="1">
        <v>1.607786947161117</v>
      </c>
      <c r="AB36" s="1">
        <v>1.601717537222179</v>
      </c>
    </row>
    <row r="37" spans="1:28" x14ac:dyDescent="0.35">
      <c r="A37" s="1" t="s">
        <v>30</v>
      </c>
      <c r="B37" s="1">
        <v>10.414515611919249</v>
      </c>
      <c r="C37" s="1">
        <v>8.9000747809582954</v>
      </c>
      <c r="D37" s="1">
        <v>8.200510418544626</v>
      </c>
      <c r="E37" s="1">
        <v>7.270917239749533</v>
      </c>
      <c r="F37" s="1">
        <v>8.7856226060033329</v>
      </c>
      <c r="G37" s="1">
        <v>8.9807597286327656</v>
      </c>
      <c r="H37" s="1">
        <v>9.1208269752628937</v>
      </c>
      <c r="I37" s="1">
        <v>9.5233680775508471</v>
      </c>
      <c r="J37" s="1">
        <v>9.6548562627388144</v>
      </c>
      <c r="K37" s="1">
        <v>8.6230597510413958</v>
      </c>
      <c r="L37" s="1">
        <v>8.3079890738280806</v>
      </c>
      <c r="M37" s="1">
        <v>7.7580902346221228</v>
      </c>
      <c r="N37" s="1">
        <v>6.8992085363890361</v>
      </c>
      <c r="O37" s="1">
        <v>7.65213241099279</v>
      </c>
      <c r="P37" s="1">
        <v>8.1147180835318977</v>
      </c>
      <c r="Q37" s="1">
        <v>7.5743056333393488</v>
      </c>
      <c r="R37" s="1">
        <v>7.9010365977217774</v>
      </c>
      <c r="S37" s="1">
        <v>8.0140203382053574</v>
      </c>
      <c r="T37" s="1">
        <v>7.2101534493697166</v>
      </c>
      <c r="U37" s="1">
        <v>8.4329259439269304</v>
      </c>
      <c r="V37" s="1">
        <v>9.2427120010475221</v>
      </c>
      <c r="W37" s="1">
        <v>8.395668672884625</v>
      </c>
      <c r="X37" s="1">
        <v>8.6467036551516028</v>
      </c>
      <c r="Y37" s="1">
        <v>8.3939269327208201</v>
      </c>
      <c r="Z37" s="1">
        <v>7.1527534777750823</v>
      </c>
      <c r="AA37" s="1">
        <v>6.6764149667012189</v>
      </c>
      <c r="AB37" s="1">
        <v>6.1940566922149474</v>
      </c>
    </row>
    <row r="38" spans="1:28" x14ac:dyDescent="0.35">
      <c r="A38" s="1" t="s">
        <v>31</v>
      </c>
      <c r="B38" s="1">
        <v>0.46054392665480193</v>
      </c>
      <c r="C38" s="1">
        <v>1.298943541568278</v>
      </c>
      <c r="D38" s="1">
        <v>3.8448633716640508</v>
      </c>
      <c r="E38" s="1">
        <v>3.063826768132397</v>
      </c>
      <c r="F38" s="1">
        <v>1.960852825300053</v>
      </c>
      <c r="G38" s="1">
        <v>3.6781654036184879</v>
      </c>
      <c r="H38" s="1">
        <v>2.8396049149462468</v>
      </c>
      <c r="I38" s="1">
        <v>1.885912807077881</v>
      </c>
      <c r="J38" s="1">
        <v>1.656506503788127</v>
      </c>
      <c r="K38" s="1">
        <v>1.6210179829518321</v>
      </c>
      <c r="L38" s="1">
        <v>2.17189955780105</v>
      </c>
      <c r="M38" s="1">
        <v>1.9433678154504741</v>
      </c>
      <c r="N38" s="1">
        <v>2.6479690984711941</v>
      </c>
      <c r="O38" s="1">
        <v>2.2024136419235729</v>
      </c>
      <c r="P38" s="1">
        <v>2.971729818777022</v>
      </c>
      <c r="Q38" s="1">
        <v>2.5673455187564049</v>
      </c>
      <c r="R38" s="1">
        <v>1.0471560180239941</v>
      </c>
      <c r="S38" s="1">
        <v>1.296302428219966</v>
      </c>
      <c r="T38" s="1">
        <v>1.695314805176819</v>
      </c>
      <c r="U38" s="1">
        <v>1.801885430298042</v>
      </c>
      <c r="V38" s="1">
        <v>1.1630623133955069</v>
      </c>
      <c r="W38" s="1">
        <v>0.53881907128975115</v>
      </c>
      <c r="X38" s="1">
        <v>0.56212516114325628</v>
      </c>
      <c r="Y38" s="1">
        <v>0.61643005125895045</v>
      </c>
      <c r="Z38" s="1">
        <v>-0.33315313556637388</v>
      </c>
      <c r="AA38" s="1">
        <v>-0.56920703013799567</v>
      </c>
      <c r="AB38" s="1">
        <v>-1.070985375647826</v>
      </c>
    </row>
    <row r="39" spans="1:28" x14ac:dyDescent="0.35">
      <c r="A39" s="1" t="s">
        <v>32</v>
      </c>
      <c r="B39" s="1">
        <v>0.60127851028777379</v>
      </c>
      <c r="C39" s="1">
        <v>-7.1270365713161921E-2</v>
      </c>
      <c r="D39" s="1">
        <v>-0.34946775541090158</v>
      </c>
      <c r="E39" s="1">
        <v>0.46139047842347058</v>
      </c>
      <c r="F39" s="1">
        <v>2.1660427781038379E-2</v>
      </c>
      <c r="G39" s="1">
        <v>0.13293891499514179</v>
      </c>
      <c r="H39" s="1">
        <v>0.30721468962535892</v>
      </c>
      <c r="I39" s="1">
        <v>0.2140786528583222</v>
      </c>
      <c r="J39" s="1">
        <v>-0.74669199525112695</v>
      </c>
      <c r="K39" s="1">
        <v>-0.51652952757231196</v>
      </c>
      <c r="L39" s="1">
        <v>-0.23403407771582341</v>
      </c>
      <c r="M39" s="1">
        <v>-0.1020694314755824</v>
      </c>
      <c r="N39" s="1">
        <v>-0.45925058871205338</v>
      </c>
      <c r="O39" s="1">
        <v>-0.47615512333844312</v>
      </c>
      <c r="P39" s="1">
        <v>0.1942357917985624</v>
      </c>
      <c r="Q39" s="1">
        <v>0.1970016908505012</v>
      </c>
      <c r="R39" s="1">
        <v>-2.6863488126922241E-2</v>
      </c>
      <c r="S39" s="1">
        <v>0.17202643948983129</v>
      </c>
      <c r="T39" s="1">
        <v>0.12963300441067691</v>
      </c>
      <c r="U39" s="1">
        <v>-0.25244110071816073</v>
      </c>
      <c r="V39" s="1">
        <v>-0.44396875561578591</v>
      </c>
      <c r="W39" s="1">
        <v>-0.51262696881437109</v>
      </c>
      <c r="X39" s="1">
        <v>-0.5155161313654294</v>
      </c>
      <c r="Y39" s="1">
        <v>-0.48676851932872101</v>
      </c>
      <c r="Z39" s="1">
        <v>-0.42217761974293472</v>
      </c>
      <c r="AA39" s="1">
        <v>-0.30616854321628528</v>
      </c>
      <c r="AB39" s="1">
        <v>-0.4178894577982506</v>
      </c>
    </row>
    <row r="40" spans="1:28" x14ac:dyDescent="0.35">
      <c r="A40" s="1" t="s">
        <v>33</v>
      </c>
      <c r="B40" s="1">
        <v>141.62053703424439</v>
      </c>
      <c r="C40" s="1">
        <v>144.5474331172378</v>
      </c>
      <c r="D40" s="1">
        <v>148.81395558330911</v>
      </c>
      <c r="E40" s="1">
        <v>151.61334842190411</v>
      </c>
      <c r="F40" s="1">
        <v>149.09275432145941</v>
      </c>
      <c r="G40" s="1">
        <v>148.57251129573919</v>
      </c>
      <c r="H40" s="1">
        <v>147.43476110804829</v>
      </c>
      <c r="I40" s="1">
        <v>146.6600424150308</v>
      </c>
      <c r="J40" s="1">
        <v>144.4226596882545</v>
      </c>
      <c r="K40" s="1">
        <v>145.98610997743211</v>
      </c>
      <c r="L40" s="1">
        <v>147.8414984760114</v>
      </c>
      <c r="M40" s="1">
        <v>149.11836878824241</v>
      </c>
      <c r="N40" s="1">
        <v>151.17192905964379</v>
      </c>
      <c r="O40" s="1">
        <v>149.0749454419263</v>
      </c>
      <c r="P40" s="1">
        <v>150.6190602196028</v>
      </c>
      <c r="Q40" s="1">
        <v>151.40991976224981</v>
      </c>
      <c r="R40" s="1">
        <v>148.66479651433411</v>
      </c>
      <c r="S40" s="1">
        <v>149.82349188957059</v>
      </c>
      <c r="T40" s="1">
        <v>151.72492125190121</v>
      </c>
      <c r="U40" s="1">
        <v>150.67072128294879</v>
      </c>
      <c r="V40" s="1">
        <v>148.6058605103982</v>
      </c>
      <c r="W40" s="1">
        <v>148.6492734496681</v>
      </c>
      <c r="X40" s="1">
        <v>149.13547726900319</v>
      </c>
      <c r="Y40" s="1">
        <v>148.75922966632891</v>
      </c>
      <c r="Z40" s="1">
        <v>148.94895861202741</v>
      </c>
      <c r="AA40" s="1">
        <v>149.22902335865169</v>
      </c>
      <c r="AB40" s="1">
        <v>148.7679191568391</v>
      </c>
    </row>
    <row r="41" spans="1:28" x14ac:dyDescent="0.35">
      <c r="A41" s="1" t="s">
        <v>34</v>
      </c>
      <c r="B41" s="1">
        <v>29127473.440000001</v>
      </c>
      <c r="C41" s="1">
        <v>20131204.289999999</v>
      </c>
      <c r="D41" s="1">
        <v>18494423.300000001</v>
      </c>
      <c r="E41" s="1">
        <v>8891613.879999999</v>
      </c>
      <c r="F41" s="1">
        <v>14967857.869999999</v>
      </c>
      <c r="G41" s="1">
        <v>30342972.129999999</v>
      </c>
      <c r="H41" s="1">
        <v>25425009.550000001</v>
      </c>
      <c r="I41" s="1">
        <v>18435739.920000002</v>
      </c>
      <c r="J41" s="1">
        <v>18832312.59</v>
      </c>
      <c r="K41" s="1">
        <v>17228143.23</v>
      </c>
      <c r="L41" s="1">
        <v>15406067.199999999</v>
      </c>
      <c r="M41" s="1">
        <v>9050792.0899999999</v>
      </c>
      <c r="N41" s="1">
        <v>6104945.5</v>
      </c>
      <c r="O41" s="1">
        <v>8837185.2600000016</v>
      </c>
      <c r="P41" s="1">
        <v>14396259.33</v>
      </c>
      <c r="Q41" s="1">
        <v>14075324.789999999</v>
      </c>
      <c r="R41" s="1">
        <v>26893214.539999999</v>
      </c>
      <c r="S41" s="1">
        <v>34891136.170000002</v>
      </c>
      <c r="T41" s="1">
        <v>21568595.510000002</v>
      </c>
      <c r="U41" s="1">
        <v>21059062.440000001</v>
      </c>
      <c r="V41" s="1">
        <v>43440603.299999997</v>
      </c>
      <c r="W41" s="1">
        <v>39963234.909999996</v>
      </c>
      <c r="X41" s="1">
        <v>42633922.899999999</v>
      </c>
      <c r="Y41" s="1">
        <v>42979688.650000013</v>
      </c>
      <c r="Z41" s="1">
        <v>60661656.649999991</v>
      </c>
      <c r="AA41" s="1">
        <v>52913754.030000001</v>
      </c>
      <c r="AB41" s="1">
        <v>5067729.7100000009</v>
      </c>
    </row>
    <row r="42" spans="1:28" x14ac:dyDescent="0.35">
      <c r="A42" s="1" t="s">
        <v>35</v>
      </c>
      <c r="B42" s="1">
        <v>1.4229091807850121</v>
      </c>
      <c r="C42" s="1">
        <v>1.373591556378337</v>
      </c>
      <c r="D42" s="1">
        <v>1.2238315663727031</v>
      </c>
      <c r="E42" s="1">
        <v>1.2697748959922119</v>
      </c>
      <c r="F42" s="1">
        <v>1.3346557161588199</v>
      </c>
      <c r="G42" s="1">
        <v>1.233637329198912</v>
      </c>
      <c r="H42" s="1">
        <v>1.282964416767868</v>
      </c>
      <c r="I42" s="1">
        <v>1.33906395252483</v>
      </c>
      <c r="J42" s="1">
        <v>1.35255844095364</v>
      </c>
      <c r="K42" s="1">
        <v>1.3546460010028329</v>
      </c>
      <c r="L42" s="1">
        <v>1.3222412024822909</v>
      </c>
      <c r="M42" s="1">
        <v>1.3356842461499721</v>
      </c>
      <c r="N42" s="1">
        <v>1.2942371118546361</v>
      </c>
      <c r="O42" s="1">
        <v>1.3204462563574371</v>
      </c>
      <c r="P42" s="1">
        <v>1.275192363601352</v>
      </c>
      <c r="Q42" s="1">
        <v>1.29897967536727</v>
      </c>
      <c r="R42" s="1">
        <v>1.3884025871750589</v>
      </c>
      <c r="S42" s="1">
        <v>1.373746915987061</v>
      </c>
      <c r="T42" s="1">
        <v>1.3502755996954809</v>
      </c>
      <c r="U42" s="1">
        <v>1.344006739394233</v>
      </c>
      <c r="V42" s="1">
        <v>1.381584569800264</v>
      </c>
      <c r="W42" s="1">
        <v>1.418304760512368</v>
      </c>
      <c r="X42" s="1">
        <v>1.4169338140503971</v>
      </c>
      <c r="Y42" s="1">
        <v>1.413739408749473</v>
      </c>
      <c r="Z42" s="1">
        <v>1.46959724326861</v>
      </c>
      <c r="AA42" s="1">
        <v>1.483482766478706</v>
      </c>
      <c r="AB42" s="1">
        <v>1.5129991397439899</v>
      </c>
    </row>
    <row r="43" spans="1:28" x14ac:dyDescent="0.35">
      <c r="A43" s="1" t="s">
        <v>36</v>
      </c>
      <c r="B43" s="1">
        <v>0.2264103069958889</v>
      </c>
      <c r="C43" s="1">
        <v>0.23601814808161661</v>
      </c>
      <c r="D43" s="1">
        <v>0.23999239650587001</v>
      </c>
      <c r="E43" s="1">
        <v>0.22840870745109329</v>
      </c>
      <c r="F43" s="1">
        <v>0.2346905653174137</v>
      </c>
      <c r="G43" s="1">
        <v>0.2331008726429265</v>
      </c>
      <c r="H43" s="1">
        <v>0.23061121871963769</v>
      </c>
      <c r="I43" s="1">
        <v>0.23194173353059541</v>
      </c>
      <c r="J43" s="1">
        <v>0.24566702850358749</v>
      </c>
      <c r="K43" s="1">
        <v>0.24237899325103299</v>
      </c>
      <c r="L43" s="1">
        <v>0.23834334396736889</v>
      </c>
      <c r="M43" s="1">
        <v>0.23645813473536539</v>
      </c>
      <c r="N43" s="1">
        <v>0.24156072269588649</v>
      </c>
      <c r="O43" s="1">
        <v>0.241802216047692</v>
      </c>
      <c r="P43" s="1">
        <v>0.23222520297430621</v>
      </c>
      <c r="Q43" s="1">
        <v>0.23218569013070711</v>
      </c>
      <c r="R43" s="1">
        <v>0.2353837641160989</v>
      </c>
      <c r="S43" s="1">
        <v>0.23254247943585951</v>
      </c>
      <c r="T43" s="1">
        <v>0.23314809993699029</v>
      </c>
      <c r="U43" s="1">
        <v>0.23860630143883091</v>
      </c>
      <c r="V43" s="1">
        <v>0.24134241079451119</v>
      </c>
      <c r="W43" s="1">
        <v>0.24232324241163389</v>
      </c>
      <c r="X43" s="1">
        <v>0.24236451616236329</v>
      </c>
      <c r="Y43" s="1">
        <v>0.24195383599041029</v>
      </c>
      <c r="Z43" s="1">
        <v>0.24103110885347051</v>
      </c>
      <c r="AA43" s="1">
        <v>0.23937383633166121</v>
      </c>
      <c r="AB43" s="1">
        <v>0.24096984939711791</v>
      </c>
    </row>
    <row r="45" spans="1:28" x14ac:dyDescent="0.35">
      <c r="A45" s="1" t="s">
        <v>40</v>
      </c>
      <c r="B45" s="1" t="s">
        <v>1</v>
      </c>
      <c r="C45" s="1" t="s">
        <v>2</v>
      </c>
      <c r="D45" s="1" t="s">
        <v>3</v>
      </c>
      <c r="E45" s="1" t="s">
        <v>4</v>
      </c>
      <c r="F45" s="1" t="s">
        <v>5</v>
      </c>
      <c r="G45" s="1" t="s">
        <v>6</v>
      </c>
      <c r="H45" s="1" t="s">
        <v>7</v>
      </c>
      <c r="I45" s="1" t="s">
        <v>8</v>
      </c>
      <c r="J45" s="1" t="s">
        <v>9</v>
      </c>
      <c r="K45" s="1" t="s">
        <v>10</v>
      </c>
      <c r="L45" s="1" t="s">
        <v>11</v>
      </c>
      <c r="M45" s="1" t="s">
        <v>12</v>
      </c>
      <c r="N45" s="1" t="s">
        <v>13</v>
      </c>
      <c r="O45" s="1" t="s">
        <v>14</v>
      </c>
      <c r="P45" s="1" t="s">
        <v>15</v>
      </c>
      <c r="Q45" s="1" t="s">
        <v>16</v>
      </c>
      <c r="R45" s="1" t="s">
        <v>17</v>
      </c>
      <c r="S45" s="1" t="s">
        <v>18</v>
      </c>
      <c r="T45" s="1" t="s">
        <v>19</v>
      </c>
      <c r="U45" s="1" t="s">
        <v>20</v>
      </c>
      <c r="V45" s="1" t="s">
        <v>21</v>
      </c>
      <c r="W45" s="1" t="s">
        <v>22</v>
      </c>
      <c r="X45" s="1" t="s">
        <v>23</v>
      </c>
      <c r="Y45" s="1" t="s">
        <v>24</v>
      </c>
      <c r="Z45" s="1" t="s">
        <v>25</v>
      </c>
      <c r="AA45" s="1" t="s">
        <v>26</v>
      </c>
      <c r="AB45" s="1" t="s">
        <v>27</v>
      </c>
    </row>
    <row r="46" spans="1:28" x14ac:dyDescent="0.35">
      <c r="A46" s="1" t="s">
        <v>28</v>
      </c>
      <c r="B46" s="1">
        <v>132.4052406085342</v>
      </c>
      <c r="C46" s="1">
        <v>133.2043204352899</v>
      </c>
      <c r="D46" s="1">
        <v>136.3321953766237</v>
      </c>
      <c r="E46" s="1">
        <v>135.35901515591621</v>
      </c>
      <c r="F46" s="1">
        <v>133.85737584675849</v>
      </c>
      <c r="G46" s="1">
        <v>131.8711109882932</v>
      </c>
      <c r="H46" s="1">
        <v>131.13601025157351</v>
      </c>
      <c r="I46" s="1">
        <v>129.49575375995741</v>
      </c>
      <c r="J46" s="1">
        <v>129.33986697515539</v>
      </c>
      <c r="K46" s="1">
        <v>131.44923485313231</v>
      </c>
      <c r="L46" s="1">
        <v>131.7012569159462</v>
      </c>
      <c r="M46" s="1">
        <v>131.26736776136539</v>
      </c>
      <c r="N46" s="1">
        <v>132.73238468866589</v>
      </c>
      <c r="O46" s="1">
        <v>133.43761150790689</v>
      </c>
      <c r="P46" s="1">
        <v>133.77076990491361</v>
      </c>
      <c r="Q46" s="1">
        <v>135.32305386348179</v>
      </c>
      <c r="R46" s="1">
        <v>136.16598007794221</v>
      </c>
      <c r="S46" s="1">
        <v>136.819962750126</v>
      </c>
      <c r="T46" s="1">
        <v>136.68873727956989</v>
      </c>
      <c r="U46" s="1">
        <v>134.94827752867641</v>
      </c>
      <c r="V46" s="1">
        <v>134.5540665758642</v>
      </c>
      <c r="W46" s="1">
        <v>136.3948412134425</v>
      </c>
      <c r="X46" s="1">
        <v>136.99098557816819</v>
      </c>
      <c r="Y46" s="1">
        <v>137.18006005902231</v>
      </c>
      <c r="Z46" s="1">
        <v>139.83113803582509</v>
      </c>
      <c r="AA46" s="1">
        <v>141.88836123600581</v>
      </c>
      <c r="AB46" s="1">
        <v>144.5921927317147</v>
      </c>
    </row>
    <row r="47" spans="1:28" x14ac:dyDescent="0.35">
      <c r="A47" s="1" t="s">
        <v>29</v>
      </c>
      <c r="B47" s="1">
        <v>0.55564318956261782</v>
      </c>
      <c r="C47" s="1">
        <v>0.61817640371526494</v>
      </c>
      <c r="D47" s="1">
        <v>0.2872589967611095</v>
      </c>
      <c r="E47" s="1">
        <v>-0.82083600158329917</v>
      </c>
      <c r="F47" s="1">
        <v>-0.37542180254336688</v>
      </c>
      <c r="G47" s="1">
        <v>-0.62553224032613541</v>
      </c>
      <c r="H47" s="1">
        <v>-1.2225692323204891</v>
      </c>
      <c r="I47" s="1">
        <v>-1.443864750300631</v>
      </c>
      <c r="J47" s="1">
        <v>-1.1323661355176999</v>
      </c>
      <c r="K47" s="1">
        <v>-1.0330488110153799</v>
      </c>
      <c r="L47" s="1">
        <v>-1.7619457346954419</v>
      </c>
      <c r="M47" s="1">
        <v>-1.623063432692091</v>
      </c>
      <c r="N47" s="1">
        <v>-1.889371412630718</v>
      </c>
      <c r="O47" s="1">
        <v>-1.1410844939256191</v>
      </c>
      <c r="P47" s="1">
        <v>-0.79219969729147632</v>
      </c>
      <c r="Q47" s="1">
        <v>0.31270642296022699</v>
      </c>
      <c r="R47" s="1">
        <v>-0.62427702541161634</v>
      </c>
      <c r="S47" s="1">
        <v>-0.38261555166501698</v>
      </c>
      <c r="T47" s="1">
        <v>-0.56493809435361164</v>
      </c>
      <c r="U47" s="1">
        <v>-0.4108528019550815</v>
      </c>
      <c r="V47" s="1">
        <v>-1.061905708182652</v>
      </c>
      <c r="W47" s="1">
        <v>0.13939478654599191</v>
      </c>
      <c r="X47" s="1">
        <v>6.0623248060934228E-2</v>
      </c>
      <c r="Y47" s="1">
        <v>0.85703528432182008</v>
      </c>
      <c r="Z47" s="1">
        <v>0.74398478558463577</v>
      </c>
      <c r="AA47" s="1">
        <v>0.33359238790818829</v>
      </c>
      <c r="AB47" s="1">
        <v>0.32271239116060491</v>
      </c>
    </row>
    <row r="48" spans="1:28" x14ac:dyDescent="0.35">
      <c r="A48" s="1" t="s">
        <v>30</v>
      </c>
      <c r="B48" s="1">
        <v>10.311532578396511</v>
      </c>
      <c r="C48" s="1">
        <v>10.08592713351751</v>
      </c>
      <c r="D48" s="1">
        <v>8.925973479727503</v>
      </c>
      <c r="E48" s="1">
        <v>9.2613706278153032</v>
      </c>
      <c r="F48" s="1">
        <v>9.8774709313201221</v>
      </c>
      <c r="G48" s="1">
        <v>10.820787629830869</v>
      </c>
      <c r="H48" s="1">
        <v>10.93131326706899</v>
      </c>
      <c r="I48" s="1">
        <v>11.59044474160665</v>
      </c>
      <c r="J48" s="1">
        <v>11.344155903852339</v>
      </c>
      <c r="K48" s="1">
        <v>10.41870488496701</v>
      </c>
      <c r="L48" s="1">
        <v>10.07439391570429</v>
      </c>
      <c r="M48" s="1">
        <v>10.171180666332139</v>
      </c>
      <c r="N48" s="1">
        <v>9.711678410519891</v>
      </c>
      <c r="O48" s="1">
        <v>9.6111620063794678</v>
      </c>
      <c r="P48" s="1">
        <v>9.5424902633354005</v>
      </c>
      <c r="Q48" s="1">
        <v>9.1284134436151074</v>
      </c>
      <c r="R48" s="1">
        <v>8.6403988670726157</v>
      </c>
      <c r="S48" s="1">
        <v>8.5106699751177093</v>
      </c>
      <c r="T48" s="1">
        <v>8.8021272772833594</v>
      </c>
      <c r="U48" s="1">
        <v>10.186918722363011</v>
      </c>
      <c r="V48" s="1">
        <v>10.702999206859831</v>
      </c>
      <c r="W48" s="1">
        <v>9.6469956611716423</v>
      </c>
      <c r="X48" s="1">
        <v>9.4259138967185923</v>
      </c>
      <c r="Y48" s="1">
        <v>9.5307710025288443</v>
      </c>
      <c r="Z48" s="1">
        <v>8.158524950958963</v>
      </c>
      <c r="AA48" s="1">
        <v>6.9810277031484977</v>
      </c>
      <c r="AB48" s="1">
        <v>5.7142747915828336</v>
      </c>
    </row>
    <row r="49" spans="1:28" x14ac:dyDescent="0.35">
      <c r="A49" s="1" t="s">
        <v>31</v>
      </c>
      <c r="B49" s="1">
        <v>-0.36467926316040228</v>
      </c>
      <c r="C49" s="1">
        <v>4.1383354457267478E-2</v>
      </c>
      <c r="D49" s="1">
        <v>3.090205534918792</v>
      </c>
      <c r="E49" s="1">
        <v>1.380071863689343</v>
      </c>
      <c r="F49" s="1">
        <v>1.554295539699043</v>
      </c>
      <c r="G49" s="1">
        <v>3.1835923834758222</v>
      </c>
      <c r="H49" s="1">
        <v>1.8816561166310359</v>
      </c>
      <c r="I49" s="1">
        <v>1.277553135856875</v>
      </c>
      <c r="J49" s="1">
        <v>0.96881918328499639</v>
      </c>
      <c r="K49" s="1">
        <v>1.769094457844324</v>
      </c>
      <c r="L49" s="1">
        <v>2.669329414791425</v>
      </c>
      <c r="M49" s="1">
        <v>1.745370659227456</v>
      </c>
      <c r="N49" s="1">
        <v>1.17477301293751</v>
      </c>
      <c r="O49" s="1">
        <v>2.0077973769864039</v>
      </c>
      <c r="P49" s="1">
        <v>3.283145553158787</v>
      </c>
      <c r="Q49" s="1">
        <v>2.4093536949895902</v>
      </c>
      <c r="R49" s="1">
        <v>2.2625078134231149</v>
      </c>
      <c r="S49" s="1">
        <v>2.5511996193724951</v>
      </c>
      <c r="T49" s="1">
        <v>2.3025611939146429</v>
      </c>
      <c r="U49" s="1">
        <v>1.7846172221430541</v>
      </c>
      <c r="V49" s="1">
        <v>2.0213539957853262</v>
      </c>
      <c r="W49" s="1">
        <v>2.509671195445569</v>
      </c>
      <c r="X49" s="1">
        <v>2.4210153202483919</v>
      </c>
      <c r="Y49" s="1">
        <v>2.2357033368974921</v>
      </c>
      <c r="Z49" s="1">
        <v>2.007363114291703</v>
      </c>
      <c r="AA49" s="1">
        <v>2.3415370637281341</v>
      </c>
      <c r="AB49" s="1">
        <v>1.890718188508324</v>
      </c>
    </row>
    <row r="50" spans="1:28" x14ac:dyDescent="0.35">
      <c r="A50" s="1" t="s">
        <v>32</v>
      </c>
      <c r="B50" s="1">
        <v>0.8802106817105414</v>
      </c>
      <c r="C50" s="1">
        <v>0.25910674048485288</v>
      </c>
      <c r="D50" s="1">
        <v>0.248008908372157</v>
      </c>
      <c r="E50" s="1">
        <v>5.692943620210416E-2</v>
      </c>
      <c r="F50" s="1">
        <v>0.1836224846209317</v>
      </c>
      <c r="G50" s="1">
        <v>0.36781685492261817</v>
      </c>
      <c r="H50" s="1">
        <v>0.34055522869791161</v>
      </c>
      <c r="I50" s="1">
        <v>0.40535533718769279</v>
      </c>
      <c r="J50" s="1">
        <v>6.0843924981560096E-3</v>
      </c>
      <c r="K50" s="1">
        <v>-7.8109541563278753E-3</v>
      </c>
      <c r="L50" s="1">
        <v>-9.4618967643039776E-4</v>
      </c>
      <c r="M50" s="1">
        <v>-0.81045923329894864</v>
      </c>
      <c r="N50" s="1">
        <v>-0.17904427246020119</v>
      </c>
      <c r="O50" s="1">
        <v>-0.1072871706241796</v>
      </c>
      <c r="P50" s="1">
        <v>5.401984924404718E-2</v>
      </c>
      <c r="Q50" s="1">
        <v>-5.7902092279238641E-2</v>
      </c>
      <c r="R50" s="1">
        <v>-0.23280358370521281</v>
      </c>
      <c r="S50" s="1">
        <v>-0.22142757087401729</v>
      </c>
      <c r="T50" s="1">
        <v>-0.17979683419140019</v>
      </c>
      <c r="U50" s="1">
        <v>-0.2243321673168438</v>
      </c>
      <c r="V50" s="1">
        <v>-0.23139796019750661</v>
      </c>
      <c r="W50" s="1">
        <v>-0.17979584042128041</v>
      </c>
      <c r="X50" s="1">
        <v>-0.1926803837567323</v>
      </c>
      <c r="Y50" s="1">
        <v>-0.1802049672130307</v>
      </c>
      <c r="Z50" s="1">
        <v>-0.15974909860728331</v>
      </c>
      <c r="AA50" s="1">
        <v>-9.49673609553639E-2</v>
      </c>
      <c r="AB50" s="1">
        <v>-0.29735342974993217</v>
      </c>
    </row>
    <row r="51" spans="1:28" x14ac:dyDescent="0.35">
      <c r="A51" s="1" t="s">
        <v>33</v>
      </c>
      <c r="B51" s="1">
        <v>143.78794779504341</v>
      </c>
      <c r="C51" s="1">
        <v>144.2089140674648</v>
      </c>
      <c r="D51" s="1">
        <v>148.88364229640331</v>
      </c>
      <c r="E51" s="1">
        <v>145.23655108203971</v>
      </c>
      <c r="F51" s="1">
        <v>145.09734299985519</v>
      </c>
      <c r="G51" s="1">
        <v>145.61777561619641</v>
      </c>
      <c r="H51" s="1">
        <v>143.06696563165099</v>
      </c>
      <c r="I51" s="1">
        <v>141.325242224308</v>
      </c>
      <c r="J51" s="1">
        <v>140.52656031927319</v>
      </c>
      <c r="K51" s="1">
        <v>142.5961744307719</v>
      </c>
      <c r="L51" s="1">
        <v>142.68208832207009</v>
      </c>
      <c r="M51" s="1">
        <v>140.75039642093401</v>
      </c>
      <c r="N51" s="1">
        <v>141.55042042703241</v>
      </c>
      <c r="O51" s="1">
        <v>143.80819922672299</v>
      </c>
      <c r="P51" s="1">
        <v>145.8582258733604</v>
      </c>
      <c r="Q51" s="1">
        <v>147.11562533276751</v>
      </c>
      <c r="R51" s="1">
        <v>146.21180614932109</v>
      </c>
      <c r="S51" s="1">
        <v>147.2777892220771</v>
      </c>
      <c r="T51" s="1">
        <v>147.04869082222291</v>
      </c>
      <c r="U51" s="1">
        <v>146.28462850391051</v>
      </c>
      <c r="V51" s="1">
        <v>145.98511611012921</v>
      </c>
      <c r="W51" s="1">
        <v>148.51110701618441</v>
      </c>
      <c r="X51" s="1">
        <v>148.70585765943929</v>
      </c>
      <c r="Y51" s="1">
        <v>149.62336471555739</v>
      </c>
      <c r="Z51" s="1">
        <v>150.5812617880531</v>
      </c>
      <c r="AA51" s="1">
        <v>151.44955102983531</v>
      </c>
      <c r="AB51" s="1">
        <v>152.2225446732165</v>
      </c>
    </row>
    <row r="52" spans="1:28" x14ac:dyDescent="0.35">
      <c r="A52" s="1" t="s">
        <v>34</v>
      </c>
      <c r="B52" s="1">
        <v>42673306.319999993</v>
      </c>
      <c r="C52" s="1">
        <v>47073268</v>
      </c>
      <c r="D52" s="1">
        <v>47420253.950000003</v>
      </c>
      <c r="E52" s="1">
        <v>49612219.359999999</v>
      </c>
      <c r="F52" s="1">
        <v>90426921.319999993</v>
      </c>
      <c r="G52" s="1">
        <v>127908722.43000001</v>
      </c>
      <c r="H52" s="1">
        <v>96645183.060000002</v>
      </c>
      <c r="I52" s="1">
        <v>73763850.950000003</v>
      </c>
      <c r="J52" s="1">
        <v>75867228.010000005</v>
      </c>
      <c r="K52" s="1">
        <v>68468540.319999993</v>
      </c>
      <c r="L52" s="1">
        <v>57281479.75</v>
      </c>
      <c r="M52" s="1">
        <v>64852881.439999998</v>
      </c>
      <c r="N52" s="1">
        <v>68476464.519999996</v>
      </c>
      <c r="O52" s="1">
        <v>60632628.18</v>
      </c>
      <c r="P52" s="1">
        <v>74281824.359999999</v>
      </c>
      <c r="Q52" s="1">
        <v>77701702.590000004</v>
      </c>
      <c r="R52" s="1">
        <v>115531278.88</v>
      </c>
      <c r="S52" s="1">
        <v>101846818.87</v>
      </c>
      <c r="T52" s="1">
        <v>81052484.879999995</v>
      </c>
      <c r="U52" s="1">
        <v>92084592.580000013</v>
      </c>
      <c r="V52" s="1">
        <v>151122573.03</v>
      </c>
      <c r="W52" s="1">
        <v>130190082.81</v>
      </c>
      <c r="X52" s="1">
        <v>108662439.09999999</v>
      </c>
      <c r="Y52" s="1">
        <v>91413081.209999993</v>
      </c>
      <c r="Z52" s="1">
        <v>95616348.159999996</v>
      </c>
      <c r="AA52" s="1">
        <v>60417987.469999999</v>
      </c>
      <c r="AB52" s="1">
        <v>5792230.3100000015</v>
      </c>
    </row>
    <row r="53" spans="1:28" x14ac:dyDescent="0.35">
      <c r="A53" s="1" t="s">
        <v>35</v>
      </c>
      <c r="B53" s="1">
        <v>1.471451721362377</v>
      </c>
      <c r="C53" s="1">
        <v>1.447565685031925</v>
      </c>
      <c r="D53" s="1">
        <v>1.2682232038283059</v>
      </c>
      <c r="E53" s="1">
        <v>1.368819302135921</v>
      </c>
      <c r="F53" s="1">
        <v>1.3585708506059391</v>
      </c>
      <c r="G53" s="1">
        <v>1.2627298597955401</v>
      </c>
      <c r="H53" s="1">
        <v>1.339314346080527</v>
      </c>
      <c r="I53" s="1">
        <v>1.374849815537831</v>
      </c>
      <c r="J53" s="1">
        <v>1.3930106362773531</v>
      </c>
      <c r="K53" s="1">
        <v>1.345935620126804</v>
      </c>
      <c r="L53" s="1">
        <v>1.2929806226593279</v>
      </c>
      <c r="M53" s="1">
        <v>1.347331137692503</v>
      </c>
      <c r="N53" s="1">
        <v>1.3808957051213231</v>
      </c>
      <c r="O53" s="1">
        <v>1.331894271941976</v>
      </c>
      <c r="P53" s="1">
        <v>1.25687379099066</v>
      </c>
      <c r="Q53" s="1">
        <v>1.3082733120594361</v>
      </c>
      <c r="R53" s="1">
        <v>1.3169113050927581</v>
      </c>
      <c r="S53" s="1">
        <v>1.2999294341545591</v>
      </c>
      <c r="T53" s="1">
        <v>1.3145552238873739</v>
      </c>
      <c r="U53" s="1">
        <v>1.345022516344526</v>
      </c>
      <c r="V53" s="1">
        <v>1.331096823777334</v>
      </c>
      <c r="W53" s="1">
        <v>1.302372282620849</v>
      </c>
      <c r="X53" s="1">
        <v>1.307587334103036</v>
      </c>
      <c r="Y53" s="1">
        <v>1.3184880390060301</v>
      </c>
      <c r="Z53" s="1">
        <v>1.3319198168063699</v>
      </c>
      <c r="AA53" s="1">
        <v>1.3122625256630509</v>
      </c>
      <c r="AB53" s="1">
        <v>1.3387812830289221</v>
      </c>
    </row>
    <row r="54" spans="1:28" x14ac:dyDescent="0.35">
      <c r="A54" s="1" t="s">
        <v>36</v>
      </c>
      <c r="B54" s="1">
        <v>0.22242556168984939</v>
      </c>
      <c r="C54" s="1">
        <v>0.23129847513593069</v>
      </c>
      <c r="D54" s="1">
        <v>0.23145701559468351</v>
      </c>
      <c r="E54" s="1">
        <v>0.2341867223399699</v>
      </c>
      <c r="F54" s="1">
        <v>0.23237682164827239</v>
      </c>
      <c r="G54" s="1">
        <v>0.22974547350110541</v>
      </c>
      <c r="H54" s="1">
        <v>0.23013492530431551</v>
      </c>
      <c r="I54" s="1">
        <v>0.2292092094687472</v>
      </c>
      <c r="J54" s="1">
        <v>0.23491308010716919</v>
      </c>
      <c r="K54" s="1">
        <v>0.2351115850593761</v>
      </c>
      <c r="L54" s="1">
        <v>0.23501351699537759</v>
      </c>
      <c r="M54" s="1">
        <v>0.2465779890471278</v>
      </c>
      <c r="N54" s="1">
        <v>0.23755777532086</v>
      </c>
      <c r="O54" s="1">
        <v>0.2365326738660597</v>
      </c>
      <c r="P54" s="1">
        <v>0.2342282878679422</v>
      </c>
      <c r="Q54" s="1">
        <v>0.23582717274684631</v>
      </c>
      <c r="R54" s="1">
        <v>0.238325765481503</v>
      </c>
      <c r="S54" s="1">
        <v>0.23816325101248589</v>
      </c>
      <c r="T54" s="1">
        <v>0.2375685262027343</v>
      </c>
      <c r="U54" s="1">
        <v>0.2382047452473835</v>
      </c>
      <c r="V54" s="1">
        <v>0.23830568514567871</v>
      </c>
      <c r="W54" s="1">
        <v>0.23756851200601831</v>
      </c>
      <c r="X54" s="1">
        <v>0.23775257691081039</v>
      </c>
      <c r="Y54" s="1">
        <v>0.23757435667447191</v>
      </c>
      <c r="Z54" s="1">
        <v>0.23728212998010401</v>
      </c>
      <c r="AA54" s="1">
        <v>0.23635667658507661</v>
      </c>
      <c r="AB54" s="1">
        <v>0.23924790613928471</v>
      </c>
    </row>
    <row r="56" spans="1:28" x14ac:dyDescent="0.35">
      <c r="A56" s="1" t="s">
        <v>41</v>
      </c>
      <c r="B56" s="1" t="s">
        <v>1</v>
      </c>
      <c r="C56" s="1" t="s">
        <v>2</v>
      </c>
      <c r="D56" s="1" t="s">
        <v>3</v>
      </c>
      <c r="E56" s="1" t="s">
        <v>4</v>
      </c>
      <c r="F56" s="1" t="s">
        <v>5</v>
      </c>
      <c r="G56" s="1" t="s">
        <v>6</v>
      </c>
      <c r="H56" s="1" t="s">
        <v>7</v>
      </c>
      <c r="I56" s="1" t="s">
        <v>8</v>
      </c>
      <c r="J56" s="1" t="s">
        <v>9</v>
      </c>
      <c r="K56" s="1" t="s">
        <v>10</v>
      </c>
      <c r="L56" s="1" t="s">
        <v>11</v>
      </c>
      <c r="M56" s="1" t="s">
        <v>12</v>
      </c>
      <c r="N56" s="1" t="s">
        <v>13</v>
      </c>
      <c r="O56" s="1" t="s">
        <v>14</v>
      </c>
      <c r="P56" s="1" t="s">
        <v>15</v>
      </c>
      <c r="Q56" s="1" t="s">
        <v>16</v>
      </c>
      <c r="R56" s="1" t="s">
        <v>17</v>
      </c>
      <c r="S56" s="1" t="s">
        <v>18</v>
      </c>
      <c r="T56" s="1" t="s">
        <v>19</v>
      </c>
      <c r="U56" s="1" t="s">
        <v>20</v>
      </c>
      <c r="V56" s="1" t="s">
        <v>21</v>
      </c>
      <c r="W56" s="1" t="s">
        <v>22</v>
      </c>
      <c r="X56" s="1" t="s">
        <v>23</v>
      </c>
      <c r="Y56" s="1" t="s">
        <v>24</v>
      </c>
      <c r="Z56" s="1" t="s">
        <v>25</v>
      </c>
      <c r="AA56" s="1" t="s">
        <v>26</v>
      </c>
      <c r="AB56" s="1" t="s">
        <v>27</v>
      </c>
    </row>
    <row r="57" spans="1:28" x14ac:dyDescent="0.35">
      <c r="A57" s="1" t="s">
        <v>28</v>
      </c>
      <c r="B57" s="1">
        <v>138.31110788129681</v>
      </c>
      <c r="C57" s="1">
        <v>139.94234979419369</v>
      </c>
      <c r="D57" s="1">
        <v>140.21326887301029</v>
      </c>
      <c r="E57" s="1">
        <v>139.02306822914119</v>
      </c>
      <c r="F57" s="1">
        <v>138.05094234297749</v>
      </c>
      <c r="G57" s="1">
        <v>138.22982150103391</v>
      </c>
      <c r="H57" s="1">
        <v>137.4273919650816</v>
      </c>
      <c r="I57" s="1">
        <v>136.5754474126289</v>
      </c>
      <c r="J57" s="1">
        <v>136.62619100934259</v>
      </c>
      <c r="K57" s="1">
        <v>137.5539715340436</v>
      </c>
      <c r="L57" s="1">
        <v>138.43880890698861</v>
      </c>
      <c r="M57" s="1">
        <v>139.91935522956501</v>
      </c>
      <c r="N57" s="1">
        <v>141.0673565801379</v>
      </c>
      <c r="O57" s="1">
        <v>141.42781281253681</v>
      </c>
      <c r="P57" s="1">
        <v>141.31911811386121</v>
      </c>
      <c r="Q57" s="1">
        <v>141.37036260344871</v>
      </c>
      <c r="R57" s="1">
        <v>140.71650434850261</v>
      </c>
      <c r="S57" s="1">
        <v>141.285867585565</v>
      </c>
      <c r="T57" s="1">
        <v>140.92177404607719</v>
      </c>
      <c r="U57" s="1">
        <v>140.8628950138835</v>
      </c>
      <c r="V57" s="1">
        <v>140.82180970632899</v>
      </c>
      <c r="W57" s="1">
        <v>140.9130261474356</v>
      </c>
      <c r="X57" s="1">
        <v>140.9405733412554</v>
      </c>
      <c r="Y57" s="1">
        <v>141.60739685663719</v>
      </c>
      <c r="Z57" s="1">
        <v>142.40881482052421</v>
      </c>
      <c r="AA57" s="1">
        <v>142.91548457742641</v>
      </c>
    </row>
    <row r="58" spans="1:28" x14ac:dyDescent="0.35">
      <c r="A58" s="1" t="s">
        <v>29</v>
      </c>
      <c r="B58" s="1">
        <v>2.5908076603325969</v>
      </c>
      <c r="C58" s="1">
        <v>2.334974387927292</v>
      </c>
      <c r="D58" s="1">
        <v>2.2232278538134009</v>
      </c>
      <c r="E58" s="1">
        <v>2.2474475822583289</v>
      </c>
      <c r="F58" s="1">
        <v>2.2845065506272189</v>
      </c>
      <c r="G58" s="1">
        <v>2.1291994513907149</v>
      </c>
      <c r="H58" s="1">
        <v>1.84641892233808</v>
      </c>
      <c r="I58" s="1">
        <v>1.532438503873808</v>
      </c>
      <c r="J58" s="1">
        <v>0.96743038599582243</v>
      </c>
      <c r="K58" s="1">
        <v>0.85615656111611982</v>
      </c>
      <c r="L58" s="1">
        <v>0.68622795233698675</v>
      </c>
      <c r="M58" s="1">
        <v>0.69367149246856774</v>
      </c>
      <c r="N58" s="1">
        <v>0.51134617863612475</v>
      </c>
      <c r="O58" s="1">
        <v>0.59452536395353528</v>
      </c>
      <c r="P58" s="1">
        <v>0.67734605331170206</v>
      </c>
      <c r="Q58" s="1">
        <v>0.79623625685823962</v>
      </c>
      <c r="R58" s="1">
        <v>0.61569637015006007</v>
      </c>
      <c r="S58" s="1">
        <v>1.0136400192846751</v>
      </c>
      <c r="T58" s="1">
        <v>0.9013983370433698</v>
      </c>
      <c r="U58" s="1">
        <v>0.62192269027133262</v>
      </c>
      <c r="V58" s="1">
        <v>0.28546530491822902</v>
      </c>
      <c r="W58" s="1">
        <v>0.87503401581086238</v>
      </c>
      <c r="X58" s="1">
        <v>0.61313254390365579</v>
      </c>
      <c r="Y58" s="1">
        <v>0.58376562693480427</v>
      </c>
      <c r="Z58" s="1">
        <v>0.29765434232322302</v>
      </c>
      <c r="AA58" s="1">
        <v>0.20740146565287951</v>
      </c>
    </row>
    <row r="59" spans="1:28" x14ac:dyDescent="0.35">
      <c r="A59" s="1" t="s">
        <v>30</v>
      </c>
      <c r="B59" s="1">
        <v>6.2870931040075462</v>
      </c>
      <c r="C59" s="1">
        <v>5.6383284151767397</v>
      </c>
      <c r="D59" s="1">
        <v>5.4920014618437296</v>
      </c>
      <c r="E59" s="1">
        <v>6.0849015486832094</v>
      </c>
      <c r="F59" s="1">
        <v>6.546857029919539</v>
      </c>
      <c r="G59" s="1">
        <v>6.5360963408426747</v>
      </c>
      <c r="H59" s="1">
        <v>7.0174772608891756</v>
      </c>
      <c r="I59" s="1">
        <v>7.2535380147819444</v>
      </c>
      <c r="J59" s="1">
        <v>7.2091245334431724</v>
      </c>
      <c r="K59" s="1">
        <v>6.6819142839690606</v>
      </c>
      <c r="L59" s="1">
        <v>6.231501759406517</v>
      </c>
      <c r="M59" s="1">
        <v>5.5838238763349493</v>
      </c>
      <c r="N59" s="1">
        <v>5.0346649351506958</v>
      </c>
      <c r="O59" s="1">
        <v>4.9627713207868744</v>
      </c>
      <c r="P59" s="1">
        <v>5.0044470918087072</v>
      </c>
      <c r="Q59" s="1">
        <v>5.0581758841268689</v>
      </c>
      <c r="R59" s="1">
        <v>5.2825912593913369</v>
      </c>
      <c r="S59" s="1">
        <v>5.0774111926124803</v>
      </c>
      <c r="T59" s="1">
        <v>5.1545419236583054</v>
      </c>
      <c r="U59" s="1">
        <v>5.1631691075531556</v>
      </c>
      <c r="V59" s="1">
        <v>5.1753045790036776</v>
      </c>
      <c r="W59" s="1">
        <v>5.2278853795527898</v>
      </c>
      <c r="X59" s="1">
        <v>5.2797789388751202</v>
      </c>
      <c r="Y59" s="1">
        <v>5.0274258238236227</v>
      </c>
      <c r="Z59" s="1">
        <v>4.6562804921783991</v>
      </c>
      <c r="AA59" s="1">
        <v>4.450895081163516</v>
      </c>
    </row>
    <row r="60" spans="1:28" x14ac:dyDescent="0.35">
      <c r="A60" s="1" t="s">
        <v>31</v>
      </c>
      <c r="B60" s="1">
        <v>-1.3135471987204039</v>
      </c>
      <c r="C60" s="1">
        <v>-1.642386822836216</v>
      </c>
      <c r="D60" s="1">
        <v>2.4050800527971421E-2</v>
      </c>
      <c r="E60" s="1">
        <v>-1.4909040246919829</v>
      </c>
      <c r="F60" s="1">
        <v>0.11629603503740089</v>
      </c>
      <c r="G60" s="1">
        <v>1.7402400098913471</v>
      </c>
      <c r="H60" s="1">
        <v>1.170780109475855</v>
      </c>
      <c r="I60" s="1">
        <v>1.057420926704598</v>
      </c>
      <c r="J60" s="1">
        <v>-0.1462109951460919</v>
      </c>
      <c r="K60" s="1">
        <v>0.39537087851614949</v>
      </c>
      <c r="L60" s="1">
        <v>-0.42543537529078052</v>
      </c>
      <c r="M60" s="1">
        <v>-1.7278399062573839</v>
      </c>
      <c r="N60" s="1">
        <v>-2.0007209038844458</v>
      </c>
      <c r="O60" s="1">
        <v>-0.99042819578881325</v>
      </c>
      <c r="P60" s="1">
        <v>-2.8850635696277762</v>
      </c>
      <c r="Q60" s="1">
        <v>-3.9160688180139691</v>
      </c>
      <c r="R60" s="1">
        <v>-3.2482055574411461</v>
      </c>
      <c r="S60" s="1">
        <v>-0.66244957531699</v>
      </c>
      <c r="T60" s="1">
        <v>-1.1097254960788121</v>
      </c>
      <c r="U60" s="1">
        <v>-1.0559025021776469</v>
      </c>
      <c r="V60" s="1">
        <v>-0.5026880437657163</v>
      </c>
      <c r="W60" s="1">
        <v>-0.2130889955331523</v>
      </c>
      <c r="X60" s="1">
        <v>-0.36448288573940979</v>
      </c>
      <c r="Y60" s="1">
        <v>-0.15528186086811741</v>
      </c>
      <c r="Z60" s="1">
        <v>0.31436360852832312</v>
      </c>
      <c r="AA60" s="1">
        <v>0.65866721608107115</v>
      </c>
    </row>
    <row r="61" spans="1:28" x14ac:dyDescent="0.35">
      <c r="A61" s="1" t="s">
        <v>32</v>
      </c>
      <c r="B61" s="1">
        <v>0.17906900919314889</v>
      </c>
      <c r="C61" s="1">
        <v>0.1457795897803815</v>
      </c>
      <c r="D61" s="1">
        <v>5.9505643387882112E-2</v>
      </c>
      <c r="E61" s="1">
        <v>0.1160251089922565</v>
      </c>
      <c r="F61" s="1">
        <v>0.1043866672607391</v>
      </c>
      <c r="G61" s="1">
        <v>0.1131934957082637</v>
      </c>
      <c r="H61" s="1">
        <v>0.39597449371508497</v>
      </c>
      <c r="I61" s="1">
        <v>0.35462431437565389</v>
      </c>
      <c r="J61" s="1">
        <v>0.14674369621594729</v>
      </c>
      <c r="K61" s="1">
        <v>7.2422326196824288E-2</v>
      </c>
      <c r="L61" s="1">
        <v>5.9353300259878908E-2</v>
      </c>
      <c r="M61" s="1">
        <v>0.12249091732475161</v>
      </c>
      <c r="N61" s="1">
        <v>-0.1039159042312674</v>
      </c>
      <c r="O61" s="1">
        <v>-7.0659560975312175E-2</v>
      </c>
      <c r="P61" s="1">
        <v>1.1504077109967951E-3</v>
      </c>
      <c r="Q61" s="1">
        <v>-2.3482710188600649E-3</v>
      </c>
      <c r="R61" s="1">
        <v>-8.3616182043907222E-2</v>
      </c>
      <c r="S61" s="1">
        <v>0.14157192780615371</v>
      </c>
      <c r="T61" s="1">
        <v>8.9525299564209432E-2</v>
      </c>
      <c r="U61" s="1">
        <v>0.1062122879310313</v>
      </c>
      <c r="V61" s="1">
        <v>-3.7071124131244422E-2</v>
      </c>
      <c r="W61" s="1">
        <v>-2.289404778192666E-2</v>
      </c>
      <c r="X61" s="1">
        <v>1.3759842734600829E-2</v>
      </c>
      <c r="Y61" s="1">
        <v>0.29408024175969238</v>
      </c>
      <c r="Z61" s="1">
        <v>0.20140810369432571</v>
      </c>
      <c r="AA61" s="1">
        <v>0.29893753289378178</v>
      </c>
    </row>
    <row r="62" spans="1:28" x14ac:dyDescent="0.35">
      <c r="A62" s="1" t="s">
        <v>33</v>
      </c>
      <c r="B62" s="1">
        <v>146.05453045610969</v>
      </c>
      <c r="C62" s="1">
        <v>146.4190453642419</v>
      </c>
      <c r="D62" s="1">
        <v>148.0120546325833</v>
      </c>
      <c r="E62" s="1">
        <v>145.98053844438309</v>
      </c>
      <c r="F62" s="1">
        <v>147.10298862582241</v>
      </c>
      <c r="G62" s="1">
        <v>148.74855079886689</v>
      </c>
      <c r="H62" s="1">
        <v>147.85804275149971</v>
      </c>
      <c r="I62" s="1">
        <v>146.77346917236491</v>
      </c>
      <c r="J62" s="1">
        <v>144.80327862985141</v>
      </c>
      <c r="K62" s="1">
        <v>145.55983558384179</v>
      </c>
      <c r="L62" s="1">
        <v>144.99045654370121</v>
      </c>
      <c r="M62" s="1">
        <v>144.59150160943591</v>
      </c>
      <c r="N62" s="1">
        <v>144.508730885809</v>
      </c>
      <c r="O62" s="1">
        <v>145.9240217405131</v>
      </c>
      <c r="P62" s="1">
        <v>144.11699809706491</v>
      </c>
      <c r="Q62" s="1">
        <v>143.30635765540089</v>
      </c>
      <c r="R62" s="1">
        <v>143.2829702385589</v>
      </c>
      <c r="S62" s="1">
        <v>146.85604114995141</v>
      </c>
      <c r="T62" s="1">
        <v>145.95751411026421</v>
      </c>
      <c r="U62" s="1">
        <v>145.69829659746139</v>
      </c>
      <c r="V62" s="1">
        <v>145.7428204223539</v>
      </c>
      <c r="W62" s="1">
        <v>146.77996249948421</v>
      </c>
      <c r="X62" s="1">
        <v>146.4827617810293</v>
      </c>
      <c r="Y62" s="1">
        <v>147.35738668828719</v>
      </c>
      <c r="Z62" s="1">
        <v>147.87852136724851</v>
      </c>
      <c r="AA62" s="1">
        <v>148.53138587321769</v>
      </c>
    </row>
    <row r="63" spans="1:28" x14ac:dyDescent="0.35">
      <c r="A63" s="1" t="s">
        <v>34</v>
      </c>
      <c r="B63" s="1">
        <v>240764136.25999999</v>
      </c>
      <c r="C63" s="1">
        <v>210493795.44999999</v>
      </c>
      <c r="D63" s="1">
        <v>273319699.92000002</v>
      </c>
      <c r="E63" s="1">
        <v>231112169.58000001</v>
      </c>
      <c r="F63" s="1">
        <v>368412678.79000002</v>
      </c>
      <c r="G63" s="1">
        <v>372970745.82000011</v>
      </c>
      <c r="H63" s="1">
        <v>340193751.29000002</v>
      </c>
      <c r="I63" s="1">
        <v>287445547.94</v>
      </c>
      <c r="J63" s="1">
        <v>221425001.68000001</v>
      </c>
      <c r="K63" s="1">
        <v>355505092.49000001</v>
      </c>
      <c r="L63" s="1">
        <v>294016808.01999998</v>
      </c>
      <c r="M63" s="1">
        <v>222708125.90000001</v>
      </c>
      <c r="N63" s="1">
        <v>259835732.69999999</v>
      </c>
      <c r="O63" s="1">
        <v>257704111.05000001</v>
      </c>
      <c r="P63" s="1">
        <v>146110296.87</v>
      </c>
      <c r="Q63" s="1">
        <v>124853697.61</v>
      </c>
      <c r="R63" s="1">
        <v>389748768.83999997</v>
      </c>
      <c r="S63" s="1">
        <v>325640028.30000001</v>
      </c>
      <c r="T63" s="1">
        <v>300359129.88999999</v>
      </c>
      <c r="U63" s="1">
        <v>287647686.19</v>
      </c>
      <c r="V63" s="1">
        <v>440786430.79000002</v>
      </c>
      <c r="W63" s="1">
        <v>384948759.32999998</v>
      </c>
      <c r="X63" s="1">
        <v>378587880.93999988</v>
      </c>
      <c r="Y63" s="1">
        <v>341169741.93000013</v>
      </c>
      <c r="Z63" s="1">
        <v>559646274.65999997</v>
      </c>
      <c r="AA63" s="1">
        <v>457396647.88</v>
      </c>
    </row>
    <row r="64" spans="1:28" x14ac:dyDescent="0.35">
      <c r="A64" s="1" t="s">
        <v>35</v>
      </c>
      <c r="B64" s="1">
        <v>1.7088730496579549</v>
      </c>
      <c r="C64" s="1">
        <v>1.7386322916593859</v>
      </c>
      <c r="D64" s="1">
        <v>1.587823456965795</v>
      </c>
      <c r="E64" s="1">
        <v>1.7249234411485961</v>
      </c>
      <c r="F64" s="1">
        <v>1.579475471942317</v>
      </c>
      <c r="G64" s="1">
        <v>1.4325122162994259</v>
      </c>
      <c r="H64" s="1">
        <v>1.4840470489162121</v>
      </c>
      <c r="I64" s="1">
        <v>1.4943057984882719</v>
      </c>
      <c r="J64" s="1">
        <v>1.603231764266615</v>
      </c>
      <c r="K64" s="1">
        <v>1.554219829998539</v>
      </c>
      <c r="L64" s="1">
        <v>1.628500938940342</v>
      </c>
      <c r="M64" s="1">
        <v>1.7463656023762339</v>
      </c>
      <c r="N64" s="1">
        <v>1.7710607152836599</v>
      </c>
      <c r="O64" s="1">
        <v>1.679631510931114</v>
      </c>
      <c r="P64" s="1">
        <v>1.85109172575817</v>
      </c>
      <c r="Q64" s="1">
        <v>1.9443953681460611</v>
      </c>
      <c r="R64" s="1">
        <v>1.8839552540670721</v>
      </c>
      <c r="S64" s="1">
        <v>1.6499501878114919</v>
      </c>
      <c r="T64" s="1">
        <v>1.6904276467039649</v>
      </c>
      <c r="U64" s="1">
        <v>1.6855567875273889</v>
      </c>
      <c r="V64" s="1">
        <v>1.635492130657531</v>
      </c>
      <c r="W64" s="1">
        <v>1.609284071993951</v>
      </c>
      <c r="X64" s="1">
        <v>1.622984876537503</v>
      </c>
      <c r="Y64" s="1">
        <v>1.604052657092137</v>
      </c>
      <c r="Z64" s="1">
        <v>1.5615508046580699</v>
      </c>
      <c r="AA64" s="1">
        <v>1.530392107141985</v>
      </c>
    </row>
    <row r="65" spans="1:28" x14ac:dyDescent="0.35">
      <c r="A65" s="1" t="s">
        <v>36</v>
      </c>
      <c r="B65" s="1">
        <v>0.24606441738037041</v>
      </c>
      <c r="C65" s="1">
        <v>0.24679605297185969</v>
      </c>
      <c r="D65" s="1">
        <v>0.24869218366180479</v>
      </c>
      <c r="E65" s="1">
        <v>0.24744999760456579</v>
      </c>
      <c r="F65" s="1">
        <v>0.24770578753273101</v>
      </c>
      <c r="G65" s="1">
        <v>0.24751223086355459</v>
      </c>
      <c r="H65" s="1">
        <v>0.24129726387439371</v>
      </c>
      <c r="I65" s="1">
        <v>0.2422060590247109</v>
      </c>
      <c r="J65" s="1">
        <v>0.2467748638194297</v>
      </c>
      <c r="K65" s="1">
        <v>0.24840830052314669</v>
      </c>
      <c r="L65" s="1">
        <v>0.24869553186242019</v>
      </c>
      <c r="M65" s="1">
        <v>0.24730789192692851</v>
      </c>
      <c r="N65" s="1">
        <v>0.25228386602706082</v>
      </c>
      <c r="O65" s="1">
        <v>0.2515529573840728</v>
      </c>
      <c r="P65" s="1">
        <v>0.249974716314044</v>
      </c>
      <c r="Q65" s="1">
        <v>0.25005161035206291</v>
      </c>
      <c r="R65" s="1">
        <v>0.25183771828667928</v>
      </c>
      <c r="S65" s="1">
        <v>0.24688852905920541</v>
      </c>
      <c r="T65" s="1">
        <v>0.2480324109985888</v>
      </c>
      <c r="U65" s="1">
        <v>0.2476656640015158</v>
      </c>
      <c r="V65" s="1">
        <v>0.25081474998090653</v>
      </c>
      <c r="W65" s="1">
        <v>0.25050316588531713</v>
      </c>
      <c r="X65" s="1">
        <v>0.24969758587396479</v>
      </c>
      <c r="Y65" s="1">
        <v>0.24353669798330349</v>
      </c>
      <c r="Z65" s="1">
        <v>0.24557344827045441</v>
      </c>
      <c r="AA65" s="1">
        <v>0.24342994433200479</v>
      </c>
    </row>
    <row r="67" spans="1:28" x14ac:dyDescent="0.35">
      <c r="A67" s="1" t="s">
        <v>42</v>
      </c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  <c r="H67" s="1" t="s">
        <v>7</v>
      </c>
      <c r="I67" s="1" t="s">
        <v>8</v>
      </c>
      <c r="J67" s="1" t="s">
        <v>9</v>
      </c>
      <c r="K67" s="1" t="s">
        <v>10</v>
      </c>
      <c r="L67" s="1" t="s">
        <v>11</v>
      </c>
      <c r="M67" s="1" t="s">
        <v>12</v>
      </c>
      <c r="N67" s="1" t="s">
        <v>13</v>
      </c>
      <c r="O67" s="1" t="s">
        <v>14</v>
      </c>
      <c r="P67" s="1" t="s">
        <v>15</v>
      </c>
      <c r="Q67" s="1" t="s">
        <v>16</v>
      </c>
      <c r="R67" s="1" t="s">
        <v>17</v>
      </c>
      <c r="S67" s="1" t="s">
        <v>18</v>
      </c>
      <c r="T67" s="1" t="s">
        <v>19</v>
      </c>
      <c r="U67" s="1" t="s">
        <v>20</v>
      </c>
      <c r="V67" s="1" t="s">
        <v>21</v>
      </c>
      <c r="W67" s="1" t="s">
        <v>22</v>
      </c>
      <c r="X67" s="1" t="s">
        <v>23</v>
      </c>
      <c r="Y67" s="1" t="s">
        <v>24</v>
      </c>
      <c r="Z67" s="1" t="s">
        <v>25</v>
      </c>
      <c r="AA67" s="1" t="s">
        <v>26</v>
      </c>
      <c r="AB67" s="1" t="s">
        <v>27</v>
      </c>
    </row>
    <row r="68" spans="1:28" x14ac:dyDescent="0.35">
      <c r="A68" s="1" t="s">
        <v>28</v>
      </c>
      <c r="B68" s="1">
        <v>130.89288420841419</v>
      </c>
      <c r="C68" s="1">
        <v>133.54448012305059</v>
      </c>
      <c r="D68" s="1">
        <v>135.34056570387341</v>
      </c>
      <c r="E68" s="1">
        <v>135.03101083005151</v>
      </c>
      <c r="F68" s="1">
        <v>135.31382060505601</v>
      </c>
      <c r="G68" s="1">
        <v>135.3732755934262</v>
      </c>
      <c r="H68" s="1">
        <v>135.1176487922294</v>
      </c>
      <c r="I68" s="1">
        <v>133.5595974500188</v>
      </c>
      <c r="J68" s="1">
        <v>134.13966844710509</v>
      </c>
      <c r="K68" s="1">
        <v>136.44788750469249</v>
      </c>
      <c r="L68" s="1">
        <v>137.23600983655729</v>
      </c>
      <c r="M68" s="1">
        <v>138.549924120708</v>
      </c>
      <c r="N68" s="1">
        <v>139.353603681267</v>
      </c>
      <c r="O68" s="1">
        <v>138.7225771475359</v>
      </c>
      <c r="P68" s="1">
        <v>138.78536627669581</v>
      </c>
      <c r="Q68" s="1">
        <v>138.23710831114121</v>
      </c>
      <c r="R68" s="1">
        <v>137.47425505544561</v>
      </c>
      <c r="S68" s="1">
        <v>138.71148938555851</v>
      </c>
      <c r="T68" s="1">
        <v>140.0216447455517</v>
      </c>
      <c r="U68" s="1">
        <v>138.5389732321064</v>
      </c>
      <c r="V68" s="1">
        <v>138.06899805744649</v>
      </c>
      <c r="W68" s="1">
        <v>139.13942191804611</v>
      </c>
      <c r="X68" s="1">
        <v>139.51520934374011</v>
      </c>
      <c r="Y68" s="1">
        <v>140.42951518593631</v>
      </c>
      <c r="Z68" s="1">
        <v>141.63183291054489</v>
      </c>
      <c r="AA68" s="1">
        <v>142.01921376096439</v>
      </c>
      <c r="AB68" s="1">
        <v>142.35006793172781</v>
      </c>
    </row>
    <row r="69" spans="1:28" x14ac:dyDescent="0.35">
      <c r="A69" s="1" t="s">
        <v>29</v>
      </c>
      <c r="B69" s="1">
        <v>0.51795345782779934</v>
      </c>
      <c r="C69" s="1">
        <v>0.6521031436126421</v>
      </c>
      <c r="D69" s="1">
        <v>0.48364399702049549</v>
      </c>
      <c r="E69" s="1">
        <v>0.5182037793590567</v>
      </c>
      <c r="F69" s="1">
        <v>1.1377570196802</v>
      </c>
      <c r="G69" s="1">
        <v>1.035469905007947</v>
      </c>
      <c r="H69" s="1">
        <v>0.69651175691191158</v>
      </c>
      <c r="I69" s="1">
        <v>0.2047324909302228</v>
      </c>
      <c r="J69" s="1">
        <v>2.0723440350086521E-2</v>
      </c>
      <c r="K69" s="1">
        <v>0.56920487742861037</v>
      </c>
      <c r="L69" s="1">
        <v>0.4693568134438923</v>
      </c>
      <c r="M69" s="1">
        <v>0.56296419209645965</v>
      </c>
      <c r="N69" s="1">
        <v>0.58669606990414824</v>
      </c>
      <c r="O69" s="1">
        <v>0.78171905375896378</v>
      </c>
      <c r="P69" s="1">
        <v>1.0025152654037111</v>
      </c>
      <c r="Q69" s="1">
        <v>0.78597679042036994</v>
      </c>
      <c r="R69" s="1">
        <v>0.28728786575755272</v>
      </c>
      <c r="S69" s="1">
        <v>0.90577920268653844</v>
      </c>
      <c r="T69" s="1">
        <v>1.033730585335132</v>
      </c>
      <c r="U69" s="1">
        <v>0.93940405669498328</v>
      </c>
      <c r="V69" s="1">
        <v>0.99712681342862408</v>
      </c>
      <c r="W69" s="1">
        <v>1.3529940269509251</v>
      </c>
      <c r="X69" s="1">
        <v>1.634394639481686</v>
      </c>
      <c r="Y69" s="1">
        <v>1.826437458379875</v>
      </c>
      <c r="Z69" s="1">
        <v>1.7890628061363321</v>
      </c>
      <c r="AA69" s="1">
        <v>1.9273166888712041</v>
      </c>
      <c r="AB69" s="1">
        <v>1.9866025299936909</v>
      </c>
    </row>
    <row r="70" spans="1:28" x14ac:dyDescent="0.35">
      <c r="A70" s="1" t="s">
        <v>30</v>
      </c>
      <c r="B70" s="1">
        <v>11.3660888666844</v>
      </c>
      <c r="C70" s="1">
        <v>10.195815625358881</v>
      </c>
      <c r="D70" s="1">
        <v>9.5080543931241301</v>
      </c>
      <c r="E70" s="1">
        <v>9.8156582056906547</v>
      </c>
      <c r="F70" s="1">
        <v>9.6533187579855895</v>
      </c>
      <c r="G70" s="1">
        <v>9.5574761936811115</v>
      </c>
      <c r="H70" s="1">
        <v>9.6598876656983048</v>
      </c>
      <c r="I70" s="1">
        <v>10.17703178542425</v>
      </c>
      <c r="J70" s="1">
        <v>9.7763702830130903</v>
      </c>
      <c r="K70" s="1">
        <v>8.797121228080071</v>
      </c>
      <c r="L70" s="1">
        <v>8.3984129306747572</v>
      </c>
      <c r="M70" s="1">
        <v>7.8962071474420599</v>
      </c>
      <c r="N70" s="1">
        <v>7.48968428012091</v>
      </c>
      <c r="O70" s="1">
        <v>7.8258380223977886</v>
      </c>
      <c r="P70" s="1">
        <v>7.784369438387996</v>
      </c>
      <c r="Q70" s="1">
        <v>8.0358263657895694</v>
      </c>
      <c r="R70" s="1">
        <v>8.3760621756182427</v>
      </c>
      <c r="S70" s="1">
        <v>8.0971623762031317</v>
      </c>
      <c r="T70" s="1">
        <v>7.6400241486724454</v>
      </c>
      <c r="U70" s="1">
        <v>8.5491321192797969</v>
      </c>
      <c r="V70" s="1">
        <v>8.7667349849098262</v>
      </c>
      <c r="W70" s="1">
        <v>8.3440273208506461</v>
      </c>
      <c r="X70" s="1">
        <v>8.2805222456511896</v>
      </c>
      <c r="Y70" s="1">
        <v>8.0349942969015604</v>
      </c>
      <c r="Z70" s="1">
        <v>7.3152706409045374</v>
      </c>
      <c r="AA70" s="1">
        <v>7.2242788927974644</v>
      </c>
      <c r="AB70" s="1">
        <v>7.0642335159851823</v>
      </c>
    </row>
    <row r="71" spans="1:28" x14ac:dyDescent="0.35">
      <c r="A71" s="1" t="s">
        <v>31</v>
      </c>
      <c r="B71" s="1">
        <v>-0.75834478792315574</v>
      </c>
      <c r="C71" s="1">
        <v>-0.97801965901315713</v>
      </c>
      <c r="D71" s="1">
        <v>2.4816555197710422</v>
      </c>
      <c r="E71" s="1">
        <v>1.6809888977300751</v>
      </c>
      <c r="F71" s="1">
        <v>3.772457417176037</v>
      </c>
      <c r="G71" s="1">
        <v>6.5039158734049547</v>
      </c>
      <c r="H71" s="1">
        <v>5.4499449871221701</v>
      </c>
      <c r="I71" s="1">
        <v>4.842741489123406</v>
      </c>
      <c r="J71" s="1">
        <v>5.0839758293645358</v>
      </c>
      <c r="K71" s="1">
        <v>5.0716108664630744</v>
      </c>
      <c r="L71" s="1">
        <v>4.6891194172725887</v>
      </c>
      <c r="M71" s="1">
        <v>4.5172466148657113</v>
      </c>
      <c r="N71" s="1">
        <v>4.1112159502558914</v>
      </c>
      <c r="O71" s="1">
        <v>5.6373670618991882</v>
      </c>
      <c r="P71" s="1">
        <v>6.4792467388595822</v>
      </c>
      <c r="Q71" s="1">
        <v>6.9979227009704843</v>
      </c>
      <c r="R71" s="1">
        <v>6.1339763406747192</v>
      </c>
      <c r="S71" s="1">
        <v>6.5001172380190217</v>
      </c>
      <c r="T71" s="1">
        <v>6.9974990770713692</v>
      </c>
      <c r="U71" s="1">
        <v>6.9603785963611937</v>
      </c>
      <c r="V71" s="1">
        <v>6.6182613875033436</v>
      </c>
      <c r="W71" s="1">
        <v>7.4794263551061606</v>
      </c>
      <c r="X71" s="1">
        <v>7.2568210894860838</v>
      </c>
      <c r="Y71" s="1">
        <v>7.1133093793055631</v>
      </c>
      <c r="Z71" s="1">
        <v>6.1958134837225689</v>
      </c>
      <c r="AA71" s="1">
        <v>6.436717433545021</v>
      </c>
      <c r="AB71" s="1">
        <v>6.3769739968218566</v>
      </c>
    </row>
    <row r="72" spans="1:28" x14ac:dyDescent="0.35">
      <c r="A72" s="1" t="s">
        <v>32</v>
      </c>
      <c r="B72" s="1">
        <v>0.25720101993208278</v>
      </c>
      <c r="C72" s="1">
        <v>-0.1276333264868959</v>
      </c>
      <c r="D72" s="1">
        <v>-0.29386229894565691</v>
      </c>
      <c r="E72" s="1">
        <v>-0.1358339861499904</v>
      </c>
      <c r="F72" s="1">
        <v>-0.28066137306928951</v>
      </c>
      <c r="G72" s="1">
        <v>-0.14444982626153891</v>
      </c>
      <c r="H72" s="1">
        <v>-0.1129382797515748</v>
      </c>
      <c r="I72" s="1">
        <v>-0.14964365979154839</v>
      </c>
      <c r="J72" s="1">
        <v>-0.40661111671187072</v>
      </c>
      <c r="K72" s="1">
        <v>-0.26120229794701888</v>
      </c>
      <c r="L72" s="1">
        <v>-0.27260434816368689</v>
      </c>
      <c r="M72" s="1">
        <v>-0.23035687506561911</v>
      </c>
      <c r="N72" s="1">
        <v>-0.49891919345587249</v>
      </c>
      <c r="O72" s="1">
        <v>-0.60697012176282639</v>
      </c>
      <c r="P72" s="1">
        <v>-0.26636305240502239</v>
      </c>
      <c r="Q72" s="1">
        <v>-5.6262824645533963E-2</v>
      </c>
      <c r="R72" s="1">
        <v>-0.12514138706143599</v>
      </c>
      <c r="S72" s="1">
        <v>5.8844412419876473E-2</v>
      </c>
      <c r="T72" s="1">
        <v>-4.0936868538733143E-2</v>
      </c>
      <c r="U72" s="1">
        <v>-0.2465846831113713</v>
      </c>
      <c r="V72" s="1">
        <v>-0.28491392051864128</v>
      </c>
      <c r="W72" s="1">
        <v>-8.325424049877303E-2</v>
      </c>
      <c r="X72" s="1">
        <v>-0.10575828968524879</v>
      </c>
      <c r="Y72" s="1">
        <v>-0.1128591376940183</v>
      </c>
      <c r="Z72" s="1">
        <v>4.3849617226489182E-2</v>
      </c>
      <c r="AA72" s="1">
        <v>0.29973321231129579</v>
      </c>
      <c r="AB72" s="1">
        <v>0.43850766130002827</v>
      </c>
    </row>
    <row r="73" spans="1:28" x14ac:dyDescent="0.35">
      <c r="A73" s="1" t="s">
        <v>33</v>
      </c>
      <c r="B73" s="1">
        <v>142.2757827649354</v>
      </c>
      <c r="C73" s="1">
        <v>143.2867459065221</v>
      </c>
      <c r="D73" s="1">
        <v>147.52005731484331</v>
      </c>
      <c r="E73" s="1">
        <v>146.91002772668131</v>
      </c>
      <c r="F73" s="1">
        <v>149.5966924268285</v>
      </c>
      <c r="G73" s="1">
        <v>152.32568773925871</v>
      </c>
      <c r="H73" s="1">
        <v>150.81105492221019</v>
      </c>
      <c r="I73" s="1">
        <v>148.63445955570509</v>
      </c>
      <c r="J73" s="1">
        <v>148.614126883121</v>
      </c>
      <c r="K73" s="1">
        <v>150.62462217871709</v>
      </c>
      <c r="L73" s="1">
        <v>150.52029464978489</v>
      </c>
      <c r="M73" s="1">
        <v>151.2959852000466</v>
      </c>
      <c r="N73" s="1">
        <v>151.04228078809211</v>
      </c>
      <c r="O73" s="1">
        <v>152.36053116382899</v>
      </c>
      <c r="P73" s="1">
        <v>153.78513466694201</v>
      </c>
      <c r="Q73" s="1">
        <v>154.00057134367611</v>
      </c>
      <c r="R73" s="1">
        <v>152.14644005043471</v>
      </c>
      <c r="S73" s="1">
        <v>154.27339261488709</v>
      </c>
      <c r="T73" s="1">
        <v>155.65196168809189</v>
      </c>
      <c r="U73" s="1">
        <v>154.741303321331</v>
      </c>
      <c r="V73" s="1">
        <v>154.16620732276971</v>
      </c>
      <c r="W73" s="1">
        <v>156.23261538045509</v>
      </c>
      <c r="X73" s="1">
        <v>156.5811890286738</v>
      </c>
      <c r="Y73" s="1">
        <v>157.2913971828292</v>
      </c>
      <c r="Z73" s="1">
        <v>156.9758294585348</v>
      </c>
      <c r="AA73" s="1">
        <v>157.90725998848939</v>
      </c>
      <c r="AB73" s="1">
        <v>158.2163856358286</v>
      </c>
    </row>
    <row r="74" spans="1:28" x14ac:dyDescent="0.35">
      <c r="A74" s="1" t="s">
        <v>34</v>
      </c>
      <c r="B74" s="1">
        <v>159214846.40000001</v>
      </c>
      <c r="C74" s="1">
        <v>137999418.63</v>
      </c>
      <c r="D74" s="1">
        <v>142974789.80000001</v>
      </c>
      <c r="E74" s="1">
        <v>109122933.23</v>
      </c>
      <c r="F74" s="1">
        <v>157766867.15000001</v>
      </c>
      <c r="G74" s="1">
        <v>225462613.81999999</v>
      </c>
      <c r="H74" s="1">
        <v>181964828.91</v>
      </c>
      <c r="I74" s="1">
        <v>161584852.38</v>
      </c>
      <c r="J74" s="1">
        <v>156348976.66999999</v>
      </c>
      <c r="K74" s="1">
        <v>155776245.11000001</v>
      </c>
      <c r="L74" s="1">
        <v>131998887.17</v>
      </c>
      <c r="M74" s="1">
        <v>76759323.290000007</v>
      </c>
      <c r="N74" s="1">
        <v>54027747.549999997</v>
      </c>
      <c r="O74" s="1">
        <v>66602189.359999999</v>
      </c>
      <c r="P74" s="1">
        <v>107840404.08</v>
      </c>
      <c r="Q74" s="1">
        <v>158770696.34999999</v>
      </c>
      <c r="R74" s="1">
        <v>270196527.75</v>
      </c>
      <c r="S74" s="1">
        <v>316375461.14999998</v>
      </c>
      <c r="T74" s="1">
        <v>227639403.84</v>
      </c>
      <c r="U74" s="1">
        <v>240908525.69</v>
      </c>
      <c r="V74" s="1">
        <v>381862141.82999998</v>
      </c>
      <c r="W74" s="1">
        <v>390929493.20999998</v>
      </c>
      <c r="X74" s="1">
        <v>334301583.43000001</v>
      </c>
      <c r="Y74" s="1">
        <v>269101847.42000002</v>
      </c>
      <c r="Z74" s="1">
        <v>373589693.79000002</v>
      </c>
      <c r="AA74" s="1">
        <v>409661268.35000002</v>
      </c>
      <c r="AB74" s="1">
        <v>40548316.649999999</v>
      </c>
    </row>
    <row r="75" spans="1:28" x14ac:dyDescent="0.35">
      <c r="A75" s="1" t="s">
        <v>35</v>
      </c>
      <c r="B75" s="1">
        <v>1.89496573356366</v>
      </c>
      <c r="C75" s="1">
        <v>1.926049903982942</v>
      </c>
      <c r="D75" s="1">
        <v>1.7306365898919041</v>
      </c>
      <c r="E75" s="1">
        <v>1.8011918550478081</v>
      </c>
      <c r="F75" s="1">
        <v>1.671602840084238</v>
      </c>
      <c r="G75" s="1">
        <v>1.491472049192609</v>
      </c>
      <c r="H75" s="1">
        <v>1.550949821227348</v>
      </c>
      <c r="I75" s="1">
        <v>1.599227164231112</v>
      </c>
      <c r="J75" s="1">
        <v>1.5819218527223089</v>
      </c>
      <c r="K75" s="1">
        <v>1.5874781807248119</v>
      </c>
      <c r="L75" s="1">
        <v>1.6069797750550501</v>
      </c>
      <c r="M75" s="1">
        <v>1.616503070738317</v>
      </c>
      <c r="N75" s="1">
        <v>1.6427954905771169</v>
      </c>
      <c r="O75" s="1">
        <v>1.543373980133538</v>
      </c>
      <c r="P75" s="1">
        <v>1.4934548136717261</v>
      </c>
      <c r="Q75" s="1">
        <v>1.484918054418364</v>
      </c>
      <c r="R75" s="1">
        <v>1.5304071573958571</v>
      </c>
      <c r="S75" s="1">
        <v>1.5036010259917061</v>
      </c>
      <c r="T75" s="1">
        <v>1.481955419540826</v>
      </c>
      <c r="U75" s="1">
        <v>1.48773252610308</v>
      </c>
      <c r="V75" s="1">
        <v>1.4949481501874791</v>
      </c>
      <c r="W75" s="1">
        <v>1.4499429078839079</v>
      </c>
      <c r="X75" s="1">
        <v>1.450637823399616</v>
      </c>
      <c r="Y75" s="1">
        <v>1.4433095279329491</v>
      </c>
      <c r="Z75" s="1">
        <v>1.4959765938039511</v>
      </c>
      <c r="AA75" s="1">
        <v>1.4980788846094011</v>
      </c>
      <c r="AB75" s="1">
        <v>1.503643669306526</v>
      </c>
    </row>
    <row r="76" spans="1:28" x14ac:dyDescent="0.35">
      <c r="A76" s="1" t="s">
        <v>36</v>
      </c>
      <c r="B76" s="1">
        <v>0.24358153287730711</v>
      </c>
      <c r="C76" s="1">
        <v>0.24963514963774239</v>
      </c>
      <c r="D76" s="1">
        <v>0.25225771630174482</v>
      </c>
      <c r="E76" s="1">
        <v>0.25071824740155962</v>
      </c>
      <c r="F76" s="1">
        <v>0.25258634920460582</v>
      </c>
      <c r="G76" s="1">
        <v>0.25004485473833288</v>
      </c>
      <c r="H76" s="1">
        <v>0.24951753115369071</v>
      </c>
      <c r="I76" s="1">
        <v>0.25042636791488337</v>
      </c>
      <c r="J76" s="1">
        <v>0.25400197272189312</v>
      </c>
      <c r="K76" s="1">
        <v>0.25207252971638278</v>
      </c>
      <c r="L76" s="1">
        <v>0.25214364361699942</v>
      </c>
      <c r="M76" s="1">
        <v>0.25152214290444957</v>
      </c>
      <c r="N76" s="1">
        <v>0.25543246979258732</v>
      </c>
      <c r="O76" s="1">
        <v>0.25668071012632848</v>
      </c>
      <c r="P76" s="1">
        <v>0.25180274691541199</v>
      </c>
      <c r="Q76" s="1">
        <v>0.24947397605330829</v>
      </c>
      <c r="R76" s="1">
        <v>0.25029475333810031</v>
      </c>
      <c r="S76" s="1">
        <v>0.24750510625692729</v>
      </c>
      <c r="T76" s="1">
        <v>0.2491635780906471</v>
      </c>
      <c r="U76" s="1">
        <v>0.25221141061127927</v>
      </c>
      <c r="V76" s="1">
        <v>0.25236380019832838</v>
      </c>
      <c r="W76" s="1">
        <v>0.2496559533561036</v>
      </c>
      <c r="X76" s="1">
        <v>0.24959786287896021</v>
      </c>
      <c r="Y76" s="1">
        <v>0.2492165435411853</v>
      </c>
      <c r="Z76" s="1">
        <v>0.2469379506873822</v>
      </c>
      <c r="AA76" s="1">
        <v>0.24378062722851479</v>
      </c>
      <c r="AB76" s="1">
        <v>0.241860904433468</v>
      </c>
    </row>
    <row r="78" spans="1:28" x14ac:dyDescent="0.35">
      <c r="A78" s="1" t="s">
        <v>43</v>
      </c>
      <c r="B78" s="1" t="s">
        <v>1</v>
      </c>
      <c r="C78" s="1" t="s">
        <v>2</v>
      </c>
      <c r="D78" s="1" t="s">
        <v>3</v>
      </c>
      <c r="E78" s="1" t="s">
        <v>4</v>
      </c>
      <c r="F78" s="1" t="s">
        <v>5</v>
      </c>
      <c r="G78" s="1" t="s">
        <v>6</v>
      </c>
      <c r="H78" s="1" t="s">
        <v>7</v>
      </c>
      <c r="I78" s="1" t="s">
        <v>8</v>
      </c>
      <c r="J78" s="1" t="s">
        <v>9</v>
      </c>
      <c r="K78" s="1" t="s">
        <v>10</v>
      </c>
      <c r="L78" s="1" t="s">
        <v>11</v>
      </c>
      <c r="M78" s="1" t="s">
        <v>12</v>
      </c>
      <c r="N78" s="1" t="s">
        <v>13</v>
      </c>
      <c r="O78" s="1" t="s">
        <v>14</v>
      </c>
      <c r="P78" s="1" t="s">
        <v>15</v>
      </c>
      <c r="Q78" s="1" t="s">
        <v>16</v>
      </c>
      <c r="R78" s="1" t="s">
        <v>17</v>
      </c>
      <c r="S78" s="1" t="s">
        <v>18</v>
      </c>
      <c r="T78" s="1" t="s">
        <v>19</v>
      </c>
      <c r="U78" s="1" t="s">
        <v>20</v>
      </c>
      <c r="V78" s="1" t="s">
        <v>21</v>
      </c>
      <c r="W78" s="1" t="s">
        <v>22</v>
      </c>
      <c r="X78" s="1" t="s">
        <v>23</v>
      </c>
      <c r="Y78" s="1" t="s">
        <v>24</v>
      </c>
      <c r="Z78" s="1" t="s">
        <v>25</v>
      </c>
      <c r="AA78" s="1" t="s">
        <v>26</v>
      </c>
      <c r="AB78" s="1" t="s">
        <v>27</v>
      </c>
    </row>
    <row r="79" spans="1:28" x14ac:dyDescent="0.35">
      <c r="A79" s="1" t="s">
        <v>28</v>
      </c>
      <c r="B79" s="1">
        <v>131.21255253494971</v>
      </c>
      <c r="C79" s="1">
        <v>133.45796045104319</v>
      </c>
      <c r="D79" s="1">
        <v>135.58754340864971</v>
      </c>
      <c r="E79" s="1">
        <v>135.13352764690219</v>
      </c>
      <c r="F79" s="1">
        <v>134.78317954277409</v>
      </c>
      <c r="G79" s="1">
        <v>134.1056079746094</v>
      </c>
      <c r="H79" s="1">
        <v>133.73648455150621</v>
      </c>
      <c r="I79" s="1">
        <v>132.2858927046926</v>
      </c>
      <c r="J79" s="1">
        <v>132.57152795847321</v>
      </c>
      <c r="K79" s="1">
        <v>134.92165156586009</v>
      </c>
      <c r="L79" s="1">
        <v>135.56104035872849</v>
      </c>
      <c r="M79" s="1">
        <v>135.21479657959631</v>
      </c>
      <c r="N79" s="1">
        <v>135.65252549167039</v>
      </c>
      <c r="O79" s="1">
        <v>136.20407346460371</v>
      </c>
      <c r="P79" s="1">
        <v>136.7400730133985</v>
      </c>
      <c r="Q79" s="1">
        <v>137.2795885623753</v>
      </c>
      <c r="R79" s="1">
        <v>137.08240702509951</v>
      </c>
      <c r="S79" s="1">
        <v>138.25085880744231</v>
      </c>
      <c r="T79" s="1">
        <v>139.14653126876721</v>
      </c>
      <c r="U79" s="1">
        <v>137.54601652282989</v>
      </c>
      <c r="V79" s="1">
        <v>137.07237381155161</v>
      </c>
      <c r="W79" s="1">
        <v>138.45374975055611</v>
      </c>
      <c r="X79" s="1">
        <v>138.89599808221459</v>
      </c>
      <c r="Y79" s="1">
        <v>139.60557508854939</v>
      </c>
      <c r="Z79" s="1">
        <v>141.26488139526691</v>
      </c>
      <c r="AA79" s="1">
        <v>142.0023956476027</v>
      </c>
      <c r="AB79" s="1">
        <v>142.63031717514949</v>
      </c>
    </row>
    <row r="80" spans="1:28" x14ac:dyDescent="0.35">
      <c r="A80" s="1" t="s">
        <v>29</v>
      </c>
      <c r="B80" s="1">
        <v>0.5259199751581608</v>
      </c>
      <c r="C80" s="1">
        <v>0.64347387179173654</v>
      </c>
      <c r="D80" s="1">
        <v>0.43473186989338958</v>
      </c>
      <c r="E80" s="1">
        <v>9.9690713664850536E-2</v>
      </c>
      <c r="F80" s="1">
        <v>0.58644546936378261</v>
      </c>
      <c r="G80" s="1">
        <v>0.43424212966607628</v>
      </c>
      <c r="H80" s="1">
        <v>3.0814454076641951E-2</v>
      </c>
      <c r="I80" s="1">
        <v>-0.31197688310962401</v>
      </c>
      <c r="J80" s="1">
        <v>-0.3560018182892391</v>
      </c>
      <c r="K80" s="1">
        <v>7.9989616258842253E-2</v>
      </c>
      <c r="L80" s="1">
        <v>-0.20589711704635771</v>
      </c>
      <c r="M80" s="1">
        <v>-0.43815142957808351</v>
      </c>
      <c r="N80" s="1">
        <v>-0.79735713326278268</v>
      </c>
      <c r="O80" s="1">
        <v>-0.1345759889347736</v>
      </c>
      <c r="P80" s="1">
        <v>0.27050850940737609</v>
      </c>
      <c r="Q80" s="1">
        <v>0.63046640738248039</v>
      </c>
      <c r="R80" s="1">
        <v>1.4260472220684261E-2</v>
      </c>
      <c r="S80" s="1">
        <v>0.59202521719053403</v>
      </c>
      <c r="T80" s="1">
        <v>0.61397200493999271</v>
      </c>
      <c r="U80" s="1">
        <v>0.56600939510823745</v>
      </c>
      <c r="V80" s="1">
        <v>0.41330839623427801</v>
      </c>
      <c r="W80" s="1">
        <v>1.0498033719132269</v>
      </c>
      <c r="X80" s="1">
        <v>1.2483365641534629</v>
      </c>
      <c r="Y80" s="1">
        <v>1.5806333803100121</v>
      </c>
      <c r="Z80" s="1">
        <v>1.576093374941149</v>
      </c>
      <c r="AA80" s="1">
        <v>1.722479709459612</v>
      </c>
      <c r="AB80" s="1">
        <v>1.778628400923137</v>
      </c>
    </row>
    <row r="81" spans="1:28" x14ac:dyDescent="0.35">
      <c r="A81" s="1" t="s">
        <v>30</v>
      </c>
      <c r="B81" s="1">
        <v>11.14318622026609</v>
      </c>
      <c r="C81" s="1">
        <v>10.16786546955384</v>
      </c>
      <c r="D81" s="1">
        <v>9.3630799011990185</v>
      </c>
      <c r="E81" s="1">
        <v>9.6424172035976667</v>
      </c>
      <c r="F81" s="1">
        <v>9.7349863575930584</v>
      </c>
      <c r="G81" s="1">
        <v>10.01475310115163</v>
      </c>
      <c r="H81" s="1">
        <v>10.10092407757309</v>
      </c>
      <c r="I81" s="1">
        <v>10.62002884109295</v>
      </c>
      <c r="J81" s="1">
        <v>10.28858065752558</v>
      </c>
      <c r="K81" s="1">
        <v>9.2922384981691639</v>
      </c>
      <c r="L81" s="1">
        <v>8.9056111806439677</v>
      </c>
      <c r="M81" s="1">
        <v>8.9380565288637879</v>
      </c>
      <c r="N81" s="1">
        <v>8.7317175103495313</v>
      </c>
      <c r="O81" s="1">
        <v>8.6766183936398527</v>
      </c>
      <c r="P81" s="1">
        <v>8.5014506175556797</v>
      </c>
      <c r="Q81" s="1">
        <v>8.3948360284623682</v>
      </c>
      <c r="R81" s="1">
        <v>8.4552349899544552</v>
      </c>
      <c r="S81" s="1">
        <v>8.1978610609456286</v>
      </c>
      <c r="T81" s="1">
        <v>7.9451547650009262</v>
      </c>
      <c r="U81" s="1">
        <v>9.0020391128580108</v>
      </c>
      <c r="V81" s="1">
        <v>9.3157436583834681</v>
      </c>
      <c r="W81" s="1">
        <v>8.6695448487484814</v>
      </c>
      <c r="X81" s="1">
        <v>8.561495517066998</v>
      </c>
      <c r="Y81" s="1">
        <v>8.4142672384774819</v>
      </c>
      <c r="Z81" s="1">
        <v>7.4871117735602351</v>
      </c>
      <c r="AA81" s="1">
        <v>7.1930144897285881</v>
      </c>
      <c r="AB81" s="1">
        <v>6.8954985235501196</v>
      </c>
    </row>
    <row r="82" spans="1:28" x14ac:dyDescent="0.35">
      <c r="A82" s="1" t="s">
        <v>31</v>
      </c>
      <c r="B82" s="1">
        <v>-0.67513530138571054</v>
      </c>
      <c r="C82" s="1">
        <v>-0.71873433643589058</v>
      </c>
      <c r="D82" s="1">
        <v>2.6332224707336649</v>
      </c>
      <c r="E82" s="1">
        <v>1.586938136708349</v>
      </c>
      <c r="F82" s="1">
        <v>2.9642923506523009</v>
      </c>
      <c r="G82" s="1">
        <v>5.3020687169318768</v>
      </c>
      <c r="H82" s="1">
        <v>4.212164877709915</v>
      </c>
      <c r="I82" s="1">
        <v>3.7253271223644711</v>
      </c>
      <c r="J82" s="1">
        <v>3.7395152737577009</v>
      </c>
      <c r="K82" s="1">
        <v>4.0632552989194117</v>
      </c>
      <c r="L82" s="1">
        <v>4.0778750393742893</v>
      </c>
      <c r="M82" s="1">
        <v>3.2478352455551671</v>
      </c>
      <c r="N82" s="1">
        <v>2.4698256077149399</v>
      </c>
      <c r="O82" s="1">
        <v>3.907727695775753</v>
      </c>
      <c r="P82" s="1">
        <v>5.1756594230958211</v>
      </c>
      <c r="Q82" s="1">
        <v>5.490179616303406</v>
      </c>
      <c r="R82" s="1">
        <v>4.9744132954154852</v>
      </c>
      <c r="S82" s="1">
        <v>5.5384642686468224</v>
      </c>
      <c r="T82" s="1">
        <v>5.7647605578799341</v>
      </c>
      <c r="U82" s="1">
        <v>5.5290941304470014</v>
      </c>
      <c r="V82" s="1">
        <v>5.3148535154792294</v>
      </c>
      <c r="W82" s="1">
        <v>6.2378440665973809</v>
      </c>
      <c r="X82" s="1">
        <v>6.0705612056743439</v>
      </c>
      <c r="Y82" s="1">
        <v>5.8765311993854654</v>
      </c>
      <c r="Z82" s="1">
        <v>5.3422773120441596</v>
      </c>
      <c r="AA82" s="1">
        <v>5.9103752195296719</v>
      </c>
      <c r="AB82" s="1">
        <v>5.8162247485715666</v>
      </c>
    </row>
    <row r="83" spans="1:28" x14ac:dyDescent="0.35">
      <c r="A83" s="1" t="s">
        <v>32</v>
      </c>
      <c r="B83" s="1">
        <v>0.38888721240650642</v>
      </c>
      <c r="C83" s="1">
        <v>-2.9265927437380719E-2</v>
      </c>
      <c r="D83" s="1">
        <v>-0.15890253448380581</v>
      </c>
      <c r="E83" s="1">
        <v>-7.5586328096465344E-2</v>
      </c>
      <c r="F83" s="1">
        <v>-0.1115041990388265</v>
      </c>
      <c r="G83" s="1">
        <v>4.0973749484756961E-2</v>
      </c>
      <c r="H83" s="1">
        <v>4.4371081928297453E-2</v>
      </c>
      <c r="I83" s="1">
        <v>2.4306154723353849E-2</v>
      </c>
      <c r="J83" s="1">
        <v>-0.27177959477270952</v>
      </c>
      <c r="K83" s="1">
        <v>-0.1838344545619264</v>
      </c>
      <c r="L83" s="1">
        <v>-0.19039306784169249</v>
      </c>
      <c r="M83" s="1">
        <v>-0.49602119074589462</v>
      </c>
      <c r="N83" s="1">
        <v>-0.32011796443460588</v>
      </c>
      <c r="O83" s="1">
        <v>-0.36885062609294111</v>
      </c>
      <c r="P83" s="1">
        <v>-0.1356891273597676</v>
      </c>
      <c r="Q83" s="1">
        <v>-5.6801466308199433E-2</v>
      </c>
      <c r="R83" s="1">
        <v>-0.1573878340416423</v>
      </c>
      <c r="S83" s="1">
        <v>-9.4083117427478068E-3</v>
      </c>
      <c r="T83" s="1">
        <v>-7.7396994890510884E-2</v>
      </c>
      <c r="U83" s="1">
        <v>-0.24043106089399691</v>
      </c>
      <c r="V83" s="1">
        <v>-0.2697399963958349</v>
      </c>
      <c r="W83" s="1">
        <v>-0.107373002231951</v>
      </c>
      <c r="X83" s="1">
        <v>-0.12708093954638361</v>
      </c>
      <c r="Y83" s="1">
        <v>-0.12993551732237629</v>
      </c>
      <c r="Z83" s="1">
        <v>2.359602270191163E-3</v>
      </c>
      <c r="AA83" s="1">
        <v>0.24900343856616761</v>
      </c>
      <c r="AB83" s="1">
        <v>0.34653039311611278</v>
      </c>
    </row>
    <row r="84" spans="1:28" x14ac:dyDescent="0.35">
      <c r="A84" s="1" t="s">
        <v>33</v>
      </c>
      <c r="B84" s="1">
        <v>142.59541064139469</v>
      </c>
      <c r="C84" s="1">
        <v>143.5212995285155</v>
      </c>
      <c r="D84" s="1">
        <v>147.85967511599199</v>
      </c>
      <c r="E84" s="1">
        <v>146.38698737277659</v>
      </c>
      <c r="F84" s="1">
        <v>147.9573995213444</v>
      </c>
      <c r="G84" s="1">
        <v>149.8976456718438</v>
      </c>
      <c r="H84" s="1">
        <v>148.1247590427941</v>
      </c>
      <c r="I84" s="1">
        <v>146.34357793976369</v>
      </c>
      <c r="J84" s="1">
        <v>145.97184247669449</v>
      </c>
      <c r="K84" s="1">
        <v>148.1733005246455</v>
      </c>
      <c r="L84" s="1">
        <v>148.1482363938587</v>
      </c>
      <c r="M84" s="1">
        <v>146.4665157336913</v>
      </c>
      <c r="N84" s="1">
        <v>145.7365935120375</v>
      </c>
      <c r="O84" s="1">
        <v>148.28499293899159</v>
      </c>
      <c r="P84" s="1">
        <v>150.55200243609761</v>
      </c>
      <c r="Q84" s="1">
        <v>151.73826914821541</v>
      </c>
      <c r="R84" s="1">
        <v>150.36892794864849</v>
      </c>
      <c r="S84" s="1">
        <v>152.56980104248251</v>
      </c>
      <c r="T84" s="1">
        <v>153.3930216016976</v>
      </c>
      <c r="U84" s="1">
        <v>152.40272810034921</v>
      </c>
      <c r="V84" s="1">
        <v>151.8465393852527</v>
      </c>
      <c r="W84" s="1">
        <v>154.30356903558331</v>
      </c>
      <c r="X84" s="1">
        <v>154.649310429563</v>
      </c>
      <c r="Y84" s="1">
        <v>155.3470713893999</v>
      </c>
      <c r="Z84" s="1">
        <v>155.6727234580826</v>
      </c>
      <c r="AA84" s="1">
        <v>157.0772685048868</v>
      </c>
      <c r="AB84" s="1">
        <v>157.46719924131051</v>
      </c>
    </row>
    <row r="85" spans="1:28" x14ac:dyDescent="0.35">
      <c r="A85" s="1" t="s">
        <v>34</v>
      </c>
      <c r="B85" s="1">
        <v>201888152.72</v>
      </c>
      <c r="C85" s="1">
        <v>185072686.63</v>
      </c>
      <c r="D85" s="1">
        <v>190395043.75</v>
      </c>
      <c r="E85" s="1">
        <v>158735152.59</v>
      </c>
      <c r="F85" s="1">
        <v>248193788.47</v>
      </c>
      <c r="G85" s="1">
        <v>353371336.25</v>
      </c>
      <c r="H85" s="1">
        <v>278610011.97000003</v>
      </c>
      <c r="I85" s="1">
        <v>235348703.33000001</v>
      </c>
      <c r="J85" s="1">
        <v>232216204.68000001</v>
      </c>
      <c r="K85" s="1">
        <v>224244785.43000001</v>
      </c>
      <c r="L85" s="1">
        <v>189280366.91999999</v>
      </c>
      <c r="M85" s="1">
        <v>141612204.72999999</v>
      </c>
      <c r="N85" s="1">
        <v>122504212.06999999</v>
      </c>
      <c r="O85" s="1">
        <v>127234817.54000001</v>
      </c>
      <c r="P85" s="1">
        <v>182122228.44</v>
      </c>
      <c r="Q85" s="1">
        <v>236472398.94</v>
      </c>
      <c r="R85" s="1">
        <v>385727806.63</v>
      </c>
      <c r="S85" s="1">
        <v>418222280.01999998</v>
      </c>
      <c r="T85" s="1">
        <v>308691888.72000003</v>
      </c>
      <c r="U85" s="1">
        <v>332993118.26999998</v>
      </c>
      <c r="V85" s="1">
        <v>532984714.86000001</v>
      </c>
      <c r="W85" s="1">
        <v>521119576.01999998</v>
      </c>
      <c r="X85" s="1">
        <v>442964022.52999997</v>
      </c>
      <c r="Y85" s="1">
        <v>360514928.63</v>
      </c>
      <c r="Z85" s="1">
        <v>469206041.94999993</v>
      </c>
      <c r="AA85" s="1">
        <v>470079255.82000011</v>
      </c>
      <c r="AB85" s="1">
        <v>46340546.960000001</v>
      </c>
    </row>
    <row r="86" spans="1:28" x14ac:dyDescent="0.35">
      <c r="A86" s="1" t="s">
        <v>35</v>
      </c>
      <c r="B86" s="1">
        <v>1.805447141561173</v>
      </c>
      <c r="C86" s="1">
        <v>1.80434736492875</v>
      </c>
      <c r="D86" s="1">
        <v>1.6154667841809549</v>
      </c>
      <c r="E86" s="1">
        <v>1.6660550464058439</v>
      </c>
      <c r="F86" s="1">
        <v>1.557552769541805</v>
      </c>
      <c r="G86" s="1">
        <v>1.4086749510405361</v>
      </c>
      <c r="H86" s="1">
        <v>1.477536991972106</v>
      </c>
      <c r="I86" s="1">
        <v>1.528901995358777</v>
      </c>
      <c r="J86" s="1">
        <v>1.5202027735072039</v>
      </c>
      <c r="K86" s="1">
        <v>1.5137281199704979</v>
      </c>
      <c r="L86" s="1">
        <v>1.5119549376556449</v>
      </c>
      <c r="M86" s="1">
        <v>1.4932327954532261</v>
      </c>
      <c r="N86" s="1">
        <v>1.496400757991827</v>
      </c>
      <c r="O86" s="1">
        <v>1.442595193616532</v>
      </c>
      <c r="P86" s="1">
        <v>1.3969609912304211</v>
      </c>
      <c r="Q86" s="1">
        <v>1.4268749284705311</v>
      </c>
      <c r="R86" s="1">
        <v>1.466461938958928</v>
      </c>
      <c r="S86" s="1">
        <v>1.4540022726163231</v>
      </c>
      <c r="T86" s="1">
        <v>1.438001553816102</v>
      </c>
      <c r="U86" s="1">
        <v>1.4482680675761961</v>
      </c>
      <c r="V86" s="1">
        <v>1.448489718357997</v>
      </c>
      <c r="W86" s="1">
        <v>1.4130756842995389</v>
      </c>
      <c r="X86" s="1">
        <v>1.4155464518867931</v>
      </c>
      <c r="Y86" s="1">
        <v>1.4116594740852759</v>
      </c>
      <c r="Z86" s="1">
        <v>1.462544565004374</v>
      </c>
      <c r="AA86" s="1">
        <v>1.474196421583122</v>
      </c>
      <c r="AB86" s="1">
        <v>1.483037073713247</v>
      </c>
    </row>
    <row r="87" spans="1:28" x14ac:dyDescent="0.35">
      <c r="A87" s="1" t="s">
        <v>36</v>
      </c>
      <c r="B87" s="1">
        <v>0.23910977350551491</v>
      </c>
      <c r="C87" s="1">
        <v>0.2449712134904371</v>
      </c>
      <c r="D87" s="1">
        <v>0.24707704305290781</v>
      </c>
      <c r="E87" s="1">
        <v>0.2455513663778626</v>
      </c>
      <c r="F87" s="1">
        <v>0.24522321022551799</v>
      </c>
      <c r="G87" s="1">
        <v>0.24269715091003949</v>
      </c>
      <c r="H87" s="1">
        <v>0.24279402729520619</v>
      </c>
      <c r="I87" s="1">
        <v>0.243776408552206</v>
      </c>
      <c r="J87" s="1">
        <v>0.24776545115590101</v>
      </c>
      <c r="K87" s="1">
        <v>0.24689385356172111</v>
      </c>
      <c r="L87" s="1">
        <v>0.2469595930091194</v>
      </c>
      <c r="M87" s="1">
        <v>0.2492579127518201</v>
      </c>
      <c r="N87" s="1">
        <v>0.24544101022465281</v>
      </c>
      <c r="O87" s="1">
        <v>0.2470793414542512</v>
      </c>
      <c r="P87" s="1">
        <v>0.24463468790708359</v>
      </c>
      <c r="Q87" s="1">
        <v>0.24498981698621999</v>
      </c>
      <c r="R87" s="1">
        <v>0.24670986147859719</v>
      </c>
      <c r="S87" s="1">
        <v>0.24523014797650081</v>
      </c>
      <c r="T87" s="1">
        <v>0.24611909327530321</v>
      </c>
      <c r="U87" s="1">
        <v>0.2483380630774335</v>
      </c>
      <c r="V87" s="1">
        <v>0.24837775996213471</v>
      </c>
      <c r="W87" s="1">
        <v>0.24663617620179409</v>
      </c>
      <c r="X87" s="1">
        <v>0.24669212426437781</v>
      </c>
      <c r="Y87" s="1">
        <v>0.2462645210616915</v>
      </c>
      <c r="Z87" s="1">
        <v>0.24497025583272811</v>
      </c>
      <c r="AA87" s="1">
        <v>0.2428264473718208</v>
      </c>
      <c r="AB87" s="1">
        <v>0.24153429870883961</v>
      </c>
    </row>
    <row r="89" spans="1:28" x14ac:dyDescent="0.35">
      <c r="A89" s="1" t="s">
        <v>44</v>
      </c>
      <c r="B89" s="1" t="s">
        <v>1</v>
      </c>
      <c r="C89" s="1" t="s">
        <v>2</v>
      </c>
      <c r="D89" s="1" t="s">
        <v>3</v>
      </c>
      <c r="E89" s="1" t="s">
        <v>4</v>
      </c>
      <c r="F89" s="1" t="s">
        <v>5</v>
      </c>
      <c r="G89" s="1" t="s">
        <v>6</v>
      </c>
      <c r="H89" s="1" t="s">
        <v>7</v>
      </c>
      <c r="I89" s="1" t="s">
        <v>8</v>
      </c>
      <c r="J89" s="1" t="s">
        <v>9</v>
      </c>
      <c r="K89" s="1" t="s">
        <v>10</v>
      </c>
      <c r="L89" s="1" t="s">
        <v>11</v>
      </c>
      <c r="M89" s="1" t="s">
        <v>12</v>
      </c>
      <c r="N89" s="1" t="s">
        <v>13</v>
      </c>
      <c r="O89" s="1" t="s">
        <v>14</v>
      </c>
      <c r="P89" s="1" t="s">
        <v>15</v>
      </c>
      <c r="Q89" s="1" t="s">
        <v>16</v>
      </c>
      <c r="R89" s="1" t="s">
        <v>17</v>
      </c>
      <c r="S89" s="1" t="s">
        <v>18</v>
      </c>
      <c r="T89" s="1" t="s">
        <v>19</v>
      </c>
      <c r="U89" s="1" t="s">
        <v>20</v>
      </c>
      <c r="V89" s="1" t="s">
        <v>21</v>
      </c>
      <c r="W89" s="1" t="s">
        <v>22</v>
      </c>
      <c r="X89" s="1" t="s">
        <v>23</v>
      </c>
      <c r="Y89" s="1" t="s">
        <v>24</v>
      </c>
      <c r="Z89" s="1" t="s">
        <v>25</v>
      </c>
      <c r="AA89" s="1" t="s">
        <v>26</v>
      </c>
      <c r="AB89" s="1" t="s">
        <v>27</v>
      </c>
    </row>
    <row r="90" spans="1:28" x14ac:dyDescent="0.35">
      <c r="A90" s="1" t="s">
        <v>28</v>
      </c>
      <c r="B90" s="1">
        <v>135.07354589069459</v>
      </c>
      <c r="C90" s="1">
        <v>136.9085149996443</v>
      </c>
      <c r="D90" s="1">
        <v>138.31400814389889</v>
      </c>
      <c r="E90" s="1">
        <v>137.43935382938591</v>
      </c>
      <c r="F90" s="1">
        <v>136.73561648723711</v>
      </c>
      <c r="G90" s="1">
        <v>136.22335804422909</v>
      </c>
      <c r="H90" s="1">
        <v>135.7655989707097</v>
      </c>
      <c r="I90" s="1">
        <v>134.6443987526188</v>
      </c>
      <c r="J90" s="1">
        <v>134.55063338422261</v>
      </c>
      <c r="K90" s="1">
        <v>136.53580137320421</v>
      </c>
      <c r="L90" s="1">
        <v>137.31174854957371</v>
      </c>
      <c r="M90" s="1">
        <v>138.0906817609403</v>
      </c>
      <c r="N90" s="1">
        <v>139.33240938181709</v>
      </c>
      <c r="O90" s="1">
        <v>139.7011973069414</v>
      </c>
      <c r="P90" s="1">
        <v>138.77840129417399</v>
      </c>
      <c r="Q90" s="1">
        <v>138.69312683152251</v>
      </c>
      <c r="R90" s="1">
        <v>138.9088773563054</v>
      </c>
      <c r="S90" s="1">
        <v>139.57949225659601</v>
      </c>
      <c r="T90" s="1">
        <v>140.02200862557919</v>
      </c>
      <c r="U90" s="1">
        <v>139.0832864162509</v>
      </c>
      <c r="V90" s="1">
        <v>138.76959032173241</v>
      </c>
      <c r="W90" s="1">
        <v>139.49858860088699</v>
      </c>
      <c r="X90" s="1">
        <v>139.8381800812742</v>
      </c>
      <c r="Y90" s="1">
        <v>140.57889122992</v>
      </c>
      <c r="Z90" s="1">
        <v>141.88712626906349</v>
      </c>
      <c r="AA90" s="1">
        <v>142.45269717463071</v>
      </c>
      <c r="AB90" s="1">
        <v>142.63031717514949</v>
      </c>
    </row>
    <row r="91" spans="1:28" x14ac:dyDescent="0.35">
      <c r="A91" s="1" t="s">
        <v>29</v>
      </c>
      <c r="B91" s="1">
        <v>1.64903830611837</v>
      </c>
      <c r="C91" s="1">
        <v>1.5435763318758009</v>
      </c>
      <c r="D91" s="1">
        <v>1.488895431233628</v>
      </c>
      <c r="E91" s="1">
        <v>1.3729398073562871</v>
      </c>
      <c r="F91" s="1">
        <v>1.6010102929816961</v>
      </c>
      <c r="G91" s="1">
        <v>1.3045889153226231</v>
      </c>
      <c r="H91" s="1">
        <v>1.0289617369289381</v>
      </c>
      <c r="I91" s="1">
        <v>0.7021295081762492</v>
      </c>
      <c r="J91" s="1">
        <v>0.28997340166164598</v>
      </c>
      <c r="K91" s="1">
        <v>0.55593849012344898</v>
      </c>
      <c r="L91" s="1">
        <v>0.33683265431486692</v>
      </c>
      <c r="M91" s="1">
        <v>0.25372915085448999</v>
      </c>
      <c r="N91" s="1">
        <v>9.2029101645861477E-2</v>
      </c>
      <c r="O91" s="1">
        <v>0.3535336878382892</v>
      </c>
      <c r="P91" s="1">
        <v>0.45160925273432551</v>
      </c>
      <c r="Q91" s="1">
        <v>0.68774701583263043</v>
      </c>
      <c r="R91" s="1">
        <v>0.31653768879822408</v>
      </c>
      <c r="S91" s="1">
        <v>0.77659520353076505</v>
      </c>
      <c r="T91" s="1">
        <v>0.75571895286411384</v>
      </c>
      <c r="U91" s="1">
        <v>0.59192346628329728</v>
      </c>
      <c r="V91" s="1">
        <v>0.3554390496490018</v>
      </c>
      <c r="W91" s="1">
        <v>0.975551525583645</v>
      </c>
      <c r="X91" s="1">
        <v>0.95562159024223159</v>
      </c>
      <c r="Y91" s="1">
        <v>1.0959411411508879</v>
      </c>
      <c r="Z91" s="1">
        <v>0.88068390709643973</v>
      </c>
      <c r="AA91" s="1">
        <v>0.97529942452870444</v>
      </c>
      <c r="AB91" s="1">
        <v>1.778628400923137</v>
      </c>
    </row>
    <row r="92" spans="1:28" x14ac:dyDescent="0.35">
      <c r="A92" s="1" t="s">
        <v>30</v>
      </c>
      <c r="B92" s="1">
        <v>8.5018962194208765</v>
      </c>
      <c r="C92" s="1">
        <v>7.7575514277932864</v>
      </c>
      <c r="D92" s="1">
        <v>7.0814142611599369</v>
      </c>
      <c r="E92" s="1">
        <v>7.5334244914108019</v>
      </c>
      <c r="F92" s="1">
        <v>7.8301291621171956</v>
      </c>
      <c r="G92" s="1">
        <v>8.2284911753016843</v>
      </c>
      <c r="H92" s="1">
        <v>8.4057673869532756</v>
      </c>
      <c r="I92" s="1">
        <v>8.7690467427756822</v>
      </c>
      <c r="J92" s="1">
        <v>8.7854795990487222</v>
      </c>
      <c r="K92" s="1">
        <v>7.6915765807790786</v>
      </c>
      <c r="L92" s="1">
        <v>7.2788002719601881</v>
      </c>
      <c r="M92" s="1">
        <v>6.88762232283002</v>
      </c>
      <c r="N92" s="1">
        <v>6.2192246938192453</v>
      </c>
      <c r="O92" s="1">
        <v>6.1903183927776251</v>
      </c>
      <c r="P92" s="1">
        <v>6.944785193189948</v>
      </c>
      <c r="Q92" s="1">
        <v>7.2418765254928523</v>
      </c>
      <c r="R92" s="1">
        <v>6.8606878081708107</v>
      </c>
      <c r="S92" s="1">
        <v>6.8318241317084434</v>
      </c>
      <c r="T92" s="1">
        <v>6.5689382917102792</v>
      </c>
      <c r="U92" s="1">
        <v>7.2228424073321777</v>
      </c>
      <c r="V92" s="1">
        <v>7.4415359743130836</v>
      </c>
      <c r="W92" s="1">
        <v>7.2073344491416407</v>
      </c>
      <c r="X92" s="1">
        <v>7.049213554191966</v>
      </c>
      <c r="Y92" s="1">
        <v>6.7675335133796786</v>
      </c>
      <c r="Z92" s="1">
        <v>5.9472754382187496</v>
      </c>
      <c r="AA92" s="1">
        <v>5.8407031029197238</v>
      </c>
      <c r="AB92" s="1">
        <v>6.8954985235501196</v>
      </c>
    </row>
    <row r="93" spans="1:28" x14ac:dyDescent="0.35">
      <c r="A93" s="1" t="s">
        <v>31</v>
      </c>
      <c r="B93" s="1">
        <v>-1.022375545854072</v>
      </c>
      <c r="C93" s="1">
        <v>-1.210239876836843</v>
      </c>
      <c r="D93" s="1">
        <v>1.0953416341306219</v>
      </c>
      <c r="E93" s="1">
        <v>-0.23769099139898861</v>
      </c>
      <c r="F93" s="1">
        <v>1.262659287213622</v>
      </c>
      <c r="G93" s="1">
        <v>3.4730986735577889</v>
      </c>
      <c r="H93" s="1">
        <v>2.5401322320598858</v>
      </c>
      <c r="I93" s="1">
        <v>2.2584445841555438</v>
      </c>
      <c r="J93" s="1">
        <v>1.842868907516338</v>
      </c>
      <c r="K93" s="1">
        <v>1.814092962229753</v>
      </c>
      <c r="L93" s="1">
        <v>1.3382584591461439</v>
      </c>
      <c r="M93" s="1">
        <v>0.20621721059359349</v>
      </c>
      <c r="N93" s="1">
        <v>-0.56832864297323005</v>
      </c>
      <c r="O93" s="1">
        <v>0.62857140352031082</v>
      </c>
      <c r="P93" s="1">
        <v>1.587487811091963</v>
      </c>
      <c r="Q93" s="1">
        <v>2.23991646377663</v>
      </c>
      <c r="R93" s="1">
        <v>0.84178611373806267</v>
      </c>
      <c r="S93" s="1">
        <v>2.8238950035435622</v>
      </c>
      <c r="T93" s="1">
        <v>2.3745443255511729</v>
      </c>
      <c r="U93" s="1">
        <v>2.4771532471989688</v>
      </c>
      <c r="V93" s="1">
        <v>2.6814900282500149</v>
      </c>
      <c r="W93" s="1">
        <v>3.4971250922070269</v>
      </c>
      <c r="X93" s="1">
        <v>3.105161580849833</v>
      </c>
      <c r="Y93" s="1">
        <v>2.9437720962196892</v>
      </c>
      <c r="Z93" s="1">
        <v>2.6073336004373662</v>
      </c>
      <c r="AA93" s="1">
        <v>3.3204280016675658</v>
      </c>
      <c r="AB93" s="1">
        <v>5.8162247485715666</v>
      </c>
    </row>
    <row r="94" spans="1:28" x14ac:dyDescent="0.35">
      <c r="A94" s="1" t="s">
        <v>32</v>
      </c>
      <c r="B94" s="1">
        <v>0.27476445798746929</v>
      </c>
      <c r="C94" s="1">
        <v>6.3881487636637868E-2</v>
      </c>
      <c r="D94" s="1">
        <v>-3.0169820135509132E-2</v>
      </c>
      <c r="E94" s="1">
        <v>3.8006179594546739E-2</v>
      </c>
      <c r="F94" s="1">
        <v>1.7487202451257011E-2</v>
      </c>
      <c r="G94" s="1">
        <v>7.8058001212466366E-2</v>
      </c>
      <c r="H94" s="1">
        <v>0.23766868405010691</v>
      </c>
      <c r="I94" s="1">
        <v>0.20592346242161921</v>
      </c>
      <c r="J94" s="1">
        <v>-6.7495858835502076E-2</v>
      </c>
      <c r="K94" s="1">
        <v>-2.6696706000985199E-2</v>
      </c>
      <c r="L94" s="1">
        <v>-3.8458329193720768E-2</v>
      </c>
      <c r="M94" s="1">
        <v>-0.1179262538076456</v>
      </c>
      <c r="N94" s="1">
        <v>-0.17318845447200509</v>
      </c>
      <c r="O94" s="1">
        <v>-0.16922139233196909</v>
      </c>
      <c r="P94" s="1">
        <v>-7.4776013786214526E-2</v>
      </c>
      <c r="Q94" s="1">
        <v>-3.798554671792246E-2</v>
      </c>
      <c r="R94" s="1">
        <v>-0.12031074950948351</v>
      </c>
      <c r="S94" s="1">
        <v>5.6686191137071212E-2</v>
      </c>
      <c r="T94" s="1">
        <v>4.9222749074215597E-3</v>
      </c>
      <c r="U94" s="1">
        <v>-7.9772663144226041E-2</v>
      </c>
      <c r="V94" s="1">
        <v>-0.164420299648212</v>
      </c>
      <c r="W94" s="1">
        <v>-7.1481593784849223E-2</v>
      </c>
      <c r="X94" s="1">
        <v>-6.2178633205811837E-2</v>
      </c>
      <c r="Y94" s="1">
        <v>7.622738343592475E-2</v>
      </c>
      <c r="Z94" s="1">
        <v>0.1106324325882659</v>
      </c>
      <c r="AA94" s="1">
        <v>0.27362907818576271</v>
      </c>
      <c r="AB94" s="1">
        <v>0.34653039311611278</v>
      </c>
    </row>
    <row r="95" spans="1:28" x14ac:dyDescent="0.35">
      <c r="A95" s="1" t="s">
        <v>33</v>
      </c>
      <c r="B95" s="1">
        <v>144.47686932836729</v>
      </c>
      <c r="C95" s="1">
        <v>145.06328437011319</v>
      </c>
      <c r="D95" s="1">
        <v>147.94948965028749</v>
      </c>
      <c r="E95" s="1">
        <v>146.14603331634851</v>
      </c>
      <c r="F95" s="1">
        <v>147.44690243200091</v>
      </c>
      <c r="G95" s="1">
        <v>149.30759480962371</v>
      </c>
      <c r="H95" s="1">
        <v>147.97812901070191</v>
      </c>
      <c r="I95" s="1">
        <v>146.5799430501479</v>
      </c>
      <c r="J95" s="1">
        <v>145.40145943361381</v>
      </c>
      <c r="K95" s="1">
        <v>146.57071270033549</v>
      </c>
      <c r="L95" s="1">
        <v>146.22718160580109</v>
      </c>
      <c r="M95" s="1">
        <v>145.3203241914108</v>
      </c>
      <c r="N95" s="1">
        <v>144.90214607983691</v>
      </c>
      <c r="O95" s="1">
        <v>146.70439939874561</v>
      </c>
      <c r="P95" s="1">
        <v>147.687507537404</v>
      </c>
      <c r="Q95" s="1">
        <v>148.82468128990669</v>
      </c>
      <c r="R95" s="1">
        <v>146.80757821750299</v>
      </c>
      <c r="S95" s="1">
        <v>150.06849278651589</v>
      </c>
      <c r="T95" s="1">
        <v>149.72613247061221</v>
      </c>
      <c r="U95" s="1">
        <v>149.2954328739211</v>
      </c>
      <c r="V95" s="1">
        <v>149.08363507429621</v>
      </c>
      <c r="W95" s="1">
        <v>151.1071180740345</v>
      </c>
      <c r="X95" s="1">
        <v>150.88599817335239</v>
      </c>
      <c r="Y95" s="1">
        <v>151.46236536410609</v>
      </c>
      <c r="Z95" s="1">
        <v>151.43305164740431</v>
      </c>
      <c r="AA95" s="1">
        <v>152.8627567819324</v>
      </c>
      <c r="AB95" s="1">
        <v>157.46719924131051</v>
      </c>
    </row>
    <row r="96" spans="1:28" x14ac:dyDescent="0.35">
      <c r="A96" s="1" t="s">
        <v>34</v>
      </c>
      <c r="B96" s="1">
        <v>442652288.98000002</v>
      </c>
      <c r="C96" s="1">
        <v>395566482.07999998</v>
      </c>
      <c r="D96" s="1">
        <v>463714743.67000002</v>
      </c>
      <c r="E96" s="1">
        <v>389847322.17000002</v>
      </c>
      <c r="F96" s="1">
        <v>616606467.25999999</v>
      </c>
      <c r="G96" s="1">
        <v>726342082.07000005</v>
      </c>
      <c r="H96" s="1">
        <v>618803763.25999999</v>
      </c>
      <c r="I96" s="1">
        <v>522794251.26999998</v>
      </c>
      <c r="J96" s="1">
        <v>453641206.36000001</v>
      </c>
      <c r="K96" s="1">
        <v>579749877.91999996</v>
      </c>
      <c r="L96" s="1">
        <v>483297174.94</v>
      </c>
      <c r="M96" s="1">
        <v>364320330.63000011</v>
      </c>
      <c r="N96" s="1">
        <v>382339944.76999998</v>
      </c>
      <c r="O96" s="1">
        <v>384938928.58999997</v>
      </c>
      <c r="P96" s="1">
        <v>328232525.31</v>
      </c>
      <c r="Q96" s="1">
        <v>361326096.55000001</v>
      </c>
      <c r="R96" s="1">
        <v>775476575.47000003</v>
      </c>
      <c r="S96" s="1">
        <v>743862308.31999993</v>
      </c>
      <c r="T96" s="1">
        <v>609051018.61000001</v>
      </c>
      <c r="U96" s="1">
        <v>620640804.46000004</v>
      </c>
      <c r="V96" s="1">
        <v>973771145.6500001</v>
      </c>
      <c r="W96" s="1">
        <v>906068335.35000014</v>
      </c>
      <c r="X96" s="1">
        <v>821551903.46999991</v>
      </c>
      <c r="Y96" s="1">
        <v>701684670.56000006</v>
      </c>
      <c r="Z96" s="1">
        <v>1028852316.61</v>
      </c>
      <c r="AA96" s="1">
        <v>927475903.70000005</v>
      </c>
      <c r="AB96" s="1">
        <v>46340546.960000001</v>
      </c>
    </row>
    <row r="97" spans="1:28" x14ac:dyDescent="0.35">
      <c r="A97" s="1" t="s">
        <v>35</v>
      </c>
      <c r="B97" s="1">
        <v>1.752919280752522</v>
      </c>
      <c r="C97" s="1">
        <v>1.769378236305901</v>
      </c>
      <c r="D97" s="1">
        <v>1.5991734357326359</v>
      </c>
      <c r="E97" s="1">
        <v>1.7009538430756761</v>
      </c>
      <c r="F97" s="1">
        <v>1.570651239873422</v>
      </c>
      <c r="G97" s="1">
        <v>1.420915192686153</v>
      </c>
      <c r="H97" s="1">
        <v>1.4811159629228641</v>
      </c>
      <c r="I97" s="1">
        <v>1.5098801282630221</v>
      </c>
      <c r="J97" s="1">
        <v>1.560729723353558</v>
      </c>
      <c r="K97" s="1">
        <v>1.5385578088877989</v>
      </c>
      <c r="L97" s="1">
        <v>1.5828564141426029</v>
      </c>
      <c r="M97" s="1">
        <v>1.6479722604074429</v>
      </c>
      <c r="N97" s="1">
        <v>1.68305787353126</v>
      </c>
      <c r="O97" s="1">
        <v>1.601283309842839</v>
      </c>
      <c r="P97" s="1">
        <v>1.599113950864671</v>
      </c>
      <c r="Q97" s="1">
        <v>1.605700485492819</v>
      </c>
      <c r="R97" s="1">
        <v>1.6762909792026119</v>
      </c>
      <c r="S97" s="1">
        <v>1.539782240139602</v>
      </c>
      <c r="T97" s="1">
        <v>1.562487810803844</v>
      </c>
      <c r="U97" s="1">
        <v>1.558244000132442</v>
      </c>
      <c r="V97" s="1">
        <v>1.533138073605379</v>
      </c>
      <c r="W97" s="1">
        <v>1.496436036346195</v>
      </c>
      <c r="X97" s="1">
        <v>1.51113831076064</v>
      </c>
      <c r="Y97" s="1">
        <v>1.505203961159729</v>
      </c>
      <c r="Z97" s="1">
        <v>1.516399207012523</v>
      </c>
      <c r="AA97" s="1">
        <v>1.501910045298199</v>
      </c>
      <c r="AB97" s="1">
        <v>1.483037073713247</v>
      </c>
    </row>
    <row r="98" spans="1:28" x14ac:dyDescent="0.35">
      <c r="A98" s="1" t="s">
        <v>36</v>
      </c>
      <c r="B98" s="1">
        <v>0.24289249160550219</v>
      </c>
      <c r="C98" s="1">
        <v>0.2459422699523291</v>
      </c>
      <c r="D98" s="1">
        <v>0.24802902862718251</v>
      </c>
      <c r="E98" s="1">
        <v>0.24667692696807841</v>
      </c>
      <c r="F98" s="1">
        <v>0.24670651117128631</v>
      </c>
      <c r="G98" s="1">
        <v>0.245169655265463</v>
      </c>
      <c r="H98" s="1">
        <v>0.24197116616676501</v>
      </c>
      <c r="I98" s="1">
        <v>0.24291299052629689</v>
      </c>
      <c r="J98" s="1">
        <v>0.24728193951814151</v>
      </c>
      <c r="K98" s="1">
        <v>0.24782251888378121</v>
      </c>
      <c r="L98" s="1">
        <v>0.2480156620842775</v>
      </c>
      <c r="M98" s="1">
        <v>0.2480658697971308</v>
      </c>
      <c r="N98" s="1">
        <v>0.25009137039627632</v>
      </c>
      <c r="O98" s="1">
        <v>0.2500742820298813</v>
      </c>
      <c r="P98" s="1">
        <v>0.2470117623152287</v>
      </c>
      <c r="Q98" s="1">
        <v>0.24673888417039941</v>
      </c>
      <c r="R98" s="1">
        <v>0.24928708423548901</v>
      </c>
      <c r="S98" s="1">
        <v>0.24595613618246839</v>
      </c>
      <c r="T98" s="1">
        <v>0.24706266356581971</v>
      </c>
      <c r="U98" s="1">
        <v>0.24802642704416891</v>
      </c>
      <c r="V98" s="1">
        <v>0.24948088582188499</v>
      </c>
      <c r="W98" s="1">
        <v>0.24827909078443319</v>
      </c>
      <c r="X98" s="1">
        <v>0.2480771023007188</v>
      </c>
      <c r="Y98" s="1">
        <v>0.24493821205890021</v>
      </c>
      <c r="Z98" s="1">
        <v>0.2452983635652245</v>
      </c>
      <c r="AA98" s="1">
        <v>0.2431240696448014</v>
      </c>
      <c r="AB98" s="1">
        <v>0.24153429870883961</v>
      </c>
    </row>
  </sheetData>
  <conditionalFormatting sqref="B37:AB3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8:AB4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59:AA5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70:AB7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92:AB9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FD3CE-58BE-4DAF-A5E6-28B039F0CFA1}">
  <dimension ref="A1:AB268"/>
  <sheetViews>
    <sheetView tabSelected="1" topLeftCell="E31" zoomScale="71" zoomScaleNormal="70" workbookViewId="0">
      <selection activeCell="W50" sqref="W50"/>
    </sheetView>
  </sheetViews>
  <sheetFormatPr defaultRowHeight="14.5" x14ac:dyDescent="0.35"/>
  <cols>
    <col min="1" max="1" width="9.26953125" bestFit="1" customWidth="1"/>
    <col min="2" max="2" width="12.453125" bestFit="1" customWidth="1"/>
    <col min="3" max="3" width="12.54296875" bestFit="1" customWidth="1"/>
    <col min="4" max="26" width="12.1796875" bestFit="1" customWidth="1"/>
    <col min="27" max="27" width="11.453125" bestFit="1" customWidth="1"/>
  </cols>
  <sheetData>
    <row r="1" spans="1:28" x14ac:dyDescent="0.35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/>
    </row>
    <row r="2" spans="1:28" x14ac:dyDescent="0.35">
      <c r="A2" t="s">
        <v>0</v>
      </c>
      <c r="B2">
        <v>145.62898018101799</v>
      </c>
      <c r="C2">
        <v>145.30604716651749</v>
      </c>
      <c r="D2">
        <v>150.70493980898101</v>
      </c>
      <c r="E2">
        <v>151.79133073185699</v>
      </c>
      <c r="F2">
        <v>150.44976731661259</v>
      </c>
      <c r="G2">
        <v>153.8662917093055</v>
      </c>
      <c r="H2">
        <v>152.25588468730459</v>
      </c>
      <c r="I2">
        <v>151.66915094261259</v>
      </c>
      <c r="J2">
        <v>150.80824952522391</v>
      </c>
      <c r="K2">
        <v>149.9916572158252</v>
      </c>
      <c r="L2">
        <v>149.1705612989189</v>
      </c>
      <c r="M2">
        <v>148.20431260137971</v>
      </c>
      <c r="N2">
        <v>147.4174094352889</v>
      </c>
      <c r="O2">
        <v>149.6923998632158</v>
      </c>
      <c r="P2">
        <v>150.0585186238871</v>
      </c>
      <c r="Q2">
        <v>149.78528702465201</v>
      </c>
      <c r="R2">
        <v>148.86909308190559</v>
      </c>
      <c r="S2">
        <v>151.11424782925121</v>
      </c>
      <c r="T2">
        <v>153.27714121293749</v>
      </c>
      <c r="U2">
        <v>152.59318962071089</v>
      </c>
      <c r="V2">
        <v>152.89809646142211</v>
      </c>
      <c r="W2">
        <v>155.68355613719419</v>
      </c>
      <c r="X2">
        <v>156.699795562638</v>
      </c>
      <c r="Y2">
        <v>157.2912445673779</v>
      </c>
      <c r="Z2">
        <v>157.62788320362691</v>
      </c>
      <c r="AA2">
        <v>158.995940515374</v>
      </c>
    </row>
    <row r="3" spans="1:28" x14ac:dyDescent="0.35">
      <c r="A3" t="s">
        <v>37</v>
      </c>
      <c r="B3">
        <v>143.70770613151689</v>
      </c>
      <c r="C3">
        <v>144.33617975921771</v>
      </c>
      <c r="D3">
        <v>144.3825408318084</v>
      </c>
      <c r="E3">
        <v>141.11527446606459</v>
      </c>
      <c r="F3">
        <v>148.04342905904861</v>
      </c>
      <c r="G3">
        <v>152.06142123544609</v>
      </c>
      <c r="H3">
        <v>150.03413209742271</v>
      </c>
      <c r="I3">
        <v>146.09734588747469</v>
      </c>
      <c r="J3">
        <v>146.96744627692661</v>
      </c>
      <c r="K3">
        <v>149.84894136750171</v>
      </c>
      <c r="L3">
        <v>150.45547627774911</v>
      </c>
      <c r="M3">
        <v>150.97346614542619</v>
      </c>
      <c r="N3">
        <v>151.79547151119709</v>
      </c>
      <c r="O3">
        <v>154.6605707263428</v>
      </c>
      <c r="P3">
        <v>155.3745795870727</v>
      </c>
      <c r="Q3">
        <v>154.90815659171619</v>
      </c>
      <c r="R3">
        <v>153.34085792554521</v>
      </c>
      <c r="S3">
        <v>155.1691773142278</v>
      </c>
      <c r="T3">
        <v>155.94168704374559</v>
      </c>
      <c r="U3">
        <v>154.89230146446269</v>
      </c>
      <c r="V3">
        <v>154.91360269025819</v>
      </c>
      <c r="W3">
        <v>156.95903650650121</v>
      </c>
      <c r="X3">
        <v>157.62460500336451</v>
      </c>
      <c r="Y3">
        <v>158.78827564052699</v>
      </c>
      <c r="Z3">
        <v>158.05412114403271</v>
      </c>
      <c r="AA3">
        <v>158.3924751841372</v>
      </c>
    </row>
    <row r="4" spans="1:28" x14ac:dyDescent="0.35">
      <c r="A4" t="s">
        <v>38</v>
      </c>
      <c r="B4">
        <v>140.57873662912931</v>
      </c>
      <c r="C4">
        <v>141.35566354188811</v>
      </c>
      <c r="D4">
        <v>147.79688302511121</v>
      </c>
      <c r="E4">
        <v>148.19587654318471</v>
      </c>
      <c r="F4">
        <v>150.4600441235429</v>
      </c>
      <c r="G4">
        <v>153.22988571534211</v>
      </c>
      <c r="H4">
        <v>152.30516009391411</v>
      </c>
      <c r="I4">
        <v>150.79734641793371</v>
      </c>
      <c r="J4">
        <v>150.99810984987931</v>
      </c>
      <c r="K4">
        <v>153.32966576882279</v>
      </c>
      <c r="L4">
        <v>152.60342598930109</v>
      </c>
      <c r="M4">
        <v>155.27349561839111</v>
      </c>
      <c r="N4">
        <v>154.62697980835861</v>
      </c>
      <c r="O4">
        <v>153.27000813216441</v>
      </c>
      <c r="P4">
        <v>156.13834064865731</v>
      </c>
      <c r="Q4">
        <v>155.8867812019989</v>
      </c>
      <c r="R4">
        <v>153.40671051208039</v>
      </c>
      <c r="S4">
        <v>156.0189714324527</v>
      </c>
      <c r="T4">
        <v>157.51269723505601</v>
      </c>
      <c r="U4">
        <v>156.69601196574999</v>
      </c>
      <c r="V4">
        <v>155.84116303992661</v>
      </c>
      <c r="W4">
        <v>158.01595645688619</v>
      </c>
      <c r="X4">
        <v>158.30233955007071</v>
      </c>
      <c r="Y4">
        <v>160.02005941153041</v>
      </c>
      <c r="Z4">
        <v>159.70831649571721</v>
      </c>
      <c r="AA4">
        <v>160.4726724767321</v>
      </c>
    </row>
    <row r="5" spans="1:28" x14ac:dyDescent="0.35">
      <c r="A5" t="s">
        <v>39</v>
      </c>
      <c r="B5">
        <v>141.62053703424439</v>
      </c>
      <c r="C5">
        <v>144.5474331172378</v>
      </c>
      <c r="D5">
        <v>148.81395558330911</v>
      </c>
      <c r="E5">
        <v>151.61334842190411</v>
      </c>
      <c r="F5">
        <v>149.09275432145941</v>
      </c>
      <c r="G5">
        <v>148.57251129573919</v>
      </c>
      <c r="H5">
        <v>147.43476110804829</v>
      </c>
      <c r="I5">
        <v>146.6600424150308</v>
      </c>
      <c r="J5">
        <v>144.4226596882545</v>
      </c>
      <c r="K5">
        <v>145.98610997743211</v>
      </c>
      <c r="L5">
        <v>147.8414984760114</v>
      </c>
      <c r="M5">
        <v>149.11836878824241</v>
      </c>
      <c r="N5">
        <v>151.17192905964379</v>
      </c>
      <c r="O5">
        <v>149.0749454419263</v>
      </c>
      <c r="P5">
        <v>150.6190602196028</v>
      </c>
      <c r="Q5">
        <v>151.40991976224981</v>
      </c>
      <c r="R5">
        <v>148.66479651433411</v>
      </c>
      <c r="S5">
        <v>149.82349188957059</v>
      </c>
      <c r="T5">
        <v>151.72492125190121</v>
      </c>
      <c r="U5">
        <v>150.67072128294879</v>
      </c>
      <c r="V5">
        <v>148.6058605103982</v>
      </c>
      <c r="W5">
        <v>148.6492734496681</v>
      </c>
      <c r="X5">
        <v>149.13547726900319</v>
      </c>
      <c r="Y5">
        <v>148.75922966632891</v>
      </c>
      <c r="Z5">
        <v>148.94895861202741</v>
      </c>
      <c r="AA5">
        <v>149.22902335865169</v>
      </c>
    </row>
    <row r="6" spans="1:28" x14ac:dyDescent="0.35">
      <c r="A6" t="s">
        <v>40</v>
      </c>
      <c r="B6">
        <v>143.78794779504341</v>
      </c>
      <c r="C6">
        <v>144.2089140674648</v>
      </c>
      <c r="D6">
        <v>148.88364229640331</v>
      </c>
      <c r="E6">
        <v>145.23655108203971</v>
      </c>
      <c r="F6">
        <v>145.09734299985519</v>
      </c>
      <c r="G6">
        <v>145.61777561619641</v>
      </c>
      <c r="H6">
        <v>143.06696563165099</v>
      </c>
      <c r="I6">
        <v>141.325242224308</v>
      </c>
      <c r="J6">
        <v>140.52656031927319</v>
      </c>
      <c r="K6">
        <v>142.5961744307719</v>
      </c>
      <c r="L6">
        <v>142.68208832207009</v>
      </c>
      <c r="M6">
        <v>140.75039642093401</v>
      </c>
      <c r="N6">
        <v>141.55042042703241</v>
      </c>
      <c r="O6">
        <v>143.80819922672299</v>
      </c>
      <c r="P6">
        <v>145.8582258733604</v>
      </c>
      <c r="Q6">
        <v>147.11562533276751</v>
      </c>
      <c r="R6">
        <v>146.21180614932109</v>
      </c>
      <c r="S6">
        <v>147.2777892220771</v>
      </c>
      <c r="T6">
        <v>147.04869082222291</v>
      </c>
      <c r="U6">
        <v>146.28462850391051</v>
      </c>
      <c r="V6">
        <v>145.98511611012921</v>
      </c>
      <c r="W6">
        <v>148.51110701618441</v>
      </c>
      <c r="X6">
        <v>148.70585765943929</v>
      </c>
      <c r="Y6">
        <v>149.62336471555739</v>
      </c>
      <c r="Z6">
        <v>150.5812617880531</v>
      </c>
      <c r="AA6">
        <v>151.44955102983531</v>
      </c>
    </row>
    <row r="7" spans="1:28" x14ac:dyDescent="0.35">
      <c r="A7" t="s">
        <v>41</v>
      </c>
      <c r="B7">
        <v>146.05453045610969</v>
      </c>
      <c r="C7">
        <v>146.4190453642419</v>
      </c>
      <c r="D7">
        <v>148.0120546325833</v>
      </c>
      <c r="E7">
        <v>145.98053844438309</v>
      </c>
      <c r="F7">
        <v>147.10298862582241</v>
      </c>
      <c r="G7">
        <v>148.74855079886689</v>
      </c>
      <c r="H7">
        <v>147.85804275149971</v>
      </c>
      <c r="I7">
        <v>146.77346917236491</v>
      </c>
      <c r="J7">
        <v>144.80327862985141</v>
      </c>
      <c r="K7">
        <v>145.55983558384179</v>
      </c>
      <c r="L7">
        <v>144.99045654370121</v>
      </c>
      <c r="M7">
        <v>144.59150160943591</v>
      </c>
      <c r="N7">
        <v>144.508730885809</v>
      </c>
      <c r="O7">
        <v>145.9240217405131</v>
      </c>
      <c r="P7">
        <v>144.11699809706491</v>
      </c>
      <c r="Q7">
        <v>143.30635765540089</v>
      </c>
      <c r="R7">
        <v>143.2829702385589</v>
      </c>
      <c r="S7">
        <v>146.85604114995141</v>
      </c>
      <c r="T7">
        <v>145.95751411026421</v>
      </c>
      <c r="U7">
        <v>145.69829659746139</v>
      </c>
      <c r="V7">
        <v>145.7428204223539</v>
      </c>
      <c r="W7">
        <v>146.77996249948421</v>
      </c>
      <c r="X7">
        <v>146.4827617810293</v>
      </c>
      <c r="Y7">
        <v>147.35738668828719</v>
      </c>
      <c r="Z7">
        <v>147.87852136724851</v>
      </c>
      <c r="AA7">
        <v>148.53138587321769</v>
      </c>
    </row>
    <row r="9" spans="1:28" x14ac:dyDescent="0.35">
      <c r="A9" t="s">
        <v>127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7</v>
      </c>
      <c r="I9" t="s">
        <v>8</v>
      </c>
      <c r="J9" t="s">
        <v>9</v>
      </c>
      <c r="K9" t="s">
        <v>10</v>
      </c>
      <c r="L9" t="s">
        <v>11</v>
      </c>
      <c r="M9" t="s">
        <v>12</v>
      </c>
      <c r="N9" t="s">
        <v>13</v>
      </c>
      <c r="O9" t="s">
        <v>14</v>
      </c>
      <c r="P9" t="s">
        <v>15</v>
      </c>
      <c r="Q9" t="s">
        <v>16</v>
      </c>
      <c r="R9" t="s">
        <v>17</v>
      </c>
      <c r="S9" t="s">
        <v>18</v>
      </c>
      <c r="T9" t="s">
        <v>19</v>
      </c>
      <c r="U9" t="s">
        <v>20</v>
      </c>
      <c r="V9" t="s">
        <v>21</v>
      </c>
      <c r="W9" t="s">
        <v>22</v>
      </c>
      <c r="X9" t="s">
        <v>23</v>
      </c>
      <c r="Y9" t="s">
        <v>24</v>
      </c>
      <c r="Z9" t="s">
        <v>25</v>
      </c>
      <c r="AA9" t="s">
        <v>26</v>
      </c>
    </row>
    <row r="10" spans="1:28" x14ac:dyDescent="0.35">
      <c r="A10" t="s">
        <v>124</v>
      </c>
      <c r="B10">
        <v>143.70770613151689</v>
      </c>
      <c r="C10">
        <v>144.33617975921771</v>
      </c>
      <c r="D10">
        <v>144.3825408318084</v>
      </c>
      <c r="E10">
        <v>141.11527446606459</v>
      </c>
      <c r="F10">
        <v>148.04342905904861</v>
      </c>
      <c r="G10">
        <v>152.06142123544609</v>
      </c>
      <c r="H10">
        <v>150.03413209742271</v>
      </c>
      <c r="I10">
        <v>146.09734588747469</v>
      </c>
      <c r="J10">
        <v>146.96744627692661</v>
      </c>
      <c r="K10">
        <v>149.84894136750171</v>
      </c>
      <c r="L10">
        <v>150.45547627774911</v>
      </c>
      <c r="M10">
        <v>150.97346614542619</v>
      </c>
      <c r="N10">
        <v>151.79547151119709</v>
      </c>
      <c r="O10">
        <v>154.6605707263428</v>
      </c>
      <c r="P10">
        <v>155.3745795870727</v>
      </c>
      <c r="Q10">
        <v>154.90815659171619</v>
      </c>
      <c r="R10">
        <v>153.34085792554521</v>
      </c>
      <c r="S10">
        <v>155.1691773142278</v>
      </c>
      <c r="T10">
        <v>155.94168704374559</v>
      </c>
      <c r="U10">
        <v>154.89230146446269</v>
      </c>
      <c r="V10">
        <v>154.91360269025819</v>
      </c>
      <c r="W10">
        <v>156.95903650650121</v>
      </c>
      <c r="X10">
        <v>157.62460500336451</v>
      </c>
      <c r="Y10">
        <v>158.78827564052699</v>
      </c>
      <c r="Z10">
        <v>158.05412114403271</v>
      </c>
      <c r="AA10">
        <v>158.3924751841372</v>
      </c>
    </row>
    <row r="11" spans="1:28" x14ac:dyDescent="0.35">
      <c r="A11" t="s">
        <v>128</v>
      </c>
      <c r="B11">
        <v>132.43533014143671</v>
      </c>
      <c r="C11">
        <v>134.32701748262849</v>
      </c>
      <c r="D11">
        <v>134.4441474685745</v>
      </c>
      <c r="E11">
        <v>132.4918365705544</v>
      </c>
      <c r="F11">
        <v>138.15225203393311</v>
      </c>
      <c r="G11">
        <v>140.81310640583609</v>
      </c>
      <c r="H11">
        <v>138.62933658859279</v>
      </c>
      <c r="I11">
        <v>133.58505610900201</v>
      </c>
      <c r="J11">
        <v>134.25944340273381</v>
      </c>
      <c r="K11">
        <v>138.30864305403591</v>
      </c>
      <c r="L11">
        <v>139.31618659532199</v>
      </c>
      <c r="M11">
        <v>140.9029735872771</v>
      </c>
      <c r="N11">
        <v>142.53062039226589</v>
      </c>
      <c r="O11">
        <v>144.97430897744809</v>
      </c>
      <c r="P11">
        <v>145.64892606538791</v>
      </c>
      <c r="Q11">
        <v>144.02876372368851</v>
      </c>
      <c r="R11">
        <v>141.6251544555156</v>
      </c>
      <c r="S11">
        <v>144.71982456441751</v>
      </c>
      <c r="T11">
        <v>146.7404864660802</v>
      </c>
      <c r="U11">
        <v>146.2121138863109</v>
      </c>
      <c r="V11">
        <v>146.32626710994521</v>
      </c>
      <c r="W11">
        <v>149.13290112636179</v>
      </c>
      <c r="X11">
        <v>150.67461399186811</v>
      </c>
      <c r="Y11">
        <v>153.79965957290219</v>
      </c>
      <c r="Z11">
        <v>152.71455228778149</v>
      </c>
      <c r="AA11">
        <v>153.39253515911591</v>
      </c>
    </row>
    <row r="12" spans="1:28" x14ac:dyDescent="0.35">
      <c r="A12" t="s">
        <v>125</v>
      </c>
      <c r="B12" s="3">
        <v>0.24870200000000001</v>
      </c>
      <c r="C12" s="3">
        <v>0.24296799999999999</v>
      </c>
      <c r="D12" s="3">
        <v>0.235211</v>
      </c>
      <c r="E12" s="3">
        <v>0.244117</v>
      </c>
      <c r="F12" s="3">
        <v>0.258297</v>
      </c>
      <c r="G12" s="3">
        <v>0.28937600000000002</v>
      </c>
      <c r="H12" s="3">
        <v>0.313166</v>
      </c>
      <c r="I12" s="3">
        <v>0.35226800000000003</v>
      </c>
      <c r="J12" s="3">
        <v>0.38755000000000001</v>
      </c>
      <c r="K12" s="3">
        <v>0.352215</v>
      </c>
      <c r="L12" s="3">
        <v>0.34040199999999998</v>
      </c>
      <c r="M12" s="3">
        <v>0.31087799999999999</v>
      </c>
      <c r="N12" s="3">
        <v>0.29383999999999999</v>
      </c>
      <c r="O12" s="3">
        <v>0.248617</v>
      </c>
      <c r="P12" s="3">
        <v>0.234626</v>
      </c>
      <c r="Q12" s="3">
        <v>0.20764299999999999</v>
      </c>
      <c r="R12" s="3">
        <v>0.217144</v>
      </c>
      <c r="S12" s="3">
        <v>0.178149</v>
      </c>
      <c r="T12" s="3">
        <v>0.130103</v>
      </c>
      <c r="U12" s="3">
        <v>0.14355499999999999</v>
      </c>
      <c r="V12" s="3">
        <v>0.114463</v>
      </c>
      <c r="W12" s="3">
        <v>7.7670000000000003E-2</v>
      </c>
      <c r="X12" s="3">
        <v>3.9634999999999997E-2</v>
      </c>
      <c r="Y12" s="3">
        <v>1.1422E-2</v>
      </c>
      <c r="Z12" s="3">
        <v>7.94E-4</v>
      </c>
      <c r="AA12" s="3">
        <v>0</v>
      </c>
    </row>
    <row r="13" spans="1:28" x14ac:dyDescent="0.35">
      <c r="B13">
        <v>154.19999999999999</v>
      </c>
      <c r="C13">
        <v>149.36666666666667</v>
      </c>
      <c r="D13">
        <v>176.93333333333331</v>
      </c>
      <c r="E13">
        <v>176.83333333333334</v>
      </c>
      <c r="F13">
        <v>184.4</v>
      </c>
      <c r="G13">
        <v>215.0333333333333</v>
      </c>
      <c r="H13">
        <v>219.9666666666667</v>
      </c>
      <c r="I13">
        <v>251.43333333333331</v>
      </c>
      <c r="J13">
        <v>243.13333333333335</v>
      </c>
      <c r="K13">
        <v>243</v>
      </c>
      <c r="L13">
        <v>229.79999999999998</v>
      </c>
      <c r="M13">
        <v>222.29999999999998</v>
      </c>
      <c r="N13">
        <v>227.16666666666666</v>
      </c>
      <c r="O13">
        <v>223.6</v>
      </c>
      <c r="P13">
        <v>211.70000000000002</v>
      </c>
      <c r="Q13">
        <v>206.36666666666667</v>
      </c>
      <c r="R13">
        <v>203.19999999999996</v>
      </c>
      <c r="S13">
        <v>198.70000000000002</v>
      </c>
      <c r="T13">
        <v>200.86666666666667</v>
      </c>
      <c r="U13">
        <v>203.26666666666665</v>
      </c>
      <c r="V13">
        <v>204.73333333333335</v>
      </c>
      <c r="W13">
        <v>207.56666666666669</v>
      </c>
      <c r="X13">
        <v>205.4</v>
      </c>
      <c r="Y13">
        <v>203.73333333333335</v>
      </c>
      <c r="Z13">
        <v>213.22451005378721</v>
      </c>
      <c r="AA13">
        <v>214.40223148673942</v>
      </c>
    </row>
    <row r="14" spans="1:28" x14ac:dyDescent="0.35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8" x14ac:dyDescent="0.35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8" x14ac:dyDescent="0.35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8" x14ac:dyDescent="0.35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8" x14ac:dyDescent="0.35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20" spans="1:28" x14ac:dyDescent="0.35">
      <c r="A20" t="s">
        <v>126</v>
      </c>
      <c r="B20">
        <v>145.62898018101799</v>
      </c>
      <c r="C20">
        <v>145.30604716651749</v>
      </c>
      <c r="D20">
        <v>150.70493980898101</v>
      </c>
      <c r="E20">
        <v>151.79133073185699</v>
      </c>
      <c r="F20">
        <v>150.44976731661259</v>
      </c>
      <c r="G20">
        <v>153.8662917093055</v>
      </c>
      <c r="H20">
        <v>152.25588468730459</v>
      </c>
      <c r="I20">
        <v>151.66915094261259</v>
      </c>
      <c r="J20">
        <v>150.80824952522391</v>
      </c>
      <c r="K20">
        <v>149.9916572158252</v>
      </c>
      <c r="L20">
        <v>149.1705612989189</v>
      </c>
      <c r="M20">
        <v>148.20431260137971</v>
      </c>
      <c r="N20">
        <v>147.4174094352889</v>
      </c>
      <c r="O20">
        <v>149.6923998632158</v>
      </c>
      <c r="P20">
        <v>150.0585186238871</v>
      </c>
      <c r="Q20">
        <v>149.78528702465201</v>
      </c>
      <c r="R20">
        <v>148.86909308190559</v>
      </c>
      <c r="S20">
        <v>151.11424782925121</v>
      </c>
      <c r="T20">
        <v>153.27714121293749</v>
      </c>
      <c r="U20">
        <v>152.59318962071089</v>
      </c>
      <c r="V20">
        <v>152.89809646142211</v>
      </c>
      <c r="W20">
        <v>155.68355613719419</v>
      </c>
      <c r="X20">
        <v>156.699795562638</v>
      </c>
      <c r="Y20">
        <v>157.2912445673779</v>
      </c>
      <c r="Z20">
        <v>157.62788320362691</v>
      </c>
      <c r="AA20">
        <v>158.995940515374</v>
      </c>
    </row>
    <row r="21" spans="1:28" x14ac:dyDescent="0.35">
      <c r="A21" t="s">
        <v>128</v>
      </c>
      <c r="B21">
        <v>133.3583882803259</v>
      </c>
      <c r="C21">
        <v>134.04562713075589</v>
      </c>
      <c r="D21">
        <v>138.84030212908019</v>
      </c>
      <c r="E21">
        <v>140.94698628254719</v>
      </c>
      <c r="F21">
        <v>138.86901405527209</v>
      </c>
      <c r="G21">
        <v>141.66945690380689</v>
      </c>
      <c r="H21">
        <v>140.23993961585481</v>
      </c>
      <c r="I21">
        <v>138.55243926080911</v>
      </c>
      <c r="J21">
        <v>137.26257817569751</v>
      </c>
      <c r="K21">
        <v>137.5857868990629</v>
      </c>
      <c r="L21">
        <v>136.84568869518091</v>
      </c>
      <c r="M21">
        <v>137.23084530829561</v>
      </c>
      <c r="N21">
        <v>136.4060094135786</v>
      </c>
      <c r="O21">
        <v>138.20176725015801</v>
      </c>
      <c r="P21">
        <v>138.04160019869099</v>
      </c>
      <c r="Q21">
        <v>138.38354323638251</v>
      </c>
      <c r="R21">
        <v>137.4946624399625</v>
      </c>
      <c r="S21">
        <v>140.30608570420921</v>
      </c>
      <c r="T21">
        <v>143.22034569507821</v>
      </c>
      <c r="U21">
        <v>142.4736353334074</v>
      </c>
      <c r="V21">
        <v>142.29975840916029</v>
      </c>
      <c r="W21">
        <v>146.34102791922501</v>
      </c>
      <c r="X21">
        <v>148.776679843956</v>
      </c>
      <c r="Y21">
        <v>149.8415547210264</v>
      </c>
      <c r="Z21">
        <v>150.10857493870009</v>
      </c>
      <c r="AA21">
        <v>152.7881609992769</v>
      </c>
    </row>
    <row r="22" spans="1:28" x14ac:dyDescent="0.35">
      <c r="A22" t="s">
        <v>125</v>
      </c>
      <c r="B22" s="3">
        <v>0.208014</v>
      </c>
      <c r="C22" s="3">
        <v>0.20316799999999999</v>
      </c>
      <c r="D22" s="3">
        <v>0.197605</v>
      </c>
      <c r="E22" s="3">
        <v>0.189164</v>
      </c>
      <c r="F22" s="3">
        <v>0.23125200000000001</v>
      </c>
      <c r="G22" s="3">
        <v>0.22098499999999999</v>
      </c>
      <c r="H22" s="3">
        <v>0.25409700000000002</v>
      </c>
      <c r="I22" s="3">
        <v>0.27640900000000002</v>
      </c>
      <c r="J22" s="3">
        <v>0.32262200000000002</v>
      </c>
      <c r="K22" s="3">
        <v>0.330181</v>
      </c>
      <c r="L22" s="3">
        <v>0.30524000000000001</v>
      </c>
      <c r="M22" s="3">
        <v>0.28538599999999997</v>
      </c>
      <c r="N22" s="3">
        <v>0.28809299999999999</v>
      </c>
      <c r="O22" s="3">
        <v>0.25897700000000001</v>
      </c>
      <c r="P22" s="3">
        <v>0.24296200000000001</v>
      </c>
      <c r="Q22" s="3">
        <v>0.21248400000000001</v>
      </c>
      <c r="R22" s="3">
        <v>0.19005</v>
      </c>
      <c r="S22" s="3">
        <v>0.154335</v>
      </c>
      <c r="T22" s="3">
        <v>0.11640300000000001</v>
      </c>
      <c r="U22" s="3">
        <v>0.104768</v>
      </c>
      <c r="V22" s="3">
        <v>9.6953999999999999E-2</v>
      </c>
      <c r="W22" s="3">
        <v>5.3903E-2</v>
      </c>
      <c r="X22" s="3">
        <v>2.7154999999999999E-2</v>
      </c>
      <c r="Y22" s="3">
        <v>9.4059999999999994E-3</v>
      </c>
      <c r="Z22" s="3">
        <v>5.6499999999999996E-4</v>
      </c>
    </row>
    <row r="23" spans="1:28" x14ac:dyDescent="0.35">
      <c r="A23" t="s">
        <v>146</v>
      </c>
      <c r="B23">
        <v>154.19999999999999</v>
      </c>
      <c r="C23">
        <v>154.19999999999999</v>
      </c>
      <c r="D23">
        <v>149.36666666666667</v>
      </c>
      <c r="E23">
        <v>176.93333333333331</v>
      </c>
      <c r="F23">
        <v>176.83333333333334</v>
      </c>
      <c r="G23">
        <v>184.4</v>
      </c>
      <c r="H23">
        <v>215.0333333333333</v>
      </c>
      <c r="I23">
        <v>219.9666666666667</v>
      </c>
      <c r="J23">
        <v>251.43333333333331</v>
      </c>
      <c r="K23">
        <v>243.13333333333335</v>
      </c>
      <c r="L23">
        <v>243</v>
      </c>
      <c r="M23">
        <v>229.79999999999998</v>
      </c>
      <c r="N23">
        <v>222.29999999999998</v>
      </c>
      <c r="O23">
        <v>227.16666666666666</v>
      </c>
      <c r="P23">
        <v>223.6</v>
      </c>
      <c r="Q23">
        <v>211.70000000000002</v>
      </c>
      <c r="R23">
        <v>206.36666666666667</v>
      </c>
      <c r="S23">
        <v>203.19999999999996</v>
      </c>
      <c r="T23">
        <v>198.70000000000002</v>
      </c>
      <c r="U23">
        <v>200.86666666666667</v>
      </c>
      <c r="V23">
        <v>203.26666666666665</v>
      </c>
      <c r="W23">
        <v>204.73333333333335</v>
      </c>
      <c r="X23">
        <v>207.56666666666669</v>
      </c>
      <c r="Y23">
        <v>205.4</v>
      </c>
      <c r="Z23">
        <v>203.73333333333335</v>
      </c>
      <c r="AA23">
        <v>213.22451005378721</v>
      </c>
    </row>
    <row r="24" spans="1:28" x14ac:dyDescent="0.3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8" x14ac:dyDescent="0.35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8" x14ac:dyDescent="0.35">
      <c r="A26" t="s">
        <v>178</v>
      </c>
      <c r="B26" s="3"/>
      <c r="C26" s="3">
        <f>C20+$B$30*(C23-B23)</f>
        <v>145.30604716651749</v>
      </c>
      <c r="D26" s="3">
        <f>D20+$B$30*(D23-C23)</f>
        <v>149.25493980898102</v>
      </c>
      <c r="E26" s="3">
        <f>E20+$B$30*(E23-D23)</f>
        <v>160.06133073185697</v>
      </c>
      <c r="F26" s="3">
        <f>F20+$B$30*(F23-E23)</f>
        <v>150.41976731661259</v>
      </c>
      <c r="G26" s="3">
        <f>G20+$B$30*(G23-F23)</f>
        <v>156.13629170930551</v>
      </c>
      <c r="H26" s="3">
        <f>H20+$B$30*(H23-G23)</f>
        <v>161.44588468730458</v>
      </c>
      <c r="I26" s="3">
        <f>I20+$B$30*(I23-H23)</f>
        <v>153.14915094261261</v>
      </c>
      <c r="J26" s="3">
        <f>J20+$B$30*(J23-I23)</f>
        <v>160.24824952522391</v>
      </c>
      <c r="K26" s="3">
        <f>K20+$B$30*(K23-J23)</f>
        <v>147.50165721582522</v>
      </c>
      <c r="L26" s="3">
        <f>L20+$B$30*(L23-K23)</f>
        <v>149.13056129891891</v>
      </c>
      <c r="M26" s="3">
        <f>M20+$B$30*(M23-L23)</f>
        <v>144.2443126013797</v>
      </c>
      <c r="N26" s="3">
        <f>N20+$B$30*(N23-M23)</f>
        <v>145.1674094352889</v>
      </c>
      <c r="O26" s="3">
        <f>O20+$B$30*(O23-N23)</f>
        <v>151.15239986321581</v>
      </c>
      <c r="P26" s="3">
        <f>P20+$B$30*(P23-O23)</f>
        <v>148.9885186238871</v>
      </c>
      <c r="Q26" s="3">
        <f>Q20+$B$30*(Q23-P23)</f>
        <v>146.21528702465201</v>
      </c>
      <c r="R26" s="3">
        <f>R20+$B$30*(R23-Q23)</f>
        <v>147.26909308190559</v>
      </c>
      <c r="S26" s="3">
        <f>S20+$B$30*(S23-R23)</f>
        <v>150.1642478292512</v>
      </c>
      <c r="T26" s="3">
        <f>T20+$B$30*(T23-S23)</f>
        <v>151.9271412129375</v>
      </c>
      <c r="U26" s="3">
        <f>U20+$B$30*(U23-T23)</f>
        <v>153.24318962071089</v>
      </c>
      <c r="V26" s="3">
        <f>V20+$B$30*(V23-U23)</f>
        <v>153.61809646142211</v>
      </c>
      <c r="W26" s="3">
        <f>W20+$B$30*(W23-V23)</f>
        <v>156.12355613719419</v>
      </c>
      <c r="X26" s="3">
        <f>X20+$B$30*(X23-W23)</f>
        <v>157.549795562638</v>
      </c>
      <c r="Y26" s="3">
        <f>Y20+$B$30*(Y23-X23)</f>
        <v>156.6412445673779</v>
      </c>
      <c r="Z26" s="3">
        <f>Z20+$B$30*(Z23-Y23)</f>
        <v>157.12788320362691</v>
      </c>
      <c r="AA26" s="3">
        <f>AA20+$B$30*(AA23-Z23)</f>
        <v>161.84329353151017</v>
      </c>
      <c r="AB26" s="3"/>
    </row>
    <row r="27" spans="1:28" x14ac:dyDescent="0.35">
      <c r="A27" t="s">
        <v>180</v>
      </c>
      <c r="B27" s="3"/>
      <c r="C27" s="3">
        <f>C21+$B$30*(C23-B23)</f>
        <v>134.04562713075589</v>
      </c>
      <c r="D27" s="3">
        <f>D21+$B$30*(D23-C23)</f>
        <v>137.3903021290802</v>
      </c>
      <c r="E27" s="3">
        <f>E21+$B$30*(E23-D23)</f>
        <v>149.21698628254717</v>
      </c>
      <c r="F27" s="3">
        <f>F21+$B$30*(F23-E23)</f>
        <v>138.83901405527209</v>
      </c>
      <c r="G27" s="3">
        <f>G21+$B$30*(G23-F23)</f>
        <v>143.9394569038069</v>
      </c>
      <c r="H27" s="3">
        <f>H21+$B$30*(H23-G23)</f>
        <v>149.42993961585481</v>
      </c>
      <c r="I27" s="3">
        <f>I21+$B$30*(I23-H23)</f>
        <v>140.03243926080913</v>
      </c>
      <c r="J27" s="3">
        <f>J21+$B$30*(J23-I23)</f>
        <v>146.70257817569751</v>
      </c>
      <c r="K27" s="3">
        <f>K21+$B$30*(K23-J23)</f>
        <v>135.09578689906292</v>
      </c>
      <c r="L27" s="3">
        <f>L21+$B$30*(L23-K23)</f>
        <v>136.80568869518089</v>
      </c>
      <c r="M27" s="3">
        <f>M21+$B$30*(M23-L23)</f>
        <v>133.27084530829561</v>
      </c>
      <c r="N27" s="3">
        <f>N21+$B$30*(N23-M23)</f>
        <v>134.1560094135786</v>
      </c>
      <c r="O27" s="3">
        <f>O21+$B$30*(O23-N23)</f>
        <v>139.66176725015802</v>
      </c>
      <c r="P27" s="3">
        <f>P21+$B$30*(P23-O23)</f>
        <v>136.97160019869099</v>
      </c>
      <c r="Q27" s="3">
        <f>Q21+$B$30*(Q23-P23)</f>
        <v>134.81354323638251</v>
      </c>
      <c r="R27" s="3">
        <f>R21+$B$30*(R23-Q23)</f>
        <v>135.8946624399625</v>
      </c>
      <c r="S27" s="3">
        <f>S21+$B$30*(S23-R23)</f>
        <v>139.35608570420919</v>
      </c>
      <c r="T27" s="3">
        <f>T21+$B$30*(T23-S23)</f>
        <v>141.87034569507821</v>
      </c>
      <c r="U27" s="3">
        <f>U21+$B$30*(U23-T23)</f>
        <v>143.12363533340741</v>
      </c>
      <c r="V27" s="3">
        <f>V21+$B$30*(V23-U23)</f>
        <v>143.01975840916029</v>
      </c>
      <c r="W27" s="3">
        <f>W21+$B$30*(W23-V23)</f>
        <v>146.78102791922501</v>
      </c>
      <c r="X27" s="3">
        <f>X21+$B$30*(X23-W23)</f>
        <v>149.626679843956</v>
      </c>
      <c r="Y27" s="3">
        <f>Y21+$B$30*(Y23-X23)</f>
        <v>149.19155472102639</v>
      </c>
      <c r="Z27" s="3">
        <f>Z21+$B$30*(Z23-Y23)</f>
        <v>149.60857493870009</v>
      </c>
      <c r="AA27" s="3">
        <f>AA21+$B$30*(AA23-Z23)</f>
        <v>155.63551401541307</v>
      </c>
    </row>
    <row r="28" spans="1:28" x14ac:dyDescent="0.35">
      <c r="A28" t="s">
        <v>125</v>
      </c>
      <c r="B28" s="3"/>
      <c r="C28" s="3">
        <v>0.20316799999999999</v>
      </c>
      <c r="D28" s="3">
        <v>0.197605</v>
      </c>
      <c r="E28" s="3">
        <v>0.189164</v>
      </c>
      <c r="F28" s="3">
        <v>0.23125200000000001</v>
      </c>
      <c r="G28" s="3">
        <v>0.22098499999999999</v>
      </c>
      <c r="H28" s="3">
        <v>0.25409700000000002</v>
      </c>
      <c r="I28" s="3">
        <v>0.27640900000000002</v>
      </c>
      <c r="J28" s="3">
        <v>0.32262200000000002</v>
      </c>
      <c r="K28" s="3">
        <v>0.330181</v>
      </c>
      <c r="L28" s="3">
        <v>0.30524000000000001</v>
      </c>
      <c r="M28" s="3">
        <v>0.28538599999999997</v>
      </c>
      <c r="N28" s="3">
        <v>0.28809299999999999</v>
      </c>
      <c r="O28" s="3">
        <v>0.25897700000000001</v>
      </c>
      <c r="P28" s="3">
        <v>0.24296200000000001</v>
      </c>
      <c r="Q28" s="3">
        <v>0.21248400000000001</v>
      </c>
      <c r="R28" s="3">
        <v>0.19005</v>
      </c>
      <c r="S28" s="3">
        <v>0.154335</v>
      </c>
      <c r="T28" s="3">
        <v>0.11640300000000001</v>
      </c>
      <c r="U28" s="3">
        <v>0.104768</v>
      </c>
      <c r="V28" s="3">
        <v>9.6953999999999999E-2</v>
      </c>
      <c r="W28" s="3">
        <v>5.3903E-2</v>
      </c>
      <c r="X28" s="3">
        <v>2.7154999999999999E-2</v>
      </c>
      <c r="Y28" s="3">
        <v>9.4059999999999994E-3</v>
      </c>
      <c r="Z28" s="3">
        <v>5.6499999999999996E-4</v>
      </c>
    </row>
    <row r="29" spans="1:28" x14ac:dyDescent="0.35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8" x14ac:dyDescent="0.35">
      <c r="A30" t="s">
        <v>179</v>
      </c>
      <c r="B30" s="3">
        <v>0.3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8" x14ac:dyDescent="0.35">
      <c r="C31" t="s">
        <v>2</v>
      </c>
      <c r="D31" t="s">
        <v>3</v>
      </c>
      <c r="E31" t="s">
        <v>4</v>
      </c>
      <c r="F31" t="s">
        <v>5</v>
      </c>
      <c r="G31" t="s">
        <v>6</v>
      </c>
      <c r="H31" t="s">
        <v>7</v>
      </c>
      <c r="I31" t="s">
        <v>8</v>
      </c>
      <c r="J31" t="s">
        <v>9</v>
      </c>
      <c r="K31" t="s">
        <v>10</v>
      </c>
      <c r="L31" t="s">
        <v>11</v>
      </c>
      <c r="M31" t="s">
        <v>12</v>
      </c>
      <c r="N31" t="s">
        <v>13</v>
      </c>
      <c r="O31" t="s">
        <v>14</v>
      </c>
      <c r="P31" t="s">
        <v>15</v>
      </c>
      <c r="Q31" t="s">
        <v>16</v>
      </c>
      <c r="R31" t="s">
        <v>17</v>
      </c>
      <c r="S31" t="s">
        <v>18</v>
      </c>
      <c r="T31" t="s">
        <v>19</v>
      </c>
      <c r="U31" t="s">
        <v>20</v>
      </c>
      <c r="V31" t="s">
        <v>21</v>
      </c>
      <c r="W31" t="s">
        <v>22</v>
      </c>
      <c r="X31" t="s">
        <v>23</v>
      </c>
      <c r="Y31" t="s">
        <v>24</v>
      </c>
      <c r="Z31" t="s">
        <v>25</v>
      </c>
      <c r="AA31" t="s">
        <v>26</v>
      </c>
    </row>
    <row r="32" spans="1:28" x14ac:dyDescent="0.35">
      <c r="A32" t="s">
        <v>181</v>
      </c>
      <c r="B32" t="s">
        <v>178</v>
      </c>
      <c r="C32" s="3">
        <f>C26*-1</f>
        <v>-145.30604716651749</v>
      </c>
      <c r="D32" s="3">
        <f t="shared" ref="D32:Z33" si="0">D26*-1</f>
        <v>-149.25493980898102</v>
      </c>
      <c r="E32" s="3">
        <f t="shared" si="0"/>
        <v>-160.06133073185697</v>
      </c>
      <c r="F32" s="3">
        <f t="shared" si="0"/>
        <v>-150.41976731661259</v>
      </c>
      <c r="G32" s="3">
        <f t="shared" si="0"/>
        <v>-156.13629170930551</v>
      </c>
      <c r="H32" s="3">
        <f t="shared" si="0"/>
        <v>-161.44588468730458</v>
      </c>
      <c r="I32" s="3">
        <f t="shared" si="0"/>
        <v>-153.14915094261261</v>
      </c>
      <c r="J32" s="3">
        <f t="shared" si="0"/>
        <v>-160.24824952522391</v>
      </c>
      <c r="K32" s="3">
        <f t="shared" si="0"/>
        <v>-147.50165721582522</v>
      </c>
      <c r="L32" s="3">
        <f t="shared" si="0"/>
        <v>-149.13056129891891</v>
      </c>
      <c r="M32" s="3">
        <f t="shared" si="0"/>
        <v>-144.2443126013797</v>
      </c>
      <c r="N32" s="3">
        <f t="shared" si="0"/>
        <v>-145.1674094352889</v>
      </c>
      <c r="O32" s="3">
        <f t="shared" si="0"/>
        <v>-151.15239986321581</v>
      </c>
      <c r="P32" s="3">
        <f t="shared" si="0"/>
        <v>-148.9885186238871</v>
      </c>
      <c r="Q32" s="3">
        <f t="shared" si="0"/>
        <v>-146.21528702465201</v>
      </c>
      <c r="R32" s="3">
        <f t="shared" si="0"/>
        <v>-147.26909308190559</v>
      </c>
      <c r="S32" s="3">
        <f t="shared" si="0"/>
        <v>-150.1642478292512</v>
      </c>
      <c r="T32" s="3">
        <f t="shared" si="0"/>
        <v>-151.9271412129375</v>
      </c>
      <c r="U32" s="3">
        <f t="shared" si="0"/>
        <v>-153.24318962071089</v>
      </c>
      <c r="V32" s="3">
        <f t="shared" si="0"/>
        <v>-153.61809646142211</v>
      </c>
      <c r="W32" s="3">
        <f t="shared" si="0"/>
        <v>-156.12355613719419</v>
      </c>
      <c r="X32" s="3">
        <f t="shared" si="0"/>
        <v>-157.549795562638</v>
      </c>
      <c r="Y32" s="3">
        <f t="shared" si="0"/>
        <v>-156.6412445673779</v>
      </c>
      <c r="Z32" s="3">
        <f t="shared" si="0"/>
        <v>-157.12788320362691</v>
      </c>
    </row>
    <row r="33" spans="1:26" x14ac:dyDescent="0.35">
      <c r="B33" t="s">
        <v>180</v>
      </c>
      <c r="C33" s="3">
        <f>C27*-1</f>
        <v>-134.04562713075589</v>
      </c>
      <c r="D33" s="3">
        <f t="shared" si="0"/>
        <v>-137.3903021290802</v>
      </c>
      <c r="E33" s="3">
        <f t="shared" si="0"/>
        <v>-149.21698628254717</v>
      </c>
      <c r="F33" s="3">
        <f t="shared" si="0"/>
        <v>-138.83901405527209</v>
      </c>
      <c r="G33" s="3">
        <f t="shared" si="0"/>
        <v>-143.9394569038069</v>
      </c>
      <c r="H33" s="3">
        <f t="shared" si="0"/>
        <v>-149.42993961585481</v>
      </c>
      <c r="I33" s="3">
        <f t="shared" si="0"/>
        <v>-140.03243926080913</v>
      </c>
      <c r="J33" s="3">
        <f t="shared" si="0"/>
        <v>-146.70257817569751</v>
      </c>
      <c r="K33" s="3">
        <f t="shared" si="0"/>
        <v>-135.09578689906292</v>
      </c>
      <c r="L33" s="3">
        <f t="shared" si="0"/>
        <v>-136.80568869518089</v>
      </c>
      <c r="M33" s="3">
        <f t="shared" si="0"/>
        <v>-133.27084530829561</v>
      </c>
      <c r="N33" s="3">
        <f t="shared" si="0"/>
        <v>-134.1560094135786</v>
      </c>
      <c r="O33" s="3">
        <f t="shared" si="0"/>
        <v>-139.66176725015802</v>
      </c>
      <c r="P33" s="3">
        <f t="shared" si="0"/>
        <v>-136.97160019869099</v>
      </c>
      <c r="Q33" s="3">
        <f t="shared" si="0"/>
        <v>-134.81354323638251</v>
      </c>
      <c r="R33" s="3">
        <f t="shared" si="0"/>
        <v>-135.8946624399625</v>
      </c>
      <c r="S33" s="3">
        <f t="shared" si="0"/>
        <v>-139.35608570420919</v>
      </c>
      <c r="T33" s="3">
        <f t="shared" si="0"/>
        <v>-141.87034569507821</v>
      </c>
      <c r="U33" s="3">
        <f t="shared" si="0"/>
        <v>-143.12363533340741</v>
      </c>
      <c r="V33" s="3">
        <f t="shared" si="0"/>
        <v>-143.01975840916029</v>
      </c>
      <c r="W33" s="3">
        <f t="shared" si="0"/>
        <v>-146.78102791922501</v>
      </c>
      <c r="X33" s="3">
        <f t="shared" si="0"/>
        <v>-149.626679843956</v>
      </c>
      <c r="Y33" s="3">
        <f t="shared" si="0"/>
        <v>-149.19155472102639</v>
      </c>
      <c r="Z33" s="3">
        <f t="shared" si="0"/>
        <v>-149.60857493870009</v>
      </c>
    </row>
    <row r="34" spans="1:26" x14ac:dyDescent="0.35">
      <c r="A34" s="3"/>
      <c r="B34" s="3" t="s">
        <v>125</v>
      </c>
      <c r="C34" s="3">
        <v>0.20316799999999999</v>
      </c>
      <c r="D34" s="3">
        <v>0.197605</v>
      </c>
      <c r="E34" s="3">
        <v>0.189164</v>
      </c>
      <c r="F34" s="3">
        <v>0.23125200000000001</v>
      </c>
      <c r="G34" s="3">
        <v>0.22098499999999999</v>
      </c>
      <c r="H34" s="3">
        <v>0.25409700000000002</v>
      </c>
      <c r="I34" s="3">
        <v>0.27640900000000002</v>
      </c>
      <c r="J34" s="3">
        <v>0.32262200000000002</v>
      </c>
      <c r="K34" s="3">
        <v>0.330181</v>
      </c>
      <c r="L34" s="3">
        <v>0.30524000000000001</v>
      </c>
      <c r="M34" s="3">
        <v>0.28538599999999997</v>
      </c>
      <c r="N34" s="3">
        <v>0.28809299999999999</v>
      </c>
      <c r="O34" s="3">
        <v>0.25897700000000001</v>
      </c>
      <c r="P34" s="3">
        <v>0.24296200000000001</v>
      </c>
      <c r="Q34" s="3">
        <v>0.21248400000000001</v>
      </c>
      <c r="R34" s="3">
        <v>0.19005</v>
      </c>
      <c r="S34" s="3">
        <v>0.154335</v>
      </c>
      <c r="T34" s="3">
        <v>0.11640300000000001</v>
      </c>
      <c r="U34" s="3">
        <v>0.104768</v>
      </c>
      <c r="V34" s="3">
        <v>9.6953999999999999E-2</v>
      </c>
      <c r="W34" s="3">
        <v>5.3903E-2</v>
      </c>
      <c r="X34" s="3">
        <v>2.7154999999999999E-2</v>
      </c>
      <c r="Y34" s="3">
        <v>9.4059999999999994E-3</v>
      </c>
      <c r="Z34" s="3">
        <v>5.6499999999999996E-4</v>
      </c>
    </row>
    <row r="35" spans="1:26" x14ac:dyDescent="0.35">
      <c r="A35" s="3"/>
      <c r="B35" s="3" t="s">
        <v>183</v>
      </c>
      <c r="C35" s="3">
        <v>-146.71135015704499</v>
      </c>
      <c r="D35" s="3">
        <v>-145.3775566462713</v>
      </c>
      <c r="E35" s="3">
        <v>-155.50471106332918</v>
      </c>
      <c r="F35" s="3">
        <v>-148.17850798490281</v>
      </c>
      <c r="G35" s="3">
        <v>-151.65050255674001</v>
      </c>
      <c r="H35" s="3">
        <v>-159.20510192420679</v>
      </c>
      <c r="I35" s="3">
        <v>-150.8217209546365</v>
      </c>
      <c r="J35" s="3">
        <v>-158.98012062121626</v>
      </c>
      <c r="K35" s="3">
        <v>-147.93005337233552</v>
      </c>
      <c r="L35" s="3">
        <v>-151.11994701650559</v>
      </c>
      <c r="M35" s="3">
        <v>-147.09859625392468</v>
      </c>
      <c r="N35" s="3">
        <v>-148.83147220908151</v>
      </c>
      <c r="O35" s="3">
        <v>-152.7406467958269</v>
      </c>
      <c r="P35" s="3">
        <v>-148.74553569939232</v>
      </c>
      <c r="Q35" s="3">
        <v>-146.58328581936939</v>
      </c>
      <c r="R35" s="3">
        <v>-148.83477524887149</v>
      </c>
      <c r="S35" s="3">
        <v>-149.69815555513719</v>
      </c>
      <c r="T35" s="3">
        <v>-148.82764409718692</v>
      </c>
      <c r="U35" s="3">
        <v>-151.50128651223662</v>
      </c>
      <c r="V35" s="3"/>
      <c r="W35" s="3"/>
      <c r="X35" s="3"/>
      <c r="Y35" s="3"/>
      <c r="Z35" s="3"/>
    </row>
    <row r="36" spans="1:26" x14ac:dyDescent="0.35">
      <c r="A36" s="3"/>
      <c r="B36" s="3" t="s">
        <v>182</v>
      </c>
      <c r="C36">
        <v>146.71135015704499</v>
      </c>
      <c r="D36">
        <v>146.82755664627129</v>
      </c>
      <c r="E36">
        <v>147.2347110633292</v>
      </c>
      <c r="F36">
        <v>148.20850798490281</v>
      </c>
      <c r="G36">
        <v>149.38050255674</v>
      </c>
      <c r="H36">
        <v>150.01510192420679</v>
      </c>
      <c r="I36">
        <v>149.34172095463649</v>
      </c>
      <c r="J36">
        <v>149.54012062121629</v>
      </c>
      <c r="K36">
        <v>150.4200533723355</v>
      </c>
      <c r="L36">
        <v>151.15994701650561</v>
      </c>
      <c r="M36">
        <v>151.05859625392469</v>
      </c>
      <c r="N36">
        <v>151.08147220908151</v>
      </c>
      <c r="O36">
        <v>151.2806467958269</v>
      </c>
      <c r="P36">
        <v>149.81553569939231</v>
      </c>
      <c r="Q36">
        <v>150.15328581936939</v>
      </c>
      <c r="R36">
        <v>150.43477524887149</v>
      </c>
      <c r="S36">
        <v>150.64815555513721</v>
      </c>
      <c r="T36">
        <v>150.17764409718691</v>
      </c>
      <c r="U36">
        <v>150.85128651223661</v>
      </c>
    </row>
    <row r="37" spans="1:26" x14ac:dyDescent="0.35">
      <c r="A37" s="3"/>
      <c r="B37" s="3"/>
      <c r="C37" s="3">
        <f>-C36-$B$30*(C23-B23)</f>
        <v>-146.71135015704499</v>
      </c>
      <c r="D37" s="3">
        <f t="shared" ref="D37:U37" si="1">-D36-$B$30*(D23-C23)</f>
        <v>-145.3775566462713</v>
      </c>
      <c r="E37" s="3">
        <f t="shared" si="1"/>
        <v>-155.50471106332918</v>
      </c>
      <c r="F37" s="3">
        <f t="shared" si="1"/>
        <v>-148.17850798490281</v>
      </c>
      <c r="G37" s="3">
        <f t="shared" si="1"/>
        <v>-151.65050255674001</v>
      </c>
      <c r="H37" s="3">
        <f t="shared" si="1"/>
        <v>-159.20510192420679</v>
      </c>
      <c r="I37" s="3">
        <f t="shared" si="1"/>
        <v>-150.8217209546365</v>
      </c>
      <c r="J37" s="3">
        <f t="shared" si="1"/>
        <v>-158.98012062121626</v>
      </c>
      <c r="K37" s="3">
        <f t="shared" si="1"/>
        <v>-147.93005337233552</v>
      </c>
      <c r="L37" s="3">
        <f t="shared" si="1"/>
        <v>-151.11994701650559</v>
      </c>
      <c r="M37" s="3">
        <f t="shared" si="1"/>
        <v>-147.09859625392468</v>
      </c>
      <c r="N37" s="3">
        <f t="shared" si="1"/>
        <v>-148.83147220908151</v>
      </c>
      <c r="O37" s="3">
        <f t="shared" si="1"/>
        <v>-152.7406467958269</v>
      </c>
      <c r="P37" s="3">
        <f t="shared" si="1"/>
        <v>-148.74553569939232</v>
      </c>
      <c r="Q37" s="3">
        <f t="shared" si="1"/>
        <v>-146.58328581936939</v>
      </c>
      <c r="R37" s="3">
        <f t="shared" si="1"/>
        <v>-148.83477524887149</v>
      </c>
      <c r="S37" s="3">
        <f t="shared" si="1"/>
        <v>-149.69815555513719</v>
      </c>
      <c r="T37" s="3">
        <f t="shared" si="1"/>
        <v>-148.82764409718692</v>
      </c>
      <c r="U37" s="3">
        <f t="shared" si="1"/>
        <v>-151.50128651223662</v>
      </c>
    </row>
    <row r="38" spans="1:26" x14ac:dyDescent="0.35">
      <c r="A38" s="3"/>
      <c r="B38" s="3"/>
      <c r="C38" s="3"/>
      <c r="D38" s="3"/>
      <c r="E38" s="3"/>
      <c r="F38" s="3"/>
      <c r="G38" s="3"/>
    </row>
    <row r="39" spans="1:26" x14ac:dyDescent="0.35">
      <c r="A39" s="3"/>
      <c r="B39" s="3"/>
      <c r="C39" s="3"/>
      <c r="D39" s="3"/>
      <c r="E39" s="3"/>
      <c r="F39" s="3"/>
      <c r="G39" s="3"/>
    </row>
    <row r="40" spans="1:26" x14ac:dyDescent="0.35">
      <c r="A40" s="3"/>
      <c r="B40" s="3"/>
      <c r="C40" s="3"/>
      <c r="D40" s="3"/>
      <c r="E40" s="3"/>
      <c r="F40" s="3"/>
      <c r="G40" s="3"/>
    </row>
    <row r="41" spans="1:26" x14ac:dyDescent="0.35">
      <c r="A41" s="3"/>
      <c r="B41" s="3"/>
      <c r="C41" s="3"/>
      <c r="D41" s="3"/>
      <c r="E41" s="3"/>
      <c r="F41" s="3"/>
      <c r="G41" s="3"/>
    </row>
    <row r="42" spans="1:26" x14ac:dyDescent="0.35">
      <c r="A42" s="3"/>
      <c r="B42" s="3"/>
      <c r="C42" s="3"/>
      <c r="D42" s="3"/>
      <c r="E42" s="3"/>
      <c r="F42" s="3"/>
      <c r="G42" s="3"/>
    </row>
    <row r="43" spans="1:26" x14ac:dyDescent="0.35">
      <c r="A43" s="3"/>
      <c r="B43" s="3"/>
      <c r="C43" s="3"/>
      <c r="D43" s="3"/>
      <c r="E43" s="3"/>
      <c r="F43" s="3"/>
      <c r="G43" s="3"/>
    </row>
    <row r="44" spans="1:26" x14ac:dyDescent="0.35">
      <c r="A44" s="3"/>
      <c r="B44" s="3"/>
      <c r="C44" s="3"/>
      <c r="D44" s="3"/>
      <c r="E44" s="3"/>
      <c r="F44" s="3"/>
      <c r="G44" s="3"/>
    </row>
    <row r="45" spans="1:26" x14ac:dyDescent="0.35">
      <c r="A45" s="3"/>
      <c r="B45" s="3"/>
      <c r="C45" s="3"/>
      <c r="D45" s="3"/>
      <c r="E45" s="3"/>
      <c r="F45" s="3"/>
      <c r="G45" s="3"/>
    </row>
    <row r="46" spans="1:26" x14ac:dyDescent="0.35">
      <c r="A46" s="3"/>
      <c r="B46" s="3"/>
      <c r="C46" s="3"/>
      <c r="D46" s="3"/>
      <c r="E46" s="3"/>
      <c r="F46" s="3"/>
      <c r="G46" s="3"/>
    </row>
    <row r="47" spans="1:26" x14ac:dyDescent="0.35">
      <c r="A47" s="3"/>
      <c r="B47" s="3"/>
      <c r="C47" s="3"/>
      <c r="D47" s="3"/>
      <c r="E47" s="3"/>
      <c r="F47" s="3"/>
      <c r="G47" s="3"/>
    </row>
    <row r="48" spans="1:26" x14ac:dyDescent="0.35">
      <c r="A48" s="3"/>
      <c r="B48" s="3"/>
      <c r="C48" s="3"/>
      <c r="D48" s="3"/>
      <c r="E48" s="3"/>
      <c r="F48" s="3"/>
      <c r="G48" s="3"/>
    </row>
    <row r="49" spans="1:7" x14ac:dyDescent="0.35">
      <c r="A49" s="3"/>
      <c r="B49" s="3"/>
      <c r="C49" s="3"/>
      <c r="D49" s="3"/>
      <c r="E49" s="3"/>
      <c r="F49" s="3"/>
      <c r="G49" s="3"/>
    </row>
    <row r="50" spans="1:7" x14ac:dyDescent="0.35">
      <c r="A50" s="3"/>
      <c r="B50" s="3"/>
      <c r="C50" s="3"/>
      <c r="D50" s="3"/>
      <c r="E50" s="3"/>
      <c r="F50" s="3"/>
      <c r="G50" s="3"/>
    </row>
    <row r="51" spans="1:7" x14ac:dyDescent="0.35">
      <c r="A51" s="3"/>
      <c r="B51" s="3"/>
      <c r="C51" s="3"/>
      <c r="D51" s="3"/>
      <c r="E51" s="3"/>
      <c r="F51" s="3"/>
      <c r="G51" s="3"/>
    </row>
    <row r="52" spans="1:7" x14ac:dyDescent="0.35">
      <c r="A52" s="3"/>
      <c r="B52" s="3"/>
      <c r="C52" s="3"/>
      <c r="D52" s="3"/>
      <c r="E52" s="3"/>
      <c r="F52" s="3"/>
      <c r="G52" s="3"/>
    </row>
    <row r="53" spans="1:7" x14ac:dyDescent="0.35">
      <c r="A53" s="3"/>
      <c r="B53" s="3"/>
      <c r="C53" s="3"/>
      <c r="D53" s="3"/>
      <c r="E53" s="3"/>
      <c r="F53" s="3"/>
      <c r="G53" s="3"/>
    </row>
    <row r="54" spans="1:7" x14ac:dyDescent="0.35">
      <c r="A54" s="3"/>
      <c r="B54" s="3"/>
      <c r="C54" s="3"/>
      <c r="D54" s="3"/>
      <c r="E54" s="3"/>
      <c r="F54" s="3"/>
      <c r="G54" s="3"/>
    </row>
    <row r="55" spans="1:7" x14ac:dyDescent="0.35">
      <c r="A55" s="3"/>
      <c r="B55" s="3"/>
      <c r="C55" s="3"/>
      <c r="D55" s="3"/>
      <c r="E55" s="3"/>
      <c r="F55" s="3"/>
      <c r="G55" s="3"/>
    </row>
    <row r="56" spans="1:7" x14ac:dyDescent="0.35">
      <c r="A56" s="3"/>
      <c r="B56" s="3"/>
      <c r="C56" s="3"/>
      <c r="D56" s="3"/>
      <c r="E56" s="3"/>
      <c r="F56" s="3"/>
      <c r="G56" s="3"/>
    </row>
    <row r="57" spans="1:7" x14ac:dyDescent="0.35">
      <c r="A57" s="3"/>
      <c r="B57" s="3"/>
      <c r="C57" s="3"/>
      <c r="D57" s="3"/>
      <c r="E57" s="3"/>
      <c r="F57" s="3"/>
      <c r="G57" s="3"/>
    </row>
    <row r="58" spans="1:7" x14ac:dyDescent="0.35">
      <c r="A58" s="3"/>
      <c r="B58" s="3"/>
      <c r="C58" s="3"/>
      <c r="D58" s="3"/>
      <c r="E58" s="3"/>
      <c r="F58" s="3"/>
      <c r="G58" s="3"/>
    </row>
    <row r="59" spans="1:7" x14ac:dyDescent="0.35">
      <c r="A59" s="3"/>
      <c r="B59" s="3"/>
      <c r="C59" s="3"/>
      <c r="D59" s="3"/>
      <c r="E59" s="3"/>
      <c r="F59" s="3"/>
      <c r="G59" s="3"/>
    </row>
    <row r="60" spans="1:7" x14ac:dyDescent="0.35">
      <c r="A60" s="3"/>
      <c r="B60" s="3"/>
      <c r="C60" s="3"/>
      <c r="D60" s="3"/>
      <c r="E60" s="3"/>
      <c r="F60" s="3"/>
      <c r="G60" s="3"/>
    </row>
    <row r="61" spans="1:7" x14ac:dyDescent="0.35">
      <c r="A61" s="3"/>
      <c r="B61" s="3"/>
      <c r="C61" s="3"/>
      <c r="D61" s="3"/>
      <c r="E61" s="3"/>
      <c r="F61" s="3"/>
      <c r="G61" s="3"/>
    </row>
    <row r="62" spans="1:7" x14ac:dyDescent="0.35">
      <c r="A62" s="3"/>
      <c r="B62" s="3"/>
      <c r="C62" s="3"/>
      <c r="D62" s="3"/>
      <c r="E62" s="3"/>
      <c r="F62" s="3"/>
      <c r="G62" s="3"/>
    </row>
    <row r="63" spans="1:7" x14ac:dyDescent="0.35">
      <c r="A63" s="3"/>
      <c r="B63" s="3"/>
      <c r="C63" s="3"/>
      <c r="D63" s="3"/>
      <c r="E63" s="3"/>
      <c r="F63" s="3"/>
      <c r="G63" s="3"/>
    </row>
    <row r="64" spans="1:7" x14ac:dyDescent="0.35">
      <c r="A64" s="3"/>
      <c r="B64" s="3"/>
      <c r="C64" s="3"/>
      <c r="D64" s="3"/>
      <c r="E64" s="3"/>
      <c r="F64" s="3"/>
      <c r="G64" s="3"/>
    </row>
    <row r="65" spans="1:7" x14ac:dyDescent="0.35">
      <c r="A65" s="3"/>
      <c r="B65" s="3"/>
      <c r="C65" s="3"/>
      <c r="D65" s="3"/>
      <c r="E65" s="3"/>
      <c r="F65" s="3"/>
      <c r="G65" s="3"/>
    </row>
    <row r="66" spans="1:7" x14ac:dyDescent="0.35">
      <c r="A66" s="3"/>
      <c r="B66" s="3"/>
      <c r="C66" s="3"/>
      <c r="D66" s="3"/>
      <c r="E66" s="3"/>
      <c r="F66" s="3"/>
      <c r="G66" s="3"/>
    </row>
    <row r="68" spans="1:7" x14ac:dyDescent="0.35">
      <c r="A68" s="3"/>
      <c r="B68" s="3"/>
      <c r="C68" s="3"/>
      <c r="D68" s="3"/>
      <c r="E68" s="3"/>
      <c r="F68" s="3"/>
      <c r="G68" s="3"/>
    </row>
    <row r="69" spans="1:7" x14ac:dyDescent="0.35">
      <c r="A69" s="3"/>
      <c r="B69" s="3"/>
      <c r="C69" s="3"/>
      <c r="D69" s="3"/>
      <c r="E69" s="3"/>
      <c r="F69" s="3"/>
      <c r="G69" s="3"/>
    </row>
    <row r="70" spans="1:7" x14ac:dyDescent="0.35">
      <c r="A70" s="3"/>
      <c r="B70" s="3"/>
      <c r="C70" s="3"/>
      <c r="D70" s="3"/>
      <c r="E70" s="3"/>
      <c r="F70" s="3"/>
      <c r="G70" s="3"/>
    </row>
    <row r="71" spans="1:7" x14ac:dyDescent="0.35">
      <c r="A71" s="3"/>
      <c r="B71" s="3"/>
      <c r="C71" s="3"/>
      <c r="D71" s="3"/>
      <c r="E71" s="3"/>
      <c r="F71" s="3"/>
      <c r="G71" s="3"/>
    </row>
    <row r="72" spans="1:7" x14ac:dyDescent="0.35">
      <c r="A72" s="3"/>
      <c r="B72" s="3"/>
      <c r="C72" s="3"/>
      <c r="D72" s="3"/>
      <c r="E72" s="3"/>
      <c r="F72" s="3"/>
      <c r="G72" s="3"/>
    </row>
    <row r="73" spans="1:7" x14ac:dyDescent="0.35">
      <c r="A73" s="3"/>
      <c r="B73" s="3"/>
      <c r="C73" s="3"/>
      <c r="D73" s="3"/>
      <c r="E73" s="3"/>
      <c r="F73" s="3"/>
      <c r="G73" s="3"/>
    </row>
    <row r="74" spans="1:7" x14ac:dyDescent="0.35">
      <c r="A74" s="3"/>
      <c r="B74" s="3"/>
      <c r="C74" s="3"/>
      <c r="D74" s="3"/>
      <c r="E74" s="3"/>
      <c r="F74" s="3"/>
      <c r="G74" s="3"/>
    </row>
    <row r="75" spans="1:7" x14ac:dyDescent="0.35">
      <c r="A75" s="3"/>
      <c r="B75" s="3"/>
      <c r="C75" s="3"/>
      <c r="D75" s="3"/>
      <c r="E75" s="3"/>
      <c r="F75" s="3"/>
      <c r="G75" s="3"/>
    </row>
    <row r="76" spans="1:7" x14ac:dyDescent="0.35">
      <c r="A76" s="3"/>
      <c r="B76" s="3"/>
      <c r="C76" s="3"/>
      <c r="D76" s="3"/>
      <c r="E76" s="3"/>
      <c r="F76" s="3"/>
      <c r="G76" s="3"/>
    </row>
    <row r="77" spans="1:7" x14ac:dyDescent="0.35">
      <c r="A77" s="3"/>
      <c r="B77" s="3"/>
      <c r="C77" s="3"/>
      <c r="D77" s="3"/>
      <c r="E77" s="3"/>
      <c r="F77" s="3"/>
      <c r="G77" s="3"/>
    </row>
    <row r="78" spans="1:7" x14ac:dyDescent="0.35">
      <c r="A78" s="3"/>
      <c r="B78" s="3"/>
      <c r="C78" s="3"/>
      <c r="D78" s="3"/>
      <c r="E78" s="3"/>
      <c r="F78" s="3"/>
      <c r="G78" s="3"/>
    </row>
    <row r="79" spans="1:7" x14ac:dyDescent="0.35">
      <c r="A79" s="3"/>
      <c r="B79" s="3"/>
      <c r="C79" s="3"/>
      <c r="D79" s="3"/>
      <c r="E79" s="3"/>
      <c r="F79" s="3"/>
      <c r="G79" s="3"/>
    </row>
    <row r="80" spans="1:7" x14ac:dyDescent="0.35">
      <c r="A80" s="3"/>
      <c r="B80" s="3"/>
      <c r="C80" s="3"/>
      <c r="D80" s="3"/>
      <c r="E80" s="3"/>
      <c r="F80" s="3"/>
      <c r="G80" s="3"/>
    </row>
    <row r="81" spans="1:7" x14ac:dyDescent="0.35">
      <c r="A81" s="3"/>
      <c r="B81" s="3"/>
      <c r="C81" s="3"/>
      <c r="D81" s="3"/>
      <c r="E81" s="3"/>
      <c r="F81" s="3"/>
      <c r="G81" s="3"/>
    </row>
    <row r="82" spans="1:7" x14ac:dyDescent="0.35">
      <c r="A82" s="3"/>
      <c r="B82" s="3"/>
      <c r="C82" s="3"/>
      <c r="D82" s="3"/>
      <c r="E82" s="3"/>
      <c r="F82" s="3"/>
      <c r="G82" s="3"/>
    </row>
    <row r="83" spans="1:7" x14ac:dyDescent="0.35">
      <c r="A83" s="3"/>
      <c r="B83" s="3"/>
      <c r="C83" s="3"/>
      <c r="D83" s="3"/>
      <c r="E83" s="3"/>
      <c r="F83" s="3"/>
      <c r="G83" s="3"/>
    </row>
    <row r="84" spans="1:7" x14ac:dyDescent="0.35">
      <c r="A84" s="3"/>
      <c r="B84" s="3"/>
      <c r="C84" s="3"/>
      <c r="D84" s="3"/>
      <c r="E84" s="3"/>
      <c r="F84" s="3"/>
      <c r="G84" s="3"/>
    </row>
    <row r="85" spans="1:7" x14ac:dyDescent="0.35">
      <c r="A85" s="3"/>
      <c r="B85" s="3"/>
      <c r="C85" s="3"/>
      <c r="D85" s="3"/>
      <c r="E85" s="3"/>
      <c r="F85" s="3"/>
      <c r="G85" s="3"/>
    </row>
    <row r="86" spans="1:7" x14ac:dyDescent="0.35">
      <c r="A86" s="3"/>
      <c r="B86" s="3"/>
      <c r="C86" s="3"/>
      <c r="D86" s="3"/>
      <c r="E86" s="3"/>
      <c r="F86" s="3"/>
      <c r="G86" s="3"/>
    </row>
    <row r="87" spans="1:7" x14ac:dyDescent="0.35">
      <c r="A87" s="3"/>
      <c r="B87" s="3"/>
      <c r="C87" s="3"/>
      <c r="D87" s="3"/>
      <c r="E87" s="3"/>
      <c r="F87" s="3"/>
      <c r="G87" s="3"/>
    </row>
    <row r="88" spans="1:7" x14ac:dyDescent="0.35">
      <c r="A88" s="3"/>
      <c r="B88" s="3"/>
      <c r="C88" s="3"/>
      <c r="D88" s="3"/>
      <c r="E88" s="3"/>
      <c r="F88" s="3"/>
      <c r="G88" s="3"/>
    </row>
    <row r="89" spans="1:7" x14ac:dyDescent="0.35">
      <c r="A89" s="3"/>
      <c r="B89" s="3"/>
      <c r="C89" s="3"/>
      <c r="D89" s="3"/>
      <c r="E89" s="3"/>
      <c r="F89" s="3"/>
      <c r="G89" s="3"/>
    </row>
    <row r="90" spans="1:7" x14ac:dyDescent="0.35">
      <c r="A90" s="3"/>
      <c r="B90" s="3"/>
      <c r="C90" s="3"/>
      <c r="D90" s="3"/>
      <c r="E90" s="3"/>
      <c r="F90" s="3"/>
      <c r="G90" s="3"/>
    </row>
    <row r="91" spans="1:7" x14ac:dyDescent="0.35">
      <c r="A91" s="3"/>
      <c r="B91" s="3"/>
      <c r="C91" s="3"/>
      <c r="D91" s="3"/>
      <c r="E91" s="3"/>
      <c r="F91" s="3"/>
      <c r="G91" s="3"/>
    </row>
    <row r="92" spans="1:7" x14ac:dyDescent="0.35">
      <c r="A92" s="3"/>
      <c r="B92" s="3"/>
      <c r="C92" s="3"/>
      <c r="D92" s="3"/>
      <c r="E92" s="3"/>
      <c r="F92" s="3"/>
      <c r="G92" s="3"/>
    </row>
    <row r="93" spans="1:7" x14ac:dyDescent="0.35">
      <c r="A93" s="3"/>
      <c r="B93" s="3"/>
      <c r="C93" s="3"/>
      <c r="D93" s="3"/>
      <c r="E93" s="3"/>
      <c r="F93" s="3"/>
      <c r="G93" s="3"/>
    </row>
    <row r="94" spans="1:7" x14ac:dyDescent="0.35">
      <c r="A94" s="3"/>
      <c r="B94" s="3"/>
      <c r="C94" s="3"/>
      <c r="D94" s="3"/>
      <c r="E94" s="3"/>
      <c r="F94" s="3"/>
      <c r="G94" s="3"/>
    </row>
    <row r="95" spans="1:7" x14ac:dyDescent="0.35">
      <c r="A95" s="3"/>
      <c r="B95" s="3"/>
      <c r="C95" s="3"/>
      <c r="D95" s="3"/>
      <c r="E95" s="3"/>
      <c r="F95" s="3"/>
      <c r="G95" s="3"/>
    </row>
    <row r="96" spans="1:7" x14ac:dyDescent="0.35">
      <c r="A96" s="3"/>
      <c r="B96" s="3"/>
      <c r="C96" s="3"/>
      <c r="D96" s="3"/>
      <c r="E96" s="3"/>
      <c r="F96" s="3"/>
      <c r="G96" s="3"/>
    </row>
    <row r="97" spans="1:7" x14ac:dyDescent="0.35">
      <c r="A97" s="3"/>
      <c r="B97" s="3"/>
      <c r="C97" s="3"/>
      <c r="D97" s="3"/>
      <c r="E97" s="3"/>
      <c r="F97" s="3"/>
      <c r="G97" s="3"/>
    </row>
    <row r="98" spans="1:7" x14ac:dyDescent="0.35">
      <c r="A98" s="3"/>
      <c r="B98" s="3"/>
      <c r="C98" s="3"/>
      <c r="D98" s="3"/>
      <c r="E98" s="3"/>
      <c r="F98" s="3"/>
      <c r="G98" s="3"/>
    </row>
    <row r="99" spans="1:7" x14ac:dyDescent="0.35">
      <c r="A99" s="3"/>
      <c r="B99" s="3"/>
      <c r="C99" s="3"/>
      <c r="D99" s="3"/>
      <c r="E99" s="3"/>
      <c r="F99" s="3"/>
      <c r="G99" s="3"/>
    </row>
    <row r="100" spans="1:7" x14ac:dyDescent="0.35">
      <c r="A100" s="3"/>
      <c r="B100" s="3"/>
      <c r="C100" s="3"/>
      <c r="D100" s="3"/>
      <c r="E100" s="3"/>
      <c r="F100" s="3"/>
      <c r="G100" s="3"/>
    </row>
    <row r="101" spans="1:7" x14ac:dyDescent="0.35">
      <c r="A101" s="3"/>
      <c r="B101" s="3"/>
      <c r="C101" s="3"/>
      <c r="D101" s="3"/>
      <c r="E101" s="3"/>
      <c r="F101" s="3"/>
      <c r="G101" s="3"/>
    </row>
    <row r="102" spans="1:7" x14ac:dyDescent="0.35">
      <c r="A102" s="3"/>
      <c r="B102" s="3"/>
      <c r="C102" s="3"/>
      <c r="D102" s="3"/>
      <c r="E102" s="3"/>
      <c r="F102" s="3"/>
      <c r="G102" s="3"/>
    </row>
    <row r="103" spans="1:7" x14ac:dyDescent="0.35">
      <c r="A103" s="3"/>
      <c r="B103" s="3"/>
      <c r="C103" s="3"/>
      <c r="D103" s="3"/>
      <c r="E103" s="3"/>
      <c r="F103" s="3"/>
      <c r="G103" s="3"/>
    </row>
    <row r="104" spans="1:7" x14ac:dyDescent="0.35">
      <c r="A104" s="3"/>
      <c r="B104" s="3"/>
      <c r="C104" s="3"/>
      <c r="D104" s="3"/>
      <c r="E104" s="3"/>
      <c r="F104" s="3"/>
      <c r="G104" s="3"/>
    </row>
    <row r="105" spans="1:7" x14ac:dyDescent="0.35">
      <c r="A105" s="3"/>
      <c r="B105" s="3"/>
      <c r="C105" s="3"/>
      <c r="D105" s="3"/>
      <c r="E105" s="3"/>
      <c r="F105" s="3"/>
      <c r="G105" s="3"/>
    </row>
    <row r="106" spans="1:7" x14ac:dyDescent="0.35">
      <c r="A106" s="3"/>
      <c r="B106" s="3"/>
      <c r="C106" s="3"/>
      <c r="D106" s="3"/>
      <c r="E106" s="3"/>
      <c r="F106" s="3"/>
      <c r="G106" s="3"/>
    </row>
    <row r="107" spans="1:7" x14ac:dyDescent="0.35">
      <c r="A107" s="3"/>
      <c r="B107" s="3"/>
      <c r="C107" s="3"/>
      <c r="D107" s="3"/>
      <c r="E107" s="3"/>
      <c r="F107" s="3"/>
      <c r="G107" s="3"/>
    </row>
    <row r="108" spans="1:7" x14ac:dyDescent="0.35">
      <c r="A108" s="3"/>
      <c r="B108" s="3"/>
      <c r="C108" s="3"/>
      <c r="D108" s="3"/>
      <c r="E108" s="3"/>
      <c r="F108" s="3"/>
      <c r="G108" s="3"/>
    </row>
    <row r="109" spans="1:7" x14ac:dyDescent="0.35">
      <c r="A109" s="3"/>
      <c r="B109" s="3"/>
      <c r="C109" s="3"/>
      <c r="D109" s="3"/>
      <c r="E109" s="3"/>
      <c r="F109" s="3"/>
      <c r="G109" s="3"/>
    </row>
    <row r="110" spans="1:7" x14ac:dyDescent="0.35">
      <c r="A110" s="3"/>
      <c r="B110" s="3"/>
      <c r="C110" s="3"/>
      <c r="D110" s="3"/>
      <c r="E110" s="3"/>
      <c r="F110" s="3"/>
      <c r="G110" s="3"/>
    </row>
    <row r="111" spans="1:7" x14ac:dyDescent="0.35">
      <c r="A111" s="3"/>
      <c r="B111" s="3"/>
      <c r="C111" s="3"/>
      <c r="D111" s="3"/>
      <c r="E111" s="3"/>
      <c r="F111" s="3"/>
      <c r="G111" s="3"/>
    </row>
    <row r="112" spans="1:7" x14ac:dyDescent="0.35">
      <c r="A112" s="3"/>
      <c r="B112" s="3"/>
      <c r="C112" s="3"/>
      <c r="D112" s="3"/>
      <c r="E112" s="3"/>
      <c r="F112" s="3"/>
      <c r="G112" s="3"/>
    </row>
    <row r="113" spans="1:7" x14ac:dyDescent="0.35">
      <c r="A113" s="3"/>
      <c r="B113" s="3"/>
      <c r="C113" s="3"/>
      <c r="D113" s="3"/>
      <c r="E113" s="3"/>
      <c r="F113" s="3"/>
      <c r="G113" s="3"/>
    </row>
    <row r="114" spans="1:7" x14ac:dyDescent="0.35">
      <c r="A114" s="3"/>
      <c r="B114" s="3"/>
      <c r="C114" s="3"/>
      <c r="D114" s="3"/>
      <c r="E114" s="3"/>
      <c r="F114" s="3"/>
      <c r="G114" s="3"/>
    </row>
    <row r="115" spans="1:7" x14ac:dyDescent="0.35">
      <c r="A115" s="3"/>
      <c r="B115" s="3"/>
      <c r="C115" s="3"/>
      <c r="D115" s="3"/>
      <c r="E115" s="3"/>
      <c r="F115" s="3"/>
      <c r="G115" s="3"/>
    </row>
    <row r="116" spans="1:7" x14ac:dyDescent="0.35">
      <c r="A116" s="3"/>
      <c r="B116" s="3"/>
      <c r="C116" s="3"/>
      <c r="D116" s="3"/>
      <c r="E116" s="3"/>
      <c r="F116" s="3"/>
      <c r="G116" s="3"/>
    </row>
    <row r="117" spans="1:7" x14ac:dyDescent="0.35">
      <c r="A117" s="3"/>
      <c r="B117" s="3"/>
      <c r="C117" s="3"/>
      <c r="D117" s="3"/>
      <c r="E117" s="3"/>
      <c r="F117" s="3"/>
      <c r="G117" s="3"/>
    </row>
    <row r="118" spans="1:7" x14ac:dyDescent="0.35">
      <c r="A118" s="3"/>
      <c r="B118" s="3"/>
      <c r="C118" s="3"/>
      <c r="D118" s="3"/>
      <c r="E118" s="3"/>
      <c r="F118" s="3"/>
      <c r="G118" s="3"/>
    </row>
    <row r="119" spans="1:7" x14ac:dyDescent="0.35">
      <c r="A119" s="3"/>
      <c r="B119" s="3"/>
      <c r="C119" s="3"/>
      <c r="D119" s="3"/>
      <c r="E119" s="3"/>
      <c r="F119" s="3"/>
      <c r="G119" s="3"/>
    </row>
    <row r="120" spans="1:7" x14ac:dyDescent="0.35">
      <c r="A120" s="3"/>
      <c r="B120" s="3"/>
      <c r="C120" s="3"/>
      <c r="D120" s="3"/>
      <c r="E120" s="3"/>
      <c r="F120" s="3"/>
      <c r="G120" s="3"/>
    </row>
    <row r="121" spans="1:7" x14ac:dyDescent="0.35">
      <c r="A121" s="3"/>
      <c r="B121" s="3"/>
      <c r="C121" s="3"/>
      <c r="D121" s="3"/>
      <c r="E121" s="3"/>
      <c r="F121" s="3"/>
      <c r="G121" s="3"/>
    </row>
    <row r="122" spans="1:7" x14ac:dyDescent="0.35">
      <c r="A122" s="3"/>
      <c r="B122" s="3"/>
      <c r="C122" s="3"/>
      <c r="D122" s="3"/>
      <c r="E122" s="3"/>
      <c r="F122" s="3"/>
      <c r="G122" s="3"/>
    </row>
    <row r="123" spans="1:7" x14ac:dyDescent="0.35">
      <c r="A123" s="3"/>
      <c r="B123" s="3"/>
      <c r="C123" s="3"/>
      <c r="D123" s="3"/>
      <c r="E123" s="3"/>
      <c r="F123" s="3"/>
      <c r="G123" s="3"/>
    </row>
    <row r="124" spans="1:7" x14ac:dyDescent="0.35">
      <c r="A124" s="3"/>
      <c r="B124" s="3"/>
      <c r="C124" s="3"/>
      <c r="D124" s="3"/>
      <c r="E124" s="3"/>
      <c r="F124" s="3"/>
      <c r="G124" s="3"/>
    </row>
    <row r="125" spans="1:7" x14ac:dyDescent="0.35">
      <c r="A125" s="3"/>
      <c r="B125" s="3"/>
      <c r="C125" s="3"/>
      <c r="D125" s="3"/>
      <c r="E125" s="3"/>
      <c r="F125" s="3"/>
      <c r="G125" s="3"/>
    </row>
    <row r="126" spans="1:7" x14ac:dyDescent="0.35">
      <c r="A126" s="3"/>
      <c r="B126" s="3"/>
      <c r="C126" s="3"/>
      <c r="D126" s="3"/>
      <c r="E126" s="3"/>
      <c r="F126" s="3"/>
      <c r="G126" s="3"/>
    </row>
    <row r="127" spans="1:7" x14ac:dyDescent="0.35">
      <c r="A127" s="3"/>
      <c r="B127" s="3"/>
      <c r="C127" s="3"/>
      <c r="D127" s="3"/>
      <c r="E127" s="3"/>
      <c r="F127" s="3"/>
      <c r="G127" s="3"/>
    </row>
    <row r="128" spans="1:7" x14ac:dyDescent="0.35">
      <c r="A128" s="3"/>
      <c r="B128" s="3"/>
      <c r="C128" s="3"/>
      <c r="D128" s="3"/>
      <c r="E128" s="3"/>
      <c r="F128" s="3"/>
      <c r="G128" s="3"/>
    </row>
    <row r="129" spans="1:7" x14ac:dyDescent="0.35">
      <c r="A129" s="3"/>
      <c r="B129" s="3"/>
      <c r="C129" s="3"/>
      <c r="D129" s="3"/>
      <c r="E129" s="3"/>
      <c r="F129" s="3"/>
      <c r="G129" s="3"/>
    </row>
    <row r="130" spans="1:7" x14ac:dyDescent="0.35">
      <c r="A130" s="3"/>
      <c r="B130" s="3"/>
      <c r="C130" s="3"/>
      <c r="D130" s="3"/>
      <c r="E130" s="3"/>
      <c r="F130" s="3"/>
      <c r="G130" s="3"/>
    </row>
    <row r="131" spans="1:7" x14ac:dyDescent="0.35">
      <c r="A131" s="3"/>
      <c r="B131" s="3"/>
      <c r="C131" s="3"/>
      <c r="D131" s="3"/>
      <c r="E131" s="3"/>
      <c r="F131" s="3"/>
      <c r="G131" s="3"/>
    </row>
    <row r="132" spans="1:7" x14ac:dyDescent="0.35">
      <c r="A132" s="3"/>
      <c r="B132" s="3"/>
      <c r="C132" s="3"/>
      <c r="D132" s="3"/>
      <c r="E132" s="3"/>
      <c r="F132" s="3"/>
      <c r="G132" s="3"/>
    </row>
    <row r="133" spans="1:7" x14ac:dyDescent="0.35">
      <c r="A133" s="3"/>
      <c r="B133" s="3"/>
      <c r="C133" s="3"/>
      <c r="D133" s="3"/>
      <c r="E133" s="3"/>
      <c r="F133" s="3"/>
      <c r="G133" s="3"/>
    </row>
    <row r="134" spans="1:7" x14ac:dyDescent="0.35">
      <c r="A134" s="3"/>
      <c r="B134" s="3"/>
      <c r="C134" s="3"/>
      <c r="D134" s="3"/>
      <c r="E134" s="3"/>
      <c r="F134" s="3"/>
      <c r="G134" s="3"/>
    </row>
    <row r="135" spans="1:7" x14ac:dyDescent="0.35">
      <c r="A135" s="3"/>
      <c r="B135" s="3"/>
      <c r="C135" s="3"/>
      <c r="D135" s="3"/>
      <c r="E135" s="3"/>
      <c r="F135" s="3"/>
      <c r="G135" s="3"/>
    </row>
    <row r="136" spans="1:7" x14ac:dyDescent="0.35">
      <c r="A136" s="3"/>
      <c r="B136" s="3"/>
      <c r="C136" s="3"/>
      <c r="D136" s="3"/>
      <c r="E136" s="3"/>
      <c r="F136" s="3"/>
      <c r="G136" s="3"/>
    </row>
    <row r="137" spans="1:7" x14ac:dyDescent="0.35">
      <c r="A137" s="3"/>
      <c r="B137" s="3"/>
      <c r="C137" s="3"/>
      <c r="D137" s="3"/>
      <c r="E137" s="3"/>
      <c r="F137" s="3"/>
      <c r="G137" s="3"/>
    </row>
    <row r="138" spans="1:7" x14ac:dyDescent="0.35">
      <c r="A138" s="3"/>
      <c r="B138" s="3"/>
      <c r="C138" s="3"/>
      <c r="D138" s="3"/>
      <c r="E138" s="3"/>
      <c r="F138" s="3"/>
      <c r="G138" s="3"/>
    </row>
    <row r="139" spans="1:7" x14ac:dyDescent="0.35">
      <c r="A139" s="3"/>
      <c r="B139" s="3"/>
      <c r="C139" s="3"/>
      <c r="D139" s="3"/>
      <c r="E139" s="3"/>
      <c r="F139" s="3"/>
      <c r="G139" s="3"/>
    </row>
    <row r="140" spans="1:7" x14ac:dyDescent="0.35">
      <c r="A140" s="3"/>
      <c r="B140" s="3"/>
      <c r="C140" s="3"/>
      <c r="D140" s="3"/>
      <c r="E140" s="3"/>
      <c r="F140" s="3"/>
      <c r="G140" s="3"/>
    </row>
    <row r="141" spans="1:7" x14ac:dyDescent="0.35">
      <c r="A141" s="3"/>
      <c r="B141" s="3"/>
      <c r="C141" s="3"/>
      <c r="D141" s="3"/>
      <c r="E141" s="3"/>
      <c r="F141" s="3"/>
      <c r="G141" s="3"/>
    </row>
    <row r="142" spans="1:7" x14ac:dyDescent="0.35">
      <c r="A142" s="3"/>
      <c r="B142" s="3"/>
      <c r="C142" s="3"/>
      <c r="D142" s="3"/>
      <c r="E142" s="3"/>
      <c r="F142" s="3"/>
      <c r="G142" s="3"/>
    </row>
    <row r="143" spans="1:7" x14ac:dyDescent="0.35">
      <c r="A143" s="3"/>
      <c r="B143" s="3"/>
      <c r="C143" s="3"/>
      <c r="D143" s="3"/>
      <c r="E143" s="3"/>
      <c r="F143" s="3"/>
      <c r="G143" s="3"/>
    </row>
    <row r="144" spans="1:7" x14ac:dyDescent="0.35">
      <c r="A144" s="3"/>
      <c r="B144" s="3"/>
      <c r="C144" s="3"/>
      <c r="D144" s="3"/>
      <c r="E144" s="3"/>
      <c r="F144" s="3"/>
      <c r="G144" s="3"/>
    </row>
    <row r="145" spans="1:7" x14ac:dyDescent="0.35">
      <c r="A145" s="3"/>
      <c r="B145" s="3"/>
      <c r="C145" s="3"/>
      <c r="D145" s="3"/>
      <c r="E145" s="3"/>
      <c r="F145" s="3"/>
      <c r="G145" s="3"/>
    </row>
    <row r="146" spans="1:7" x14ac:dyDescent="0.35">
      <c r="A146" s="3"/>
      <c r="B146" s="3"/>
      <c r="C146" s="3"/>
      <c r="D146" s="3"/>
      <c r="E146" s="3"/>
      <c r="F146" s="3"/>
      <c r="G146" s="3"/>
    </row>
    <row r="147" spans="1:7" x14ac:dyDescent="0.35">
      <c r="A147" s="3"/>
      <c r="B147" s="3"/>
      <c r="C147" s="3"/>
      <c r="D147" s="3"/>
      <c r="E147" s="3"/>
      <c r="F147" s="3"/>
      <c r="G147" s="3"/>
    </row>
    <row r="148" spans="1:7" x14ac:dyDescent="0.35">
      <c r="A148" s="3"/>
      <c r="B148" s="3"/>
      <c r="C148" s="3"/>
      <c r="D148" s="3"/>
      <c r="E148" s="3"/>
      <c r="F148" s="3"/>
      <c r="G148" s="3"/>
    </row>
    <row r="149" spans="1:7" x14ac:dyDescent="0.35">
      <c r="A149" s="3"/>
      <c r="B149" s="3"/>
      <c r="C149" s="3"/>
      <c r="D149" s="3"/>
      <c r="E149" s="3"/>
      <c r="F149" s="3"/>
      <c r="G149" s="3"/>
    </row>
    <row r="150" spans="1:7" x14ac:dyDescent="0.35">
      <c r="A150" s="3"/>
      <c r="B150" s="3"/>
      <c r="C150" s="3"/>
      <c r="D150" s="3"/>
      <c r="E150" s="3"/>
      <c r="F150" s="3"/>
      <c r="G150" s="3"/>
    </row>
    <row r="151" spans="1:7" x14ac:dyDescent="0.35">
      <c r="A151" s="3"/>
      <c r="B151" s="3"/>
      <c r="C151" s="3"/>
      <c r="D151" s="3"/>
      <c r="E151" s="3"/>
      <c r="F151" s="3"/>
      <c r="G151" s="3"/>
    </row>
    <row r="152" spans="1:7" x14ac:dyDescent="0.35">
      <c r="A152" s="3"/>
      <c r="B152" s="3"/>
      <c r="C152" s="3"/>
      <c r="D152" s="3"/>
      <c r="E152" s="3"/>
      <c r="F152" s="3"/>
      <c r="G152" s="3"/>
    </row>
    <row r="153" spans="1:7" x14ac:dyDescent="0.35">
      <c r="A153" s="3"/>
      <c r="B153" s="3"/>
      <c r="C153" s="3"/>
      <c r="D153" s="3"/>
      <c r="E153" s="3"/>
      <c r="F153" s="3"/>
      <c r="G153" s="3"/>
    </row>
    <row r="154" spans="1:7" x14ac:dyDescent="0.35">
      <c r="A154" s="3"/>
      <c r="B154" s="3"/>
      <c r="C154" s="3"/>
      <c r="D154" s="3"/>
      <c r="E154" s="3"/>
      <c r="F154" s="3"/>
      <c r="G154" s="3"/>
    </row>
    <row r="155" spans="1:7" x14ac:dyDescent="0.35">
      <c r="A155" s="3"/>
      <c r="B155" s="3"/>
      <c r="C155" s="3"/>
      <c r="D155" s="3"/>
      <c r="E155" s="3"/>
      <c r="F155" s="3"/>
      <c r="G155" s="3"/>
    </row>
    <row r="156" spans="1:7" x14ac:dyDescent="0.35">
      <c r="A156" s="3"/>
      <c r="B156" s="3"/>
      <c r="C156" s="3"/>
      <c r="D156" s="3"/>
      <c r="E156" s="3"/>
      <c r="F156" s="3"/>
      <c r="G156" s="3"/>
    </row>
    <row r="157" spans="1:7" x14ac:dyDescent="0.35">
      <c r="A157" s="3"/>
      <c r="B157" s="3"/>
      <c r="C157" s="3"/>
      <c r="D157" s="3"/>
      <c r="E157" s="3"/>
      <c r="F157" s="3"/>
      <c r="G157" s="3"/>
    </row>
    <row r="158" spans="1:7" x14ac:dyDescent="0.35">
      <c r="A158" s="3"/>
      <c r="B158" s="3"/>
      <c r="C158" s="3"/>
      <c r="D158" s="3"/>
      <c r="E158" s="3"/>
      <c r="F158" s="3"/>
      <c r="G158" s="3"/>
    </row>
    <row r="159" spans="1:7" x14ac:dyDescent="0.35">
      <c r="A159" s="3"/>
      <c r="B159" s="3"/>
      <c r="C159" s="3"/>
      <c r="D159" s="3"/>
      <c r="E159" s="3"/>
      <c r="F159" s="3"/>
      <c r="G159" s="3"/>
    </row>
    <row r="160" spans="1:7" x14ac:dyDescent="0.35">
      <c r="A160" s="3"/>
      <c r="B160" s="3"/>
      <c r="C160" s="3"/>
      <c r="D160" s="3"/>
      <c r="E160" s="3"/>
      <c r="F160" s="3"/>
      <c r="G160" s="3"/>
    </row>
    <row r="161" spans="1:7" x14ac:dyDescent="0.35">
      <c r="A161" s="3"/>
      <c r="B161" s="3"/>
      <c r="C161" s="3"/>
      <c r="D161" s="3"/>
      <c r="E161" s="3"/>
      <c r="F161" s="3"/>
      <c r="G161" s="3"/>
    </row>
    <row r="162" spans="1:7" x14ac:dyDescent="0.35">
      <c r="A162" s="3"/>
      <c r="B162" s="3"/>
      <c r="C162" s="3"/>
      <c r="D162" s="3"/>
      <c r="E162" s="3"/>
      <c r="F162" s="3"/>
      <c r="G162" s="3"/>
    </row>
    <row r="163" spans="1:7" x14ac:dyDescent="0.35">
      <c r="A163" s="3"/>
      <c r="B163" s="3"/>
      <c r="C163" s="3"/>
      <c r="D163" s="3"/>
      <c r="E163" s="3"/>
      <c r="F163" s="3"/>
      <c r="G163" s="3"/>
    </row>
    <row r="164" spans="1:7" x14ac:dyDescent="0.35">
      <c r="A164" s="3"/>
      <c r="B164" s="3"/>
      <c r="C164" s="3"/>
      <c r="D164" s="3"/>
      <c r="E164" s="3"/>
      <c r="F164" s="3"/>
      <c r="G164" s="3"/>
    </row>
    <row r="165" spans="1:7" x14ac:dyDescent="0.35">
      <c r="A165" s="3"/>
      <c r="B165" s="3"/>
      <c r="C165" s="3"/>
      <c r="D165" s="3"/>
      <c r="E165" s="3"/>
      <c r="F165" s="3"/>
      <c r="G165" s="3"/>
    </row>
    <row r="166" spans="1:7" x14ac:dyDescent="0.35">
      <c r="A166" s="3"/>
      <c r="B166" s="3"/>
      <c r="C166" s="3"/>
      <c r="D166" s="3"/>
      <c r="E166" s="3"/>
      <c r="F166" s="3"/>
      <c r="G166" s="3"/>
    </row>
    <row r="167" spans="1:7" x14ac:dyDescent="0.35">
      <c r="A167" s="3"/>
      <c r="B167" s="3"/>
      <c r="C167" s="3"/>
      <c r="D167" s="3"/>
      <c r="E167" s="3"/>
      <c r="F167" s="3"/>
      <c r="G167" s="3"/>
    </row>
    <row r="168" spans="1:7" x14ac:dyDescent="0.35">
      <c r="A168" s="3"/>
      <c r="B168" s="3"/>
      <c r="C168" s="3"/>
      <c r="D168" s="3"/>
      <c r="E168" s="3"/>
      <c r="F168" s="3"/>
      <c r="G168" s="3"/>
    </row>
    <row r="169" spans="1:7" x14ac:dyDescent="0.35">
      <c r="A169" s="3"/>
      <c r="B169" s="3"/>
      <c r="C169" s="3"/>
      <c r="D169" s="3"/>
      <c r="E169" s="3"/>
      <c r="F169" s="3"/>
      <c r="G169" s="3"/>
    </row>
    <row r="170" spans="1:7" x14ac:dyDescent="0.35">
      <c r="A170" s="3"/>
      <c r="B170" s="3"/>
      <c r="C170" s="3"/>
      <c r="D170" s="3"/>
      <c r="E170" s="3"/>
      <c r="F170" s="3"/>
      <c r="G170" s="3"/>
    </row>
    <row r="171" spans="1:7" x14ac:dyDescent="0.35">
      <c r="A171" s="3"/>
      <c r="B171" s="3"/>
      <c r="C171" s="3"/>
      <c r="D171" s="3"/>
      <c r="E171" s="3"/>
      <c r="F171" s="3"/>
      <c r="G171" s="3"/>
    </row>
    <row r="172" spans="1:7" x14ac:dyDescent="0.35">
      <c r="A172" s="3"/>
      <c r="B172" s="3"/>
      <c r="C172" s="3"/>
      <c r="D172" s="3"/>
      <c r="E172" s="3"/>
      <c r="F172" s="3"/>
      <c r="G172" s="3"/>
    </row>
    <row r="173" spans="1:7" x14ac:dyDescent="0.35">
      <c r="A173" s="3"/>
      <c r="B173" s="3"/>
      <c r="C173" s="3"/>
      <c r="D173" s="3"/>
      <c r="E173" s="3"/>
      <c r="F173" s="3"/>
      <c r="G173" s="3"/>
    </row>
    <row r="174" spans="1:7" x14ac:dyDescent="0.35">
      <c r="A174" s="3"/>
      <c r="B174" s="3"/>
      <c r="C174" s="3"/>
      <c r="D174" s="3"/>
      <c r="E174" s="3"/>
      <c r="F174" s="3"/>
      <c r="G174" s="3"/>
    </row>
    <row r="175" spans="1:7" x14ac:dyDescent="0.35">
      <c r="A175" s="3"/>
      <c r="B175" s="3"/>
      <c r="C175" s="3"/>
      <c r="D175" s="3"/>
      <c r="E175" s="3"/>
      <c r="F175" s="3"/>
      <c r="G175" s="3"/>
    </row>
    <row r="176" spans="1:7" x14ac:dyDescent="0.35">
      <c r="A176" s="3"/>
      <c r="B176" s="3"/>
      <c r="C176" s="3"/>
      <c r="D176" s="3"/>
      <c r="E176" s="3"/>
      <c r="F176" s="3"/>
      <c r="G176" s="3"/>
    </row>
    <row r="177" spans="1:7" x14ac:dyDescent="0.35">
      <c r="A177" s="3"/>
      <c r="B177" s="3"/>
      <c r="C177" s="3"/>
      <c r="D177" s="3"/>
      <c r="E177" s="3"/>
      <c r="F177" s="3"/>
      <c r="G177" s="3"/>
    </row>
    <row r="178" spans="1:7" x14ac:dyDescent="0.35">
      <c r="A178" s="3"/>
      <c r="B178" s="3"/>
      <c r="C178" s="3"/>
      <c r="D178" s="3"/>
      <c r="E178" s="3"/>
      <c r="F178" s="3"/>
      <c r="G178" s="3"/>
    </row>
    <row r="179" spans="1:7" x14ac:dyDescent="0.35">
      <c r="A179" s="3"/>
      <c r="B179" s="3"/>
      <c r="C179" s="3"/>
      <c r="D179" s="3"/>
      <c r="E179" s="3"/>
      <c r="F179" s="3"/>
      <c r="G179" s="3"/>
    </row>
    <row r="180" spans="1:7" x14ac:dyDescent="0.35">
      <c r="A180" s="3"/>
      <c r="B180" s="3"/>
      <c r="C180" s="3"/>
      <c r="D180" s="3"/>
      <c r="E180" s="3"/>
      <c r="F180" s="3"/>
      <c r="G180" s="3"/>
    </row>
    <row r="181" spans="1:7" x14ac:dyDescent="0.35">
      <c r="A181" s="3"/>
      <c r="B181" s="3"/>
      <c r="C181" s="3"/>
      <c r="D181" s="3"/>
      <c r="E181" s="3"/>
      <c r="F181" s="3"/>
      <c r="G181" s="3"/>
    </row>
    <row r="182" spans="1:7" x14ac:dyDescent="0.35">
      <c r="A182" s="3"/>
      <c r="B182" s="3"/>
      <c r="C182" s="3"/>
      <c r="D182" s="3"/>
      <c r="E182" s="3"/>
      <c r="F182" s="3"/>
      <c r="G182" s="3"/>
    </row>
    <row r="183" spans="1:7" x14ac:dyDescent="0.35">
      <c r="A183" s="3"/>
      <c r="B183" s="3"/>
      <c r="C183" s="3"/>
      <c r="D183" s="3"/>
      <c r="E183" s="3"/>
      <c r="F183" s="3"/>
      <c r="G183" s="3"/>
    </row>
    <row r="184" spans="1:7" x14ac:dyDescent="0.35">
      <c r="A184" s="3"/>
      <c r="B184" s="3"/>
      <c r="C184" s="3"/>
      <c r="D184" s="3"/>
      <c r="E184" s="3"/>
      <c r="F184" s="3"/>
      <c r="G184" s="3"/>
    </row>
    <row r="185" spans="1:7" x14ac:dyDescent="0.35">
      <c r="A185" s="3"/>
      <c r="B185" s="3"/>
      <c r="C185" s="3"/>
      <c r="D185" s="3"/>
      <c r="E185" s="3"/>
      <c r="F185" s="3"/>
      <c r="G185" s="3"/>
    </row>
    <row r="186" spans="1:7" x14ac:dyDescent="0.35">
      <c r="A186" s="3"/>
      <c r="B186" s="3"/>
      <c r="C186" s="3"/>
      <c r="D186" s="3"/>
      <c r="E186" s="3"/>
      <c r="F186" s="3"/>
      <c r="G186" s="3"/>
    </row>
    <row r="187" spans="1:7" x14ac:dyDescent="0.35">
      <c r="A187" s="3"/>
      <c r="B187" s="3"/>
      <c r="C187" s="3"/>
      <c r="D187" s="3"/>
      <c r="E187" s="3"/>
      <c r="F187" s="3"/>
      <c r="G187" s="3"/>
    </row>
    <row r="188" spans="1:7" x14ac:dyDescent="0.35">
      <c r="A188" s="3"/>
      <c r="B188" s="3"/>
      <c r="C188" s="3"/>
      <c r="D188" s="3"/>
      <c r="E188" s="3"/>
      <c r="F188" s="3"/>
      <c r="G188" s="3"/>
    </row>
    <row r="189" spans="1:7" x14ac:dyDescent="0.35">
      <c r="A189" s="3"/>
      <c r="B189" s="3"/>
      <c r="C189" s="3"/>
      <c r="D189" s="3"/>
      <c r="E189" s="3"/>
      <c r="F189" s="3"/>
      <c r="G189" s="3"/>
    </row>
    <row r="190" spans="1:7" x14ac:dyDescent="0.35">
      <c r="A190" s="3"/>
      <c r="B190" s="3"/>
      <c r="C190" s="3"/>
      <c r="D190" s="3"/>
      <c r="E190" s="3"/>
      <c r="F190" s="3"/>
      <c r="G190" s="3"/>
    </row>
    <row r="191" spans="1:7" x14ac:dyDescent="0.35">
      <c r="A191" s="3"/>
      <c r="B191" s="3"/>
      <c r="C191" s="3"/>
      <c r="D191" s="3"/>
      <c r="E191" s="3"/>
      <c r="F191" s="3"/>
      <c r="G191" s="3"/>
    </row>
    <row r="192" spans="1:7" x14ac:dyDescent="0.35">
      <c r="A192" s="3"/>
      <c r="B192" s="3"/>
      <c r="C192" s="3"/>
      <c r="D192" s="3"/>
      <c r="E192" s="3"/>
      <c r="F192" s="3"/>
      <c r="G192" s="3"/>
    </row>
    <row r="193" spans="1:7" x14ac:dyDescent="0.35">
      <c r="A193" s="3"/>
      <c r="B193" s="3"/>
      <c r="C193" s="3"/>
      <c r="D193" s="3"/>
      <c r="E193" s="3"/>
      <c r="F193" s="3"/>
      <c r="G193" s="3"/>
    </row>
    <row r="194" spans="1:7" x14ac:dyDescent="0.35">
      <c r="A194" s="3"/>
      <c r="B194" s="3"/>
      <c r="C194" s="3"/>
      <c r="D194" s="3"/>
      <c r="E194" s="3"/>
      <c r="F194" s="3"/>
      <c r="G194" s="3"/>
    </row>
    <row r="195" spans="1:7" x14ac:dyDescent="0.35">
      <c r="A195" s="3"/>
      <c r="B195" s="3"/>
      <c r="C195" s="3"/>
      <c r="D195" s="3"/>
      <c r="E195" s="3"/>
      <c r="F195" s="3"/>
      <c r="G195" s="3"/>
    </row>
    <row r="196" spans="1:7" x14ac:dyDescent="0.35">
      <c r="A196" s="3"/>
      <c r="B196" s="3"/>
      <c r="C196" s="3"/>
      <c r="D196" s="3"/>
      <c r="E196" s="3"/>
      <c r="F196" s="3"/>
      <c r="G196" s="3"/>
    </row>
    <row r="197" spans="1:7" x14ac:dyDescent="0.35">
      <c r="A197" s="3"/>
      <c r="B197" s="3"/>
      <c r="C197" s="3"/>
      <c r="D197" s="3"/>
      <c r="E197" s="3"/>
      <c r="F197" s="3"/>
      <c r="G197" s="3"/>
    </row>
    <row r="198" spans="1:7" x14ac:dyDescent="0.35">
      <c r="A198" s="3"/>
      <c r="B198" s="3"/>
      <c r="C198" s="3"/>
      <c r="D198" s="3"/>
      <c r="E198" s="3"/>
      <c r="F198" s="3"/>
      <c r="G198" s="3"/>
    </row>
    <row r="199" spans="1:7" x14ac:dyDescent="0.35">
      <c r="A199" s="3"/>
      <c r="B199" s="3"/>
      <c r="C199" s="3"/>
      <c r="D199" s="3"/>
      <c r="E199" s="3"/>
      <c r="F199" s="3"/>
      <c r="G199" s="3"/>
    </row>
    <row r="200" spans="1:7" x14ac:dyDescent="0.35">
      <c r="A200" s="3"/>
      <c r="B200" s="3"/>
      <c r="C200" s="3"/>
      <c r="D200" s="3"/>
      <c r="E200" s="3"/>
      <c r="F200" s="3"/>
      <c r="G200" s="3"/>
    </row>
    <row r="201" spans="1:7" x14ac:dyDescent="0.35">
      <c r="A201" s="3"/>
      <c r="B201" s="3"/>
      <c r="C201" s="3"/>
      <c r="D201" s="3"/>
      <c r="E201" s="3"/>
      <c r="F201" s="3"/>
      <c r="G201" s="3"/>
    </row>
    <row r="202" spans="1:7" x14ac:dyDescent="0.35">
      <c r="A202" s="3"/>
      <c r="B202" s="3"/>
      <c r="C202" s="3"/>
      <c r="D202" s="3"/>
      <c r="E202" s="3"/>
      <c r="F202" s="3"/>
      <c r="G202" s="3"/>
    </row>
    <row r="203" spans="1:7" x14ac:dyDescent="0.35">
      <c r="A203" s="3"/>
      <c r="B203" s="3"/>
      <c r="C203" s="3"/>
      <c r="D203" s="3"/>
      <c r="E203" s="3"/>
      <c r="F203" s="3"/>
      <c r="G203" s="3"/>
    </row>
    <row r="204" spans="1:7" x14ac:dyDescent="0.35">
      <c r="A204" s="3"/>
      <c r="B204" s="3"/>
      <c r="C204" s="3"/>
      <c r="D204" s="3"/>
      <c r="E204" s="3"/>
      <c r="F204" s="3"/>
      <c r="G204" s="3"/>
    </row>
    <row r="205" spans="1:7" x14ac:dyDescent="0.35">
      <c r="A205" s="3"/>
      <c r="B205" s="3"/>
      <c r="C205" s="3"/>
      <c r="D205" s="3"/>
      <c r="E205" s="3"/>
      <c r="F205" s="3"/>
      <c r="G205" s="3"/>
    </row>
    <row r="206" spans="1:7" x14ac:dyDescent="0.35">
      <c r="A206" s="3"/>
      <c r="B206" s="3"/>
      <c r="C206" s="3"/>
      <c r="D206" s="3"/>
      <c r="E206" s="3"/>
      <c r="F206" s="3"/>
      <c r="G206" s="3"/>
    </row>
    <row r="207" spans="1:7" x14ac:dyDescent="0.35">
      <c r="A207" s="3"/>
      <c r="B207" s="3"/>
      <c r="C207" s="3"/>
      <c r="D207" s="3"/>
      <c r="E207" s="3"/>
      <c r="F207" s="3"/>
      <c r="G207" s="3"/>
    </row>
    <row r="208" spans="1:7" x14ac:dyDescent="0.35">
      <c r="A208" s="3"/>
      <c r="B208" s="3"/>
      <c r="C208" s="3"/>
      <c r="D208" s="3"/>
      <c r="E208" s="3"/>
      <c r="F208" s="3"/>
      <c r="G208" s="3"/>
    </row>
    <row r="209" spans="1:7" x14ac:dyDescent="0.35">
      <c r="A209" s="3"/>
      <c r="B209" s="3"/>
      <c r="C209" s="3"/>
      <c r="D209" s="3"/>
      <c r="E209" s="3"/>
      <c r="F209" s="3"/>
      <c r="G209" s="3"/>
    </row>
    <row r="210" spans="1:7" x14ac:dyDescent="0.35">
      <c r="A210" s="3"/>
      <c r="B210" s="3"/>
      <c r="C210" s="3"/>
      <c r="D210" s="3"/>
      <c r="E210" s="3"/>
      <c r="F210" s="3"/>
      <c r="G210" s="3"/>
    </row>
    <row r="211" spans="1:7" x14ac:dyDescent="0.35">
      <c r="A211" s="3"/>
      <c r="B211" s="3"/>
      <c r="C211" s="3"/>
      <c r="D211" s="3"/>
      <c r="E211" s="3"/>
      <c r="F211" s="3"/>
      <c r="G211" s="3"/>
    </row>
    <row r="212" spans="1:7" x14ac:dyDescent="0.35">
      <c r="A212" s="3"/>
      <c r="B212" s="3"/>
      <c r="C212" s="3"/>
      <c r="D212" s="3"/>
      <c r="E212" s="3"/>
      <c r="F212" s="3"/>
      <c r="G212" s="3"/>
    </row>
    <row r="213" spans="1:7" x14ac:dyDescent="0.35">
      <c r="A213" s="3"/>
      <c r="B213" s="3"/>
      <c r="C213" s="3"/>
      <c r="D213" s="3"/>
      <c r="E213" s="3"/>
      <c r="F213" s="3"/>
      <c r="G213" s="3"/>
    </row>
    <row r="214" spans="1:7" x14ac:dyDescent="0.35">
      <c r="A214" s="3"/>
      <c r="B214" s="3"/>
      <c r="C214" s="3"/>
      <c r="D214" s="3"/>
      <c r="E214" s="3"/>
      <c r="F214" s="3"/>
      <c r="G214" s="3"/>
    </row>
    <row r="215" spans="1:7" x14ac:dyDescent="0.35">
      <c r="A215" s="3"/>
      <c r="B215" s="3"/>
      <c r="C215" s="3"/>
      <c r="D215" s="3"/>
      <c r="E215" s="3"/>
      <c r="F215" s="3"/>
      <c r="G215" s="3"/>
    </row>
    <row r="216" spans="1:7" x14ac:dyDescent="0.35">
      <c r="A216" s="3"/>
      <c r="B216" s="3"/>
      <c r="C216" s="3"/>
      <c r="D216" s="3"/>
      <c r="E216" s="3"/>
      <c r="F216" s="3"/>
      <c r="G216" s="3"/>
    </row>
    <row r="217" spans="1:7" x14ac:dyDescent="0.35">
      <c r="A217" s="3"/>
      <c r="B217" s="3"/>
      <c r="C217" s="3"/>
      <c r="D217" s="3"/>
      <c r="E217" s="3"/>
      <c r="F217" s="3"/>
      <c r="G217" s="3"/>
    </row>
    <row r="218" spans="1:7" x14ac:dyDescent="0.35">
      <c r="A218" s="3"/>
      <c r="B218" s="3"/>
      <c r="C218" s="3"/>
      <c r="D218" s="3"/>
      <c r="E218" s="3"/>
      <c r="F218" s="3"/>
      <c r="G218" s="3"/>
    </row>
    <row r="219" spans="1:7" x14ac:dyDescent="0.35">
      <c r="A219" s="3"/>
      <c r="B219" s="3"/>
      <c r="C219" s="3"/>
      <c r="D219" s="3"/>
      <c r="E219" s="3"/>
      <c r="F219" s="3"/>
      <c r="G219" s="3"/>
    </row>
    <row r="220" spans="1:7" x14ac:dyDescent="0.35">
      <c r="A220" s="3"/>
      <c r="B220" s="3"/>
      <c r="C220" s="3"/>
      <c r="D220" s="3"/>
      <c r="E220" s="3"/>
      <c r="F220" s="3"/>
      <c r="G220" s="3"/>
    </row>
    <row r="221" spans="1:7" x14ac:dyDescent="0.35">
      <c r="A221" s="3"/>
      <c r="B221" s="3"/>
      <c r="C221" s="3"/>
      <c r="D221" s="3"/>
      <c r="E221" s="3"/>
      <c r="F221" s="3"/>
      <c r="G221" s="3"/>
    </row>
    <row r="222" spans="1:7" x14ac:dyDescent="0.35">
      <c r="A222" s="3"/>
      <c r="B222" s="3"/>
      <c r="C222" s="3"/>
      <c r="D222" s="3"/>
      <c r="E222" s="3"/>
      <c r="F222" s="3"/>
      <c r="G222" s="3"/>
    </row>
    <row r="223" spans="1:7" x14ac:dyDescent="0.35">
      <c r="A223" s="3"/>
      <c r="B223" s="3"/>
      <c r="C223" s="3"/>
      <c r="D223" s="3"/>
      <c r="E223" s="3"/>
      <c r="F223" s="3"/>
      <c r="G223" s="3"/>
    </row>
    <row r="224" spans="1:7" x14ac:dyDescent="0.35">
      <c r="A224" s="3"/>
      <c r="B224" s="3"/>
      <c r="C224" s="3"/>
      <c r="D224" s="3"/>
      <c r="E224" s="3"/>
      <c r="F224" s="3"/>
      <c r="G224" s="3"/>
    </row>
    <row r="225" spans="1:7" x14ac:dyDescent="0.35">
      <c r="A225" s="3"/>
      <c r="B225" s="3"/>
      <c r="C225" s="3"/>
      <c r="D225" s="3"/>
      <c r="E225" s="3"/>
      <c r="F225" s="3"/>
      <c r="G225" s="3"/>
    </row>
    <row r="226" spans="1:7" x14ac:dyDescent="0.35">
      <c r="A226" s="3"/>
      <c r="B226" s="3"/>
      <c r="C226" s="3"/>
      <c r="D226" s="3"/>
      <c r="E226" s="3"/>
      <c r="F226" s="3"/>
      <c r="G226" s="3"/>
    </row>
    <row r="227" spans="1:7" x14ac:dyDescent="0.35">
      <c r="A227" s="3"/>
      <c r="B227" s="3"/>
      <c r="C227" s="3"/>
      <c r="D227" s="3"/>
      <c r="E227" s="3"/>
      <c r="F227" s="3"/>
      <c r="G227" s="3"/>
    </row>
    <row r="228" spans="1:7" x14ac:dyDescent="0.35">
      <c r="A228" s="3"/>
      <c r="B228" s="3"/>
      <c r="C228" s="3"/>
      <c r="D228" s="3"/>
      <c r="E228" s="3"/>
      <c r="F228" s="3"/>
      <c r="G228" s="3"/>
    </row>
    <row r="229" spans="1:7" x14ac:dyDescent="0.35">
      <c r="A229" s="3"/>
      <c r="B229" s="3"/>
      <c r="C229" s="3"/>
      <c r="D229" s="3"/>
      <c r="E229" s="3"/>
      <c r="F229" s="3"/>
      <c r="G229" s="3"/>
    </row>
    <row r="230" spans="1:7" x14ac:dyDescent="0.35">
      <c r="A230" s="3"/>
      <c r="B230" s="3"/>
      <c r="C230" s="3"/>
      <c r="D230" s="3"/>
      <c r="E230" s="3"/>
      <c r="F230" s="3"/>
      <c r="G230" s="3"/>
    </row>
    <row r="231" spans="1:7" x14ac:dyDescent="0.35">
      <c r="A231" s="3"/>
      <c r="B231" s="3"/>
      <c r="C231" s="3"/>
      <c r="D231" s="3"/>
      <c r="E231" s="3"/>
      <c r="F231" s="3"/>
      <c r="G231" s="3"/>
    </row>
    <row r="232" spans="1:7" x14ac:dyDescent="0.35">
      <c r="A232" s="3"/>
      <c r="B232" s="3"/>
      <c r="C232" s="3"/>
      <c r="D232" s="3"/>
      <c r="E232" s="3"/>
      <c r="F232" s="3"/>
      <c r="G232" s="3"/>
    </row>
    <row r="233" spans="1:7" x14ac:dyDescent="0.35">
      <c r="A233" s="3"/>
      <c r="B233" s="3"/>
      <c r="C233" s="3"/>
      <c r="D233" s="3"/>
      <c r="E233" s="3"/>
      <c r="F233" s="3"/>
      <c r="G233" s="3"/>
    </row>
    <row r="234" spans="1:7" x14ac:dyDescent="0.35">
      <c r="A234" s="3"/>
      <c r="B234" s="3"/>
      <c r="C234" s="3"/>
      <c r="D234" s="3"/>
      <c r="E234" s="3"/>
      <c r="F234" s="3"/>
      <c r="G234" s="3"/>
    </row>
    <row r="235" spans="1:7" x14ac:dyDescent="0.35">
      <c r="A235" s="3"/>
      <c r="B235" s="3"/>
      <c r="C235" s="3"/>
      <c r="D235" s="3"/>
      <c r="E235" s="3"/>
      <c r="F235" s="3"/>
      <c r="G235" s="3"/>
    </row>
    <row r="236" spans="1:7" x14ac:dyDescent="0.35">
      <c r="A236" s="3"/>
      <c r="B236" s="3"/>
      <c r="C236" s="3"/>
      <c r="D236" s="3"/>
      <c r="E236" s="3"/>
      <c r="F236" s="3"/>
      <c r="G236" s="3"/>
    </row>
    <row r="237" spans="1:7" x14ac:dyDescent="0.35">
      <c r="A237" s="3"/>
      <c r="B237" s="3"/>
      <c r="C237" s="3"/>
      <c r="D237" s="3"/>
      <c r="E237" s="3"/>
      <c r="F237" s="3"/>
      <c r="G237" s="3"/>
    </row>
    <row r="238" spans="1:7" x14ac:dyDescent="0.35">
      <c r="A238" s="3"/>
      <c r="B238" s="3"/>
      <c r="C238" s="3"/>
      <c r="D238" s="3"/>
      <c r="E238" s="3"/>
      <c r="F238" s="3"/>
      <c r="G238" s="3"/>
    </row>
    <row r="239" spans="1:7" x14ac:dyDescent="0.35">
      <c r="A239" s="3"/>
      <c r="B239" s="3"/>
      <c r="C239" s="3"/>
      <c r="D239" s="3"/>
      <c r="E239" s="3"/>
      <c r="F239" s="3"/>
      <c r="G239" s="3"/>
    </row>
    <row r="240" spans="1:7" x14ac:dyDescent="0.35">
      <c r="A240" s="3"/>
      <c r="B240" s="3"/>
      <c r="C240" s="3"/>
      <c r="D240" s="3"/>
      <c r="E240" s="3"/>
      <c r="F240" s="3"/>
      <c r="G240" s="3"/>
    </row>
    <row r="241" spans="1:7" x14ac:dyDescent="0.35">
      <c r="A241" s="3"/>
      <c r="B241" s="3"/>
      <c r="C241" s="3"/>
      <c r="D241" s="3"/>
      <c r="E241" s="3"/>
      <c r="F241" s="3"/>
      <c r="G241" s="3"/>
    </row>
    <row r="242" spans="1:7" x14ac:dyDescent="0.35">
      <c r="A242" s="3"/>
      <c r="B242" s="3"/>
      <c r="C242" s="3"/>
      <c r="D242" s="3"/>
      <c r="E242" s="3"/>
      <c r="F242" s="3"/>
      <c r="G242" s="3"/>
    </row>
    <row r="243" spans="1:7" x14ac:dyDescent="0.35">
      <c r="A243" s="3"/>
      <c r="B243" s="3"/>
      <c r="C243" s="3"/>
      <c r="D243" s="3"/>
      <c r="E243" s="3"/>
      <c r="F243" s="3"/>
      <c r="G243" s="3"/>
    </row>
    <row r="244" spans="1:7" x14ac:dyDescent="0.35">
      <c r="A244" s="3"/>
      <c r="B244" s="3"/>
      <c r="C244" s="3"/>
      <c r="D244" s="3"/>
      <c r="E244" s="3"/>
      <c r="F244" s="3"/>
      <c r="G244" s="3"/>
    </row>
    <row r="245" spans="1:7" x14ac:dyDescent="0.35">
      <c r="A245" s="3"/>
      <c r="B245" s="3"/>
      <c r="C245" s="3"/>
      <c r="D245" s="3"/>
      <c r="E245" s="3"/>
      <c r="F245" s="3"/>
      <c r="G245" s="3"/>
    </row>
    <row r="246" spans="1:7" x14ac:dyDescent="0.35">
      <c r="A246" s="3"/>
      <c r="B246" s="3"/>
      <c r="C246" s="3"/>
      <c r="D246" s="3"/>
      <c r="E246" s="3"/>
      <c r="F246" s="3"/>
      <c r="G246" s="3"/>
    </row>
    <row r="247" spans="1:7" x14ac:dyDescent="0.35">
      <c r="A247" s="3"/>
      <c r="B247" s="3"/>
      <c r="C247" s="3"/>
      <c r="D247" s="3"/>
      <c r="E247" s="3"/>
      <c r="F247" s="3"/>
      <c r="G247" s="3"/>
    </row>
    <row r="248" spans="1:7" x14ac:dyDescent="0.35">
      <c r="A248" s="3"/>
      <c r="B248" s="3"/>
      <c r="C248" s="3"/>
      <c r="D248" s="3"/>
      <c r="E248" s="3"/>
      <c r="F248" s="3"/>
      <c r="G248" s="3"/>
    </row>
    <row r="249" spans="1:7" x14ac:dyDescent="0.35">
      <c r="A249" s="3"/>
      <c r="B249" s="3"/>
      <c r="C249" s="3"/>
      <c r="D249" s="3"/>
      <c r="E249" s="3"/>
      <c r="F249" s="3"/>
      <c r="G249" s="3"/>
    </row>
    <row r="250" spans="1:7" x14ac:dyDescent="0.35">
      <c r="A250" s="3"/>
      <c r="B250" s="3"/>
      <c r="C250" s="3"/>
      <c r="D250" s="3"/>
      <c r="E250" s="3"/>
      <c r="F250" s="3"/>
      <c r="G250" s="3"/>
    </row>
    <row r="251" spans="1:7" x14ac:dyDescent="0.35">
      <c r="A251" s="3"/>
      <c r="B251" s="3"/>
      <c r="C251" s="3"/>
      <c r="D251" s="3"/>
      <c r="E251" s="3"/>
      <c r="F251" s="3"/>
      <c r="G251" s="3"/>
    </row>
    <row r="252" spans="1:7" x14ac:dyDescent="0.35">
      <c r="A252" s="3"/>
      <c r="B252" s="3"/>
      <c r="C252" s="3"/>
      <c r="D252" s="3"/>
      <c r="E252" s="3"/>
      <c r="F252" s="3"/>
      <c r="G252" s="3"/>
    </row>
    <row r="253" spans="1:7" x14ac:dyDescent="0.35">
      <c r="A253" s="3"/>
      <c r="B253" s="3"/>
      <c r="C253" s="3"/>
      <c r="D253" s="3"/>
      <c r="E253" s="3"/>
      <c r="F253" s="3"/>
      <c r="G253" s="3"/>
    </row>
    <row r="254" spans="1:7" x14ac:dyDescent="0.35">
      <c r="A254" s="3"/>
      <c r="B254" s="3"/>
      <c r="C254" s="3"/>
      <c r="D254" s="3"/>
      <c r="E254" s="3"/>
      <c r="F254" s="3"/>
      <c r="G254" s="3"/>
    </row>
    <row r="255" spans="1:7" x14ac:dyDescent="0.35">
      <c r="A255" s="3"/>
      <c r="B255" s="3"/>
      <c r="C255" s="3"/>
      <c r="D255" s="3"/>
      <c r="E255" s="3"/>
      <c r="F255" s="3"/>
      <c r="G255" s="3"/>
    </row>
    <row r="256" spans="1:7" x14ac:dyDescent="0.35">
      <c r="A256" s="3"/>
      <c r="B256" s="3"/>
      <c r="C256" s="3"/>
      <c r="D256" s="3"/>
      <c r="E256" s="3"/>
      <c r="F256" s="3"/>
      <c r="G256" s="3"/>
    </row>
    <row r="257" spans="1:7" x14ac:dyDescent="0.35">
      <c r="A257" s="3"/>
      <c r="B257" s="3"/>
      <c r="C257" s="3"/>
      <c r="D257" s="3"/>
      <c r="E257" s="3"/>
      <c r="F257" s="3"/>
      <c r="G257" s="3"/>
    </row>
    <row r="258" spans="1:7" x14ac:dyDescent="0.35">
      <c r="A258" s="3"/>
      <c r="B258" s="3"/>
      <c r="C258" s="3"/>
      <c r="D258" s="3"/>
      <c r="E258" s="3"/>
      <c r="F258" s="3"/>
      <c r="G258" s="3"/>
    </row>
    <row r="259" spans="1:7" x14ac:dyDescent="0.35">
      <c r="A259" s="3"/>
      <c r="B259" s="3"/>
      <c r="C259" s="3"/>
      <c r="D259" s="3"/>
      <c r="E259" s="3"/>
      <c r="F259" s="3"/>
      <c r="G259" s="3"/>
    </row>
    <row r="260" spans="1:7" x14ac:dyDescent="0.35">
      <c r="A260" s="3"/>
      <c r="B260" s="3"/>
      <c r="C260" s="3"/>
      <c r="D260" s="3"/>
      <c r="E260" s="3"/>
      <c r="F260" s="3"/>
      <c r="G260" s="3"/>
    </row>
    <row r="261" spans="1:7" x14ac:dyDescent="0.35">
      <c r="A261" s="3"/>
      <c r="B261" s="3"/>
      <c r="C261" s="3"/>
      <c r="D261" s="3"/>
      <c r="E261" s="3"/>
      <c r="F261" s="3"/>
      <c r="G261" s="3"/>
    </row>
    <row r="262" spans="1:7" x14ac:dyDescent="0.35">
      <c r="A262" s="3"/>
      <c r="B262" s="3"/>
      <c r="C262" s="3"/>
      <c r="D262" s="3"/>
      <c r="E262" s="3"/>
      <c r="F262" s="3"/>
      <c r="G262" s="3"/>
    </row>
    <row r="263" spans="1:7" x14ac:dyDescent="0.35">
      <c r="A263" s="3"/>
      <c r="B263" s="3"/>
      <c r="C263" s="3"/>
      <c r="D263" s="3"/>
      <c r="E263" s="3"/>
      <c r="F263" s="3"/>
      <c r="G263" s="3"/>
    </row>
    <row r="264" spans="1:7" x14ac:dyDescent="0.35">
      <c r="A264" s="3"/>
      <c r="B264" s="3"/>
      <c r="C264" s="3"/>
      <c r="D264" s="3"/>
      <c r="E264" s="3"/>
      <c r="F264" s="3"/>
      <c r="G264" s="3"/>
    </row>
    <row r="265" spans="1:7" x14ac:dyDescent="0.35">
      <c r="A265" s="3"/>
      <c r="B265" s="3"/>
      <c r="C265" s="3"/>
      <c r="D265" s="3"/>
      <c r="E265" s="3"/>
      <c r="F265" s="3"/>
      <c r="G265" s="3"/>
    </row>
    <row r="266" spans="1:7" x14ac:dyDescent="0.35">
      <c r="A266" s="3"/>
      <c r="B266" s="3"/>
      <c r="C266" s="3"/>
      <c r="D266" s="3"/>
      <c r="E266" s="3"/>
      <c r="F266" s="3"/>
      <c r="G266" s="3"/>
    </row>
    <row r="267" spans="1:7" x14ac:dyDescent="0.35">
      <c r="A267" s="3"/>
      <c r="B267" s="3"/>
      <c r="C267" s="3"/>
      <c r="D267" s="3"/>
      <c r="E267" s="3"/>
      <c r="F267" s="3"/>
      <c r="G267" s="3"/>
    </row>
    <row r="268" spans="1:7" x14ac:dyDescent="0.35">
      <c r="A268" s="3"/>
      <c r="B268" s="3"/>
      <c r="C268" s="3"/>
      <c r="D268" s="3"/>
      <c r="E268" s="3"/>
      <c r="F268" s="3"/>
      <c r="G268" s="3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71704-1130-4878-A51F-213541569D06}">
  <dimension ref="A3:AJ30"/>
  <sheetViews>
    <sheetView topLeftCell="A5" zoomScale="265" zoomScaleNormal="265" workbookViewId="0">
      <selection activeCell="B33" sqref="B33"/>
    </sheetView>
  </sheetViews>
  <sheetFormatPr defaultRowHeight="14.5" x14ac:dyDescent="0.35"/>
  <sheetData>
    <row r="3" spans="2:17" x14ac:dyDescent="0.35">
      <c r="B3" t="s">
        <v>129</v>
      </c>
    </row>
    <row r="5" spans="2:17" ht="15" thickBot="1" x14ac:dyDescent="0.4"/>
    <row r="6" spans="2:17" ht="15" thickBot="1" x14ac:dyDescent="0.4">
      <c r="B6" s="4"/>
      <c r="C6" s="5">
        <v>2020</v>
      </c>
      <c r="D6" s="5">
        <v>2021</v>
      </c>
      <c r="E6" s="5">
        <v>2022</v>
      </c>
      <c r="F6" s="5">
        <v>2023</v>
      </c>
      <c r="G6" s="5">
        <v>2024</v>
      </c>
      <c r="H6" s="5">
        <v>2025</v>
      </c>
      <c r="I6" s="6">
        <v>2026</v>
      </c>
      <c r="K6" s="5">
        <v>2020</v>
      </c>
      <c r="L6" s="5">
        <v>2021</v>
      </c>
      <c r="M6" s="5">
        <v>2022</v>
      </c>
      <c r="N6" s="5">
        <v>2023</v>
      </c>
      <c r="O6" s="5">
        <v>2024</v>
      </c>
      <c r="P6" s="5">
        <v>2025</v>
      </c>
      <c r="Q6" s="6">
        <v>2026</v>
      </c>
    </row>
    <row r="7" spans="2:17" x14ac:dyDescent="0.35">
      <c r="B7" s="7" t="s">
        <v>130</v>
      </c>
      <c r="C7" s="8">
        <v>153.69999999999999</v>
      </c>
      <c r="D7" s="9">
        <v>176.9</v>
      </c>
      <c r="E7" s="10">
        <v>249</v>
      </c>
      <c r="F7" s="11">
        <v>221.6</v>
      </c>
      <c r="G7" s="9">
        <v>201.1</v>
      </c>
      <c r="H7" s="9">
        <v>203.3</v>
      </c>
      <c r="I7" s="12">
        <v>208.51397766366756</v>
      </c>
      <c r="J7" t="s">
        <v>142</v>
      </c>
      <c r="K7" s="2">
        <f>AVERAGE(C7:C9)</f>
        <v>154.19999999999999</v>
      </c>
      <c r="L7" s="2">
        <f t="shared" ref="L7:Q7" si="0">AVERAGE(D7:D9)</f>
        <v>184.4</v>
      </c>
      <c r="M7" s="2">
        <f t="shared" si="0"/>
        <v>243.13333333333335</v>
      </c>
      <c r="N7" s="2">
        <f t="shared" si="0"/>
        <v>227.16666666666666</v>
      </c>
      <c r="O7" s="2">
        <f t="shared" si="0"/>
        <v>203.19999999999996</v>
      </c>
      <c r="P7" s="2">
        <f t="shared" si="0"/>
        <v>204.73333333333335</v>
      </c>
      <c r="Q7" s="2">
        <f t="shared" si="0"/>
        <v>213.22451005378721</v>
      </c>
    </row>
    <row r="8" spans="2:17" x14ac:dyDescent="0.35">
      <c r="B8" s="7" t="s">
        <v>131</v>
      </c>
      <c r="C8" s="13">
        <v>156.19999999999999</v>
      </c>
      <c r="D8" s="14">
        <v>183.6</v>
      </c>
      <c r="E8" s="15">
        <v>243.1</v>
      </c>
      <c r="F8" s="14">
        <v>229.4</v>
      </c>
      <c r="G8" s="14">
        <v>204.2</v>
      </c>
      <c r="H8" s="14">
        <v>205.8</v>
      </c>
      <c r="I8" s="16">
        <v>214.38499784043054</v>
      </c>
      <c r="J8" t="s">
        <v>143</v>
      </c>
      <c r="K8" s="2">
        <f>AVERAGE(C10:C12)</f>
        <v>149.36666666666667</v>
      </c>
      <c r="L8" s="2">
        <f t="shared" ref="L8:Q8" si="1">AVERAGE(D10:D12)</f>
        <v>215.0333333333333</v>
      </c>
      <c r="M8" s="2">
        <f t="shared" si="1"/>
        <v>243</v>
      </c>
      <c r="N8" s="2">
        <f t="shared" si="1"/>
        <v>223.6</v>
      </c>
      <c r="O8" s="2">
        <f t="shared" si="1"/>
        <v>198.70000000000002</v>
      </c>
      <c r="P8" s="2">
        <f t="shared" si="1"/>
        <v>207.56666666666669</v>
      </c>
      <c r="Q8" s="2">
        <f t="shared" si="1"/>
        <v>214.40223148673942</v>
      </c>
    </row>
    <row r="9" spans="2:17" x14ac:dyDescent="0.35">
      <c r="B9" s="7" t="s">
        <v>132</v>
      </c>
      <c r="C9" s="13">
        <v>152.69999999999999</v>
      </c>
      <c r="D9" s="14">
        <v>192.7</v>
      </c>
      <c r="E9" s="15">
        <v>237.3</v>
      </c>
      <c r="F9" s="17">
        <v>230.5</v>
      </c>
      <c r="G9" s="17">
        <v>204.3</v>
      </c>
      <c r="H9" s="17">
        <v>205.1</v>
      </c>
      <c r="I9" s="16">
        <v>216.77455465726356</v>
      </c>
      <c r="J9" t="s">
        <v>144</v>
      </c>
      <c r="K9" s="2">
        <f>AVERAGE(C13:C15)</f>
        <v>176.93333333333331</v>
      </c>
      <c r="L9" s="2">
        <f t="shared" ref="L9:Q9" si="2">AVERAGE(D13:D15)</f>
        <v>219.9666666666667</v>
      </c>
      <c r="M9" s="2">
        <f t="shared" si="2"/>
        <v>229.79999999999998</v>
      </c>
      <c r="N9" s="2">
        <f t="shared" si="2"/>
        <v>211.70000000000002</v>
      </c>
      <c r="O9" s="2">
        <f t="shared" si="2"/>
        <v>200.86666666666667</v>
      </c>
      <c r="P9" s="2">
        <f t="shared" si="2"/>
        <v>205.4</v>
      </c>
      <c r="Q9" s="2"/>
    </row>
    <row r="10" spans="2:17" x14ac:dyDescent="0.35">
      <c r="B10" s="7" t="s">
        <v>133</v>
      </c>
      <c r="C10" s="13">
        <v>135.69999999999999</v>
      </c>
      <c r="D10" s="14">
        <v>207.7</v>
      </c>
      <c r="E10" s="14">
        <v>241.7</v>
      </c>
      <c r="F10" s="15">
        <v>228.1</v>
      </c>
      <c r="G10" s="15">
        <v>200.9</v>
      </c>
      <c r="H10" s="14">
        <v>209.6</v>
      </c>
      <c r="I10" s="18">
        <v>215.3865218347527</v>
      </c>
      <c r="J10" t="s">
        <v>145</v>
      </c>
      <c r="K10" s="2">
        <f>AVERAGE(C16:C18)</f>
        <v>176.83333333333334</v>
      </c>
      <c r="L10" s="2">
        <f t="shared" ref="L10:Q10" si="3">AVERAGE(D16:D18)</f>
        <v>251.43333333333331</v>
      </c>
      <c r="M10" s="2">
        <f t="shared" si="3"/>
        <v>222.29999999999998</v>
      </c>
      <c r="N10" s="2">
        <f t="shared" si="3"/>
        <v>206.36666666666667</v>
      </c>
      <c r="O10" s="2">
        <f t="shared" si="3"/>
        <v>203.26666666666665</v>
      </c>
      <c r="P10" s="2">
        <f t="shared" si="3"/>
        <v>203.73333333333335</v>
      </c>
      <c r="Q10" s="2"/>
    </row>
    <row r="11" spans="2:17" x14ac:dyDescent="0.35">
      <c r="B11" s="7" t="s">
        <v>134</v>
      </c>
      <c r="C11" s="13">
        <v>149</v>
      </c>
      <c r="D11" s="14">
        <v>218.6</v>
      </c>
      <c r="E11" s="14">
        <v>245.1</v>
      </c>
      <c r="F11" s="15">
        <v>224.9</v>
      </c>
      <c r="G11" s="17">
        <v>199.2</v>
      </c>
      <c r="H11" s="15">
        <v>207.1</v>
      </c>
      <c r="I11" s="19">
        <v>213.41794113872612</v>
      </c>
    </row>
    <row r="12" spans="2:17" x14ac:dyDescent="0.35">
      <c r="B12" s="7" t="s">
        <v>135</v>
      </c>
      <c r="C12" s="13">
        <v>163.4</v>
      </c>
      <c r="D12" s="17">
        <v>218.8</v>
      </c>
      <c r="E12" s="15">
        <v>242.2</v>
      </c>
      <c r="F12" s="15">
        <v>217.8</v>
      </c>
      <c r="G12" s="15">
        <v>196</v>
      </c>
      <c r="H12" s="17">
        <v>206</v>
      </c>
      <c r="I12" s="16"/>
    </row>
    <row r="13" spans="2:17" x14ac:dyDescent="0.35">
      <c r="B13" s="7" t="s">
        <v>136</v>
      </c>
      <c r="C13" s="13">
        <v>173.2</v>
      </c>
      <c r="D13" s="15">
        <v>213.6</v>
      </c>
      <c r="E13" s="15">
        <v>235.5</v>
      </c>
      <c r="F13" s="15">
        <v>210.4</v>
      </c>
      <c r="G13" s="14">
        <v>198</v>
      </c>
      <c r="H13" s="15">
        <v>203.9</v>
      </c>
      <c r="I13" s="20"/>
      <c r="K13">
        <v>154.19999999999999</v>
      </c>
      <c r="L13">
        <v>184.4</v>
      </c>
      <c r="M13">
        <v>243.13333333333335</v>
      </c>
      <c r="N13">
        <v>227.16666666666666</v>
      </c>
      <c r="O13">
        <v>203.19999999999996</v>
      </c>
      <c r="P13">
        <v>204.73333333333335</v>
      </c>
      <c r="Q13">
        <v>213.22451005378721</v>
      </c>
    </row>
    <row r="14" spans="2:17" x14ac:dyDescent="0.35">
      <c r="B14" s="7" t="s">
        <v>137</v>
      </c>
      <c r="C14" s="13">
        <v>180.9</v>
      </c>
      <c r="D14" s="14">
        <v>217</v>
      </c>
      <c r="E14" s="15">
        <v>229.8</v>
      </c>
      <c r="F14" s="14">
        <v>212.6</v>
      </c>
      <c r="G14" s="14">
        <v>202.8</v>
      </c>
      <c r="H14" s="14">
        <v>206.4</v>
      </c>
      <c r="I14" s="20"/>
      <c r="K14">
        <v>149.36666666666667</v>
      </c>
      <c r="L14">
        <v>215.0333333333333</v>
      </c>
      <c r="M14">
        <v>243</v>
      </c>
      <c r="N14">
        <v>223.6</v>
      </c>
      <c r="O14">
        <v>198.70000000000002</v>
      </c>
      <c r="P14">
        <v>207.56666666666669</v>
      </c>
      <c r="Q14">
        <v>214.40223148673942</v>
      </c>
    </row>
    <row r="15" spans="2:17" x14ac:dyDescent="0.35">
      <c r="B15" s="7" t="s">
        <v>138</v>
      </c>
      <c r="C15" s="13">
        <v>176.7</v>
      </c>
      <c r="D15" s="14">
        <v>229.3</v>
      </c>
      <c r="E15" s="15">
        <v>224.1</v>
      </c>
      <c r="F15" s="17">
        <v>212.1</v>
      </c>
      <c r="G15" s="17">
        <v>201.8</v>
      </c>
      <c r="H15" s="17">
        <v>205.9</v>
      </c>
      <c r="I15" s="20"/>
      <c r="K15">
        <v>176.93333333333331</v>
      </c>
      <c r="L15">
        <v>219.9666666666667</v>
      </c>
      <c r="M15">
        <v>229.79999999999998</v>
      </c>
      <c r="N15">
        <v>211.70000000000002</v>
      </c>
      <c r="O15">
        <v>200.86666666666667</v>
      </c>
      <c r="P15">
        <v>205.4</v>
      </c>
    </row>
    <row r="16" spans="2:17" x14ac:dyDescent="0.35">
      <c r="B16" s="7" t="s">
        <v>139</v>
      </c>
      <c r="C16" s="13">
        <v>178.8</v>
      </c>
      <c r="D16" s="14">
        <v>249.2</v>
      </c>
      <c r="E16" s="14">
        <v>226.2</v>
      </c>
      <c r="F16" s="17">
        <v>211.9</v>
      </c>
      <c r="G16" s="14">
        <v>204</v>
      </c>
      <c r="H16" s="17">
        <v>204.4</v>
      </c>
      <c r="I16" s="20"/>
      <c r="K16">
        <v>176.83333333333334</v>
      </c>
      <c r="L16">
        <v>251.43333333333331</v>
      </c>
      <c r="M16">
        <v>222.29999999999998</v>
      </c>
      <c r="N16">
        <v>206.36666666666667</v>
      </c>
      <c r="O16">
        <v>203.26666666666665</v>
      </c>
      <c r="P16">
        <v>203.73333333333335</v>
      </c>
    </row>
    <row r="17" spans="1:36" x14ac:dyDescent="0.35">
      <c r="B17" s="7" t="s">
        <v>140</v>
      </c>
      <c r="C17" s="13">
        <v>175.9</v>
      </c>
      <c r="D17" s="14">
        <v>252.9</v>
      </c>
      <c r="E17" s="15">
        <v>221.6</v>
      </c>
      <c r="F17" s="15">
        <v>204.9</v>
      </c>
      <c r="G17" s="17">
        <v>203</v>
      </c>
      <c r="H17" s="17">
        <v>203</v>
      </c>
      <c r="I17" s="20"/>
    </row>
    <row r="18" spans="1:36" ht="15" thickBot="1" x14ac:dyDescent="0.4">
      <c r="B18" s="21" t="s">
        <v>141</v>
      </c>
      <c r="C18" s="22">
        <v>175.8</v>
      </c>
      <c r="D18" s="23">
        <v>252.2</v>
      </c>
      <c r="E18" s="24">
        <v>219.1</v>
      </c>
      <c r="F18" s="24">
        <v>202.3</v>
      </c>
      <c r="G18" s="23">
        <v>202.8</v>
      </c>
      <c r="H18" s="23">
        <v>203.8</v>
      </c>
      <c r="I18" s="25"/>
    </row>
    <row r="19" spans="1:36" x14ac:dyDescent="0.35">
      <c r="J19" t="s">
        <v>146</v>
      </c>
      <c r="K19" t="s">
        <v>1</v>
      </c>
      <c r="L19" t="s">
        <v>2</v>
      </c>
      <c r="M19" t="s">
        <v>3</v>
      </c>
      <c r="N19" t="s">
        <v>4</v>
      </c>
      <c r="O19" t="s">
        <v>5</v>
      </c>
      <c r="P19" t="s">
        <v>6</v>
      </c>
      <c r="Q19" t="s">
        <v>7</v>
      </c>
      <c r="R19" t="s">
        <v>8</v>
      </c>
      <c r="S19" t="s">
        <v>9</v>
      </c>
      <c r="T19" t="s">
        <v>10</v>
      </c>
      <c r="U19" t="s">
        <v>11</v>
      </c>
      <c r="V19" t="s">
        <v>12</v>
      </c>
      <c r="W19" t="s">
        <v>13</v>
      </c>
      <c r="X19" t="s">
        <v>14</v>
      </c>
      <c r="Y19" t="s">
        <v>15</v>
      </c>
      <c r="Z19" t="s">
        <v>16</v>
      </c>
      <c r="AA19" t="s">
        <v>17</v>
      </c>
      <c r="AB19" t="s">
        <v>18</v>
      </c>
      <c r="AC19" t="s">
        <v>19</v>
      </c>
      <c r="AD19" t="s">
        <v>20</v>
      </c>
      <c r="AE19" t="s">
        <v>21</v>
      </c>
      <c r="AF19" t="s">
        <v>22</v>
      </c>
      <c r="AG19" t="s">
        <v>23</v>
      </c>
      <c r="AH19" t="s">
        <v>24</v>
      </c>
      <c r="AI19" t="s">
        <v>25</v>
      </c>
      <c r="AJ19" t="s">
        <v>26</v>
      </c>
    </row>
    <row r="20" spans="1:36" x14ac:dyDescent="0.35">
      <c r="K20">
        <v>154.19999999999999</v>
      </c>
      <c r="L20">
        <v>149.36666666666667</v>
      </c>
      <c r="M20">
        <v>176.93333333333331</v>
      </c>
      <c r="N20">
        <v>176.83333333333334</v>
      </c>
      <c r="O20">
        <v>184.4</v>
      </c>
      <c r="P20">
        <v>215.0333333333333</v>
      </c>
      <c r="Q20">
        <v>219.9666666666667</v>
      </c>
      <c r="R20">
        <v>251.43333333333331</v>
      </c>
      <c r="S20">
        <v>243.13333333333335</v>
      </c>
      <c r="T20">
        <v>243</v>
      </c>
      <c r="U20">
        <v>229.79999999999998</v>
      </c>
      <c r="V20">
        <v>222.29999999999998</v>
      </c>
      <c r="W20">
        <v>227.16666666666666</v>
      </c>
      <c r="X20">
        <v>223.6</v>
      </c>
      <c r="Y20">
        <v>211.70000000000002</v>
      </c>
      <c r="Z20">
        <v>206.36666666666667</v>
      </c>
      <c r="AA20">
        <v>203.19999999999996</v>
      </c>
      <c r="AB20">
        <v>198.70000000000002</v>
      </c>
      <c r="AC20">
        <v>200.86666666666667</v>
      </c>
      <c r="AD20">
        <v>203.26666666666665</v>
      </c>
      <c r="AE20">
        <v>204.73333333333335</v>
      </c>
      <c r="AF20">
        <v>207.56666666666669</v>
      </c>
      <c r="AG20">
        <v>205.4</v>
      </c>
      <c r="AH20">
        <v>203.73333333333335</v>
      </c>
      <c r="AI20">
        <v>213.22451005378721</v>
      </c>
      <c r="AJ20">
        <v>214.40223148673942</v>
      </c>
    </row>
    <row r="24" spans="1:36" x14ac:dyDescent="0.35">
      <c r="A24" t="s">
        <v>147</v>
      </c>
    </row>
    <row r="26" spans="1:36" x14ac:dyDescent="0.35">
      <c r="B26" s="26" t="s">
        <v>148</v>
      </c>
      <c r="C26" s="27" t="s">
        <v>149</v>
      </c>
      <c r="D26" s="27" t="s">
        <v>150</v>
      </c>
      <c r="E26" s="27" t="s">
        <v>151</v>
      </c>
      <c r="F26" s="27" t="s">
        <v>152</v>
      </c>
      <c r="G26" s="27" t="s">
        <v>153</v>
      </c>
      <c r="H26" s="27" t="s">
        <v>154</v>
      </c>
      <c r="I26" s="27" t="s">
        <v>155</v>
      </c>
      <c r="J26" s="27" t="s">
        <v>156</v>
      </c>
      <c r="K26" s="27" t="s">
        <v>157</v>
      </c>
      <c r="L26" s="27" t="s">
        <v>158</v>
      </c>
      <c r="M26" s="27" t="s">
        <v>159</v>
      </c>
      <c r="N26" s="27" t="s">
        <v>160</v>
      </c>
      <c r="O26" s="27" t="s">
        <v>161</v>
      </c>
      <c r="P26" s="27" t="s">
        <v>162</v>
      </c>
      <c r="Q26" s="27" t="s">
        <v>163</v>
      </c>
      <c r="R26" s="27" t="s">
        <v>164</v>
      </c>
      <c r="S26" s="27" t="s">
        <v>165</v>
      </c>
      <c r="T26" s="27" t="s">
        <v>166</v>
      </c>
      <c r="U26" s="27" t="s">
        <v>167</v>
      </c>
      <c r="V26" s="27" t="s">
        <v>168</v>
      </c>
      <c r="W26" s="27" t="s">
        <v>169</v>
      </c>
      <c r="X26" s="27" t="s">
        <v>170</v>
      </c>
      <c r="Y26" s="27" t="s">
        <v>171</v>
      </c>
      <c r="Z26" s="28" t="s">
        <v>172</v>
      </c>
      <c r="AA26" s="28" t="s">
        <v>173</v>
      </c>
      <c r="AB26" s="28" t="s">
        <v>174</v>
      </c>
      <c r="AC26" s="28" t="s">
        <v>175</v>
      </c>
    </row>
    <row r="27" spans="1:36" x14ac:dyDescent="0.35">
      <c r="A27" t="s">
        <v>176</v>
      </c>
      <c r="B27">
        <v>137.00418167414978</v>
      </c>
      <c r="C27">
        <v>137.00418167414978</v>
      </c>
      <c r="D27">
        <v>137.00418167414978</v>
      </c>
      <c r="E27">
        <v>137.00418167414978</v>
      </c>
      <c r="F27">
        <v>136.05018585441491</v>
      </c>
      <c r="G27">
        <v>137.71644022829031</v>
      </c>
      <c r="H27">
        <v>141.04012781660265</v>
      </c>
      <c r="I27">
        <v>137.89294371010615</v>
      </c>
      <c r="J27">
        <v>138.49607193293747</v>
      </c>
      <c r="K27">
        <v>140.22335045070014</v>
      </c>
      <c r="L27">
        <v>138.66008573665755</v>
      </c>
      <c r="M27">
        <v>136.58352273332832</v>
      </c>
      <c r="N27">
        <v>134.98793985605255</v>
      </c>
      <c r="O27">
        <v>137.43946974051812</v>
      </c>
      <c r="P27">
        <v>137.52755189441376</v>
      </c>
      <c r="Q27">
        <v>137.34694365698502</v>
      </c>
      <c r="R27">
        <v>138.11252402946235</v>
      </c>
      <c r="S27">
        <v>140.23965486216176</v>
      </c>
      <c r="T27">
        <v>139.67959707278723</v>
      </c>
      <c r="U27">
        <v>139.93990047600735</v>
      </c>
      <c r="V27">
        <v>139.3049289948782</v>
      </c>
      <c r="W27">
        <v>143.01770957641202</v>
      </c>
      <c r="X27">
        <v>143.2721135811239</v>
      </c>
      <c r="Y27">
        <v>142.8577006994345</v>
      </c>
      <c r="Z27">
        <v>142.66107879036483</v>
      </c>
      <c r="AA27">
        <v>144.66731419572926</v>
      </c>
      <c r="AB27">
        <v>145.56742583644458</v>
      </c>
      <c r="AC27">
        <v>147.30314871211056</v>
      </c>
    </row>
    <row r="28" spans="1:36" x14ac:dyDescent="0.35">
      <c r="A28" t="s">
        <v>177</v>
      </c>
      <c r="B28">
        <v>140.41305067892088</v>
      </c>
      <c r="C28">
        <v>140.41305067892088</v>
      </c>
      <c r="D28">
        <v>140.41305067892088</v>
      </c>
      <c r="E28">
        <v>140.41305067892088</v>
      </c>
      <c r="F28">
        <v>142.04035105226299</v>
      </c>
      <c r="G28">
        <v>145.79640040124031</v>
      </c>
      <c r="H28">
        <v>144.36367783738348</v>
      </c>
      <c r="I28">
        <v>142.47785660261519</v>
      </c>
      <c r="J28">
        <v>142.17017015864377</v>
      </c>
      <c r="K28">
        <v>139.72763642696728</v>
      </c>
      <c r="L28">
        <v>138.09785823996049</v>
      </c>
      <c r="M28">
        <v>132.68394544024906</v>
      </c>
      <c r="N28">
        <v>131.4615657327256</v>
      </c>
      <c r="O28">
        <v>133.53932912841941</v>
      </c>
      <c r="P28">
        <v>134.71451886316606</v>
      </c>
      <c r="Q28">
        <v>135.06997276212422</v>
      </c>
      <c r="R28">
        <v>134.87305002627664</v>
      </c>
      <c r="S28">
        <v>137.32294914491206</v>
      </c>
      <c r="T28">
        <v>137.87578176908124</v>
      </c>
      <c r="U28">
        <v>139.03045197047845</v>
      </c>
      <c r="V28">
        <v>138.58329794234029</v>
      </c>
      <c r="W28">
        <v>142.9891538778416</v>
      </c>
      <c r="X28">
        <v>143.02307843135461</v>
      </c>
      <c r="Y28">
        <v>142.72870590251</v>
      </c>
      <c r="Z28">
        <v>142.66107879036483</v>
      </c>
      <c r="AA28">
        <v>144.66731419572926</v>
      </c>
      <c r="AB28">
        <v>145.56742583644458</v>
      </c>
      <c r="AC28">
        <v>147.30314871211056</v>
      </c>
    </row>
    <row r="30" spans="1:36" x14ac:dyDescent="0.35">
      <c r="A30" t="s">
        <v>146</v>
      </c>
      <c r="B30">
        <f>B28-B27</f>
        <v>3.4088690047711054</v>
      </c>
      <c r="C30">
        <f t="shared" ref="C30:AC30" si="4">C28-C27</f>
        <v>3.4088690047711054</v>
      </c>
      <c r="D30">
        <f t="shared" si="4"/>
        <v>3.4088690047711054</v>
      </c>
      <c r="E30">
        <f t="shared" si="4"/>
        <v>3.4088690047711054</v>
      </c>
      <c r="F30">
        <f t="shared" si="4"/>
        <v>5.9901651978480857</v>
      </c>
      <c r="G30">
        <f t="shared" si="4"/>
        <v>8.0799601729499955</v>
      </c>
      <c r="H30">
        <f t="shared" si="4"/>
        <v>3.3235500207808286</v>
      </c>
      <c r="I30">
        <f t="shared" si="4"/>
        <v>4.5849128925090383</v>
      </c>
      <c r="J30">
        <f t="shared" si="4"/>
        <v>3.6740982257063024</v>
      </c>
      <c r="K30">
        <f t="shared" si="4"/>
        <v>-0.49571402373285878</v>
      </c>
      <c r="L30">
        <f t="shared" si="4"/>
        <v>-0.56222749669706218</v>
      </c>
      <c r="M30">
        <f t="shared" si="4"/>
        <v>-3.8995772930792612</v>
      </c>
      <c r="N30">
        <f t="shared" si="4"/>
        <v>-3.5263741233269457</v>
      </c>
      <c r="O30">
        <f t="shared" si="4"/>
        <v>-3.9001406120987099</v>
      </c>
      <c r="P30">
        <f t="shared" si="4"/>
        <v>-2.8130330312476985</v>
      </c>
      <c r="Q30">
        <f t="shared" si="4"/>
        <v>-2.2769708948607956</v>
      </c>
      <c r="R30">
        <f t="shared" si="4"/>
        <v>-3.2394740031857054</v>
      </c>
      <c r="S30">
        <f t="shared" si="4"/>
        <v>-2.9167057172496982</v>
      </c>
      <c r="T30">
        <f t="shared" si="4"/>
        <v>-1.8038153037059885</v>
      </c>
      <c r="U30">
        <f t="shared" si="4"/>
        <v>-0.90944850552889989</v>
      </c>
      <c r="V30">
        <f t="shared" si="4"/>
        <v>-0.7216310525379015</v>
      </c>
      <c r="W30">
        <f t="shared" si="4"/>
        <v>-2.8555698570414734E-2</v>
      </c>
      <c r="X30">
        <f t="shared" si="4"/>
        <v>-0.24903514976929841</v>
      </c>
      <c r="Y30">
        <f t="shared" si="4"/>
        <v>-0.128994796924502</v>
      </c>
      <c r="Z30">
        <f t="shared" si="4"/>
        <v>0</v>
      </c>
      <c r="AA30">
        <f t="shared" si="4"/>
        <v>0</v>
      </c>
      <c r="AB30">
        <f t="shared" si="4"/>
        <v>0</v>
      </c>
      <c r="AC30">
        <f t="shared" si="4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B98"/>
  <sheetViews>
    <sheetView workbookViewId="0">
      <selection activeCell="C38" sqref="C38"/>
    </sheetView>
  </sheetViews>
  <sheetFormatPr defaultRowHeight="14.5" x14ac:dyDescent="0.35"/>
  <sheetData>
    <row r="1" spans="1:80" x14ac:dyDescent="0.35">
      <c r="A1" t="s">
        <v>0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62</v>
      </c>
      <c r="T1" t="s">
        <v>63</v>
      </c>
      <c r="U1" t="s">
        <v>64</v>
      </c>
      <c r="V1" t="s">
        <v>65</v>
      </c>
      <c r="W1" t="s">
        <v>66</v>
      </c>
      <c r="X1" t="s">
        <v>67</v>
      </c>
      <c r="Y1" t="s">
        <v>68</v>
      </c>
      <c r="Z1" t="s">
        <v>69</v>
      </c>
      <c r="AA1" t="s">
        <v>70</v>
      </c>
      <c r="AB1" t="s">
        <v>71</v>
      </c>
      <c r="AC1" t="s">
        <v>72</v>
      </c>
      <c r="AD1" t="s">
        <v>73</v>
      </c>
      <c r="AE1" t="s">
        <v>74</v>
      </c>
      <c r="AF1" t="s">
        <v>75</v>
      </c>
      <c r="AG1" t="s">
        <v>76</v>
      </c>
      <c r="AH1" t="s">
        <v>77</v>
      </c>
      <c r="AI1" t="s">
        <v>78</v>
      </c>
      <c r="AJ1" t="s">
        <v>79</v>
      </c>
      <c r="AK1" t="s">
        <v>80</v>
      </c>
      <c r="AL1" t="s">
        <v>81</v>
      </c>
      <c r="AM1" t="s">
        <v>82</v>
      </c>
      <c r="AN1" t="s">
        <v>83</v>
      </c>
      <c r="AO1" t="s">
        <v>84</v>
      </c>
      <c r="AP1" t="s">
        <v>85</v>
      </c>
      <c r="AQ1" t="s">
        <v>86</v>
      </c>
      <c r="AR1" t="s">
        <v>87</v>
      </c>
      <c r="AS1" t="s">
        <v>88</v>
      </c>
      <c r="AT1" t="s">
        <v>89</v>
      </c>
      <c r="AU1" t="s">
        <v>90</v>
      </c>
      <c r="AV1" t="s">
        <v>91</v>
      </c>
      <c r="AW1" t="s">
        <v>92</v>
      </c>
      <c r="AX1" t="s">
        <v>93</v>
      </c>
      <c r="AY1" t="s">
        <v>94</v>
      </c>
      <c r="AZ1" t="s">
        <v>95</v>
      </c>
      <c r="BA1" t="s">
        <v>96</v>
      </c>
      <c r="BB1" t="s">
        <v>97</v>
      </c>
      <c r="BC1" t="s">
        <v>98</v>
      </c>
      <c r="BD1" t="s">
        <v>99</v>
      </c>
      <c r="BE1" t="s">
        <v>100</v>
      </c>
      <c r="BF1" t="s">
        <v>101</v>
      </c>
      <c r="BG1" t="s">
        <v>102</v>
      </c>
      <c r="BH1" t="s">
        <v>103</v>
      </c>
      <c r="BI1" t="s">
        <v>104</v>
      </c>
      <c r="BJ1" t="s">
        <v>105</v>
      </c>
      <c r="BK1" t="s">
        <v>106</v>
      </c>
      <c r="BL1" t="s">
        <v>107</v>
      </c>
      <c r="BM1" t="s">
        <v>108</v>
      </c>
      <c r="BN1" t="s">
        <v>109</v>
      </c>
      <c r="BO1" t="s">
        <v>110</v>
      </c>
      <c r="BP1" t="s">
        <v>111</v>
      </c>
      <c r="BQ1" t="s">
        <v>112</v>
      </c>
      <c r="BR1" t="s">
        <v>113</v>
      </c>
      <c r="BS1" t="s">
        <v>114</v>
      </c>
      <c r="BT1" t="s">
        <v>115</v>
      </c>
      <c r="BU1" t="s">
        <v>116</v>
      </c>
      <c r="BV1" t="s">
        <v>117</v>
      </c>
      <c r="BW1" t="s">
        <v>118</v>
      </c>
      <c r="BX1" t="s">
        <v>119</v>
      </c>
      <c r="BY1" t="s">
        <v>120</v>
      </c>
      <c r="BZ1" t="s">
        <v>121</v>
      </c>
      <c r="CA1" t="s">
        <v>122</v>
      </c>
      <c r="CB1" t="s">
        <v>123</v>
      </c>
    </row>
    <row r="2" spans="1:80" x14ac:dyDescent="0.35">
      <c r="A2" t="s">
        <v>28</v>
      </c>
      <c r="B2">
        <v>132.2241619390681</v>
      </c>
      <c r="C2">
        <v>131.69557600078139</v>
      </c>
      <c r="D2">
        <v>131.53582824909881</v>
      </c>
      <c r="E2">
        <v>132.10731633446471</v>
      </c>
      <c r="F2">
        <v>133.73850016265479</v>
      </c>
      <c r="G2">
        <v>134.61743082265741</v>
      </c>
      <c r="H2">
        <v>134.70335888236579</v>
      </c>
      <c r="I2">
        <v>135.40477465236381</v>
      </c>
      <c r="J2">
        <v>135.95363482544801</v>
      </c>
      <c r="K2">
        <v>135.57208928937001</v>
      </c>
      <c r="L2">
        <v>136.62575702736621</v>
      </c>
      <c r="M2">
        <v>135.31622820866019</v>
      </c>
      <c r="N2">
        <v>135.3972479643077</v>
      </c>
      <c r="O2">
        <v>135.0727879403145</v>
      </c>
      <c r="P2">
        <v>133.98797247698309</v>
      </c>
      <c r="Q2">
        <v>134.81867575659359</v>
      </c>
      <c r="R2">
        <v>135.4494120870846</v>
      </c>
      <c r="S2">
        <v>135.34928254792021</v>
      </c>
      <c r="T2">
        <v>135.11117902221321</v>
      </c>
      <c r="U2">
        <v>136.07627260497631</v>
      </c>
      <c r="V2">
        <v>134.90842066942071</v>
      </c>
      <c r="W2">
        <v>134.97240673576769</v>
      </c>
      <c r="X2">
        <v>133.41344493614301</v>
      </c>
      <c r="Y2">
        <v>134.69760720729681</v>
      </c>
      <c r="Z2">
        <v>134.07195683506279</v>
      </c>
      <c r="AA2">
        <v>133.4297191991505</v>
      </c>
      <c r="AB2">
        <v>134.50193850488699</v>
      </c>
      <c r="AC2">
        <v>135.3253668343186</v>
      </c>
      <c r="AD2">
        <v>136.2051025596468</v>
      </c>
      <c r="AE2">
        <v>136.07923031291949</v>
      </c>
      <c r="AF2">
        <v>136.0277987012029</v>
      </c>
      <c r="AG2">
        <v>136.13181920408391</v>
      </c>
      <c r="AH2">
        <v>136.23122197358759</v>
      </c>
      <c r="AI2">
        <v>136.45645249123129</v>
      </c>
      <c r="AJ2">
        <v>137.33241796787649</v>
      </c>
      <c r="AK2">
        <v>136.4747775388729</v>
      </c>
      <c r="AL2">
        <v>137.33775872804799</v>
      </c>
      <c r="AM2">
        <v>136.79209401636729</v>
      </c>
      <c r="AN2">
        <v>136.18158849196831</v>
      </c>
      <c r="AO2">
        <v>137.1613283891798</v>
      </c>
      <c r="AP2">
        <v>136.65871416930619</v>
      </c>
      <c r="AQ2">
        <v>136.74544158356349</v>
      </c>
      <c r="AR2">
        <v>135.57130213801489</v>
      </c>
      <c r="AS2">
        <v>136.70715355945461</v>
      </c>
      <c r="AT2">
        <v>136.9415683136157</v>
      </c>
      <c r="AU2">
        <v>137.27874441929089</v>
      </c>
      <c r="AV2">
        <v>136.64029247504359</v>
      </c>
      <c r="AW2">
        <v>137.19478332015899</v>
      </c>
      <c r="AX2">
        <v>136.49232527877649</v>
      </c>
      <c r="AY2">
        <v>136.56359262493399</v>
      </c>
      <c r="AZ2">
        <v>136.1445058584419</v>
      </c>
      <c r="BA2">
        <v>137.04259799150881</v>
      </c>
      <c r="BB2">
        <v>137.2167033621497</v>
      </c>
      <c r="BC2">
        <v>137.10181794748939</v>
      </c>
      <c r="BD2">
        <v>137.7980778151497</v>
      </c>
      <c r="BE2">
        <v>138.41402400610119</v>
      </c>
      <c r="BF2">
        <v>138.021410566615</v>
      </c>
      <c r="BG2">
        <v>137.12035661810529</v>
      </c>
      <c r="BH2">
        <v>136.3528375867082</v>
      </c>
      <c r="BI2">
        <v>136.7647914245932</v>
      </c>
      <c r="BJ2">
        <v>136.8007890234102</v>
      </c>
      <c r="BK2">
        <v>137.05065103811651</v>
      </c>
      <c r="BL2">
        <v>136.5950499424504</v>
      </c>
      <c r="BM2">
        <v>137.53394833060051</v>
      </c>
      <c r="BN2">
        <v>138.2581123096131</v>
      </c>
      <c r="BO2">
        <v>138.18007470888691</v>
      </c>
      <c r="BP2">
        <v>138.44710796446449</v>
      </c>
      <c r="BQ2">
        <v>138.26536124358799</v>
      </c>
      <c r="BR2">
        <v>138.84086216343701</v>
      </c>
      <c r="BS2">
        <v>138.79866707787801</v>
      </c>
      <c r="BT2">
        <v>138.98176116685511</v>
      </c>
      <c r="BU2">
        <v>140.24854553290831</v>
      </c>
      <c r="BV2">
        <v>140.28276287257211</v>
      </c>
      <c r="BW2">
        <v>140.1615203110824</v>
      </c>
      <c r="BX2">
        <v>140.28684622294821</v>
      </c>
      <c r="BY2">
        <v>140.79033281506071</v>
      </c>
      <c r="BZ2">
        <v>140.87261868900441</v>
      </c>
      <c r="CA2">
        <v>141.1551288971016</v>
      </c>
      <c r="CB2">
        <v>141.23057160695879</v>
      </c>
    </row>
    <row r="3" spans="1:80" x14ac:dyDescent="0.35">
      <c r="A3" t="s">
        <v>29</v>
      </c>
      <c r="B3">
        <v>1.4281885580917939</v>
      </c>
      <c r="C3">
        <v>1.5164604408528799</v>
      </c>
      <c r="D3">
        <v>1.5200105370610759</v>
      </c>
      <c r="E3">
        <v>0.97526350095550496</v>
      </c>
      <c r="F3">
        <v>1.3697112646748171</v>
      </c>
      <c r="G3">
        <v>1.3465984026492199</v>
      </c>
      <c r="H3">
        <v>0.50013138739303908</v>
      </c>
      <c r="I3">
        <v>0.53352598823366937</v>
      </c>
      <c r="J3">
        <v>0.5451209956141656</v>
      </c>
      <c r="K3">
        <v>1.1446940518176301</v>
      </c>
      <c r="L3">
        <v>1.0387519433461949</v>
      </c>
      <c r="M3">
        <v>0.62921769591893995</v>
      </c>
      <c r="N3">
        <v>1.0455151018513611</v>
      </c>
      <c r="O3">
        <v>1.1702900333517889</v>
      </c>
      <c r="P3">
        <v>1.344977648077786</v>
      </c>
      <c r="Q3">
        <v>1.524447653108947</v>
      </c>
      <c r="R3">
        <v>1.134500658292366</v>
      </c>
      <c r="S3">
        <v>1.0390636292787181</v>
      </c>
      <c r="T3">
        <v>0.94111786630382066</v>
      </c>
      <c r="U3">
        <v>0.96403839743573394</v>
      </c>
      <c r="V3">
        <v>1.1799836593806401</v>
      </c>
      <c r="W3">
        <v>1.0977479458634241</v>
      </c>
      <c r="X3">
        <v>0.40715021647663657</v>
      </c>
      <c r="Y3">
        <v>0.81758701973871306</v>
      </c>
      <c r="Z3">
        <v>1.044618908355242</v>
      </c>
      <c r="AA3">
        <v>1.130288070153997</v>
      </c>
      <c r="AB3">
        <v>1.3179439584766459</v>
      </c>
      <c r="AC3">
        <v>1.1617149651743179</v>
      </c>
      <c r="AD3">
        <v>1.169519461082305</v>
      </c>
      <c r="AE3">
        <v>0.82084468880424599</v>
      </c>
      <c r="AF3">
        <v>0.95323185672797239</v>
      </c>
      <c r="AG3">
        <v>1.17544394549538</v>
      </c>
      <c r="AH3">
        <v>1.111269283781517</v>
      </c>
      <c r="AI3">
        <v>0.88220545886674451</v>
      </c>
      <c r="AJ3">
        <v>0.54258489297274481</v>
      </c>
      <c r="AK3">
        <v>1.684965031683554</v>
      </c>
      <c r="AL3">
        <v>0.1777812268245588</v>
      </c>
      <c r="AM3">
        <v>0.97720761524286248</v>
      </c>
      <c r="AN3">
        <v>0.79849953032649934</v>
      </c>
      <c r="AO3">
        <v>0.34723338620705479</v>
      </c>
      <c r="AP3">
        <v>0.98598174930264748</v>
      </c>
      <c r="AQ3">
        <v>1.104337437730833</v>
      </c>
      <c r="AR3">
        <v>0.27591569486511702</v>
      </c>
      <c r="AS3">
        <v>0.54130523414739573</v>
      </c>
      <c r="AT3">
        <v>0.86207093536574297</v>
      </c>
      <c r="AU3">
        <v>0.91623798217163477</v>
      </c>
      <c r="AV3">
        <v>0.41897947798638019</v>
      </c>
      <c r="AW3">
        <v>0.67160547850589469</v>
      </c>
      <c r="AX3">
        <v>0.71698690062991988</v>
      </c>
      <c r="AY3">
        <v>0.21811589164285791</v>
      </c>
      <c r="AZ3">
        <v>0.5453189495165226</v>
      </c>
      <c r="BA3">
        <v>0.76074651311502606</v>
      </c>
      <c r="BB3">
        <v>0.99574906943924257</v>
      </c>
      <c r="BC3">
        <v>1.09587079667729</v>
      </c>
      <c r="BD3">
        <v>0.85611759391342379</v>
      </c>
      <c r="BE3">
        <v>0.76628380393885021</v>
      </c>
      <c r="BF3">
        <v>0.55468947065115071</v>
      </c>
      <c r="BG3">
        <v>0.8736172964888459</v>
      </c>
      <c r="BH3">
        <v>0.69935207440098157</v>
      </c>
      <c r="BI3">
        <v>1.0601808123452909</v>
      </c>
      <c r="BJ3">
        <v>1.3248536315044079</v>
      </c>
      <c r="BK3">
        <v>1.383486714503704</v>
      </c>
      <c r="BL3">
        <v>0.97530635444095859</v>
      </c>
      <c r="BM3">
        <v>1.728508585301227</v>
      </c>
      <c r="BN3">
        <v>1.919845984683112</v>
      </c>
      <c r="BO3">
        <v>2.280833761930114</v>
      </c>
      <c r="BP3">
        <v>2.3278213823991551</v>
      </c>
      <c r="BQ3">
        <v>2.334060006448512</v>
      </c>
      <c r="BR3">
        <v>2.072436402590784</v>
      </c>
      <c r="BS3">
        <v>2.2284603437415709</v>
      </c>
      <c r="BT3">
        <v>1.840057149714972</v>
      </c>
      <c r="BU3">
        <v>2.2941555264176392</v>
      </c>
      <c r="BV3">
        <v>2.451015278885464</v>
      </c>
      <c r="BW3">
        <v>2.0878878822233848</v>
      </c>
      <c r="BX3">
        <v>1.9250663229440259</v>
      </c>
      <c r="BY3">
        <v>2.2250266202861231</v>
      </c>
      <c r="BZ3">
        <v>2.342442320976386</v>
      </c>
      <c r="CA3">
        <v>2.30975103820747</v>
      </c>
      <c r="CB3">
        <v>2.519824672141497</v>
      </c>
    </row>
    <row r="4" spans="1:80" x14ac:dyDescent="0.35">
      <c r="A4" t="s">
        <v>30</v>
      </c>
      <c r="B4">
        <v>11.05978535223891</v>
      </c>
      <c r="C4">
        <v>11.16347089720194</v>
      </c>
      <c r="D4">
        <v>11.283989867385561</v>
      </c>
      <c r="E4">
        <v>10.78711878158572</v>
      </c>
      <c r="F4">
        <v>10.240866383142709</v>
      </c>
      <c r="G4">
        <v>9.9308105341744461</v>
      </c>
      <c r="H4">
        <v>9.89080295685838</v>
      </c>
      <c r="I4">
        <v>9.6833807259361215</v>
      </c>
      <c r="J4">
        <v>9.6995313992817458</v>
      </c>
      <c r="K4">
        <v>9.8373430248265201</v>
      </c>
      <c r="L4">
        <v>9.4772099101097531</v>
      </c>
      <c r="M4">
        <v>9.9506181308434378</v>
      </c>
      <c r="N4">
        <v>10.00291994133913</v>
      </c>
      <c r="O4">
        <v>9.9748133085644799</v>
      </c>
      <c r="P4">
        <v>10.494374156998489</v>
      </c>
      <c r="Q4">
        <v>10.13936378177535</v>
      </c>
      <c r="R4">
        <v>9.8210540603641938</v>
      </c>
      <c r="S4">
        <v>9.9354344336351836</v>
      </c>
      <c r="T4">
        <v>9.9253070007928486</v>
      </c>
      <c r="U4">
        <v>9.5262914577949207</v>
      </c>
      <c r="V4">
        <v>10.002625323877</v>
      </c>
      <c r="W4">
        <v>9.8117435348959461</v>
      </c>
      <c r="X4">
        <v>10.471222862143231</v>
      </c>
      <c r="Y4">
        <v>9.8504212103113851</v>
      </c>
      <c r="Z4">
        <v>10.08671077681301</v>
      </c>
      <c r="AA4">
        <v>10.286824664418781</v>
      </c>
      <c r="AB4">
        <v>9.768339691070576</v>
      </c>
      <c r="AC4">
        <v>9.4609887123111616</v>
      </c>
      <c r="AD4">
        <v>9.1125545943992581</v>
      </c>
      <c r="AE4">
        <v>9.1407562389253822</v>
      </c>
      <c r="AF4">
        <v>9.0656857390068168</v>
      </c>
      <c r="AG4">
        <v>9.0215672032105694</v>
      </c>
      <c r="AH4">
        <v>8.9789685844069247</v>
      </c>
      <c r="AI4">
        <v>8.9409755855075623</v>
      </c>
      <c r="AJ4">
        <v>8.6207338540737286</v>
      </c>
      <c r="AK4">
        <v>8.9947710985316878</v>
      </c>
      <c r="AL4">
        <v>8.5988741640204207</v>
      </c>
      <c r="AM4">
        <v>8.7231573966269931</v>
      </c>
      <c r="AN4">
        <v>8.9529207316720978</v>
      </c>
      <c r="AO4">
        <v>8.7340031096188149</v>
      </c>
      <c r="AP4">
        <v>8.7206155809492216</v>
      </c>
      <c r="AQ4">
        <v>8.9598170620101065</v>
      </c>
      <c r="AR4">
        <v>9.3642977139631345</v>
      </c>
      <c r="AS4">
        <v>8.8749325565238166</v>
      </c>
      <c r="AT4">
        <v>8.8277249911396201</v>
      </c>
      <c r="AU4">
        <v>8.5453437934551495</v>
      </c>
      <c r="AV4">
        <v>8.9216232026165763</v>
      </c>
      <c r="AW4">
        <v>8.7226547569330659</v>
      </c>
      <c r="AX4">
        <v>9.1245166179880215</v>
      </c>
      <c r="AY4">
        <v>9.0646559823506507</v>
      </c>
      <c r="AZ4">
        <v>9.1550072189860323</v>
      </c>
      <c r="BA4">
        <v>8.9457193187309816</v>
      </c>
      <c r="BB4">
        <v>8.95452431249951</v>
      </c>
      <c r="BC4">
        <v>9.1128596007849616</v>
      </c>
      <c r="BD4">
        <v>9.0849579942605452</v>
      </c>
      <c r="BE4">
        <v>8.488501266467976</v>
      </c>
      <c r="BF4">
        <v>8.6909810989874536</v>
      </c>
      <c r="BG4">
        <v>9.200404179608773</v>
      </c>
      <c r="BH4">
        <v>9.7942488027364263</v>
      </c>
      <c r="BI4">
        <v>9.6299909224760096</v>
      </c>
      <c r="BJ4">
        <v>9.6386171147382775</v>
      </c>
      <c r="BK4">
        <v>9.1909716164232496</v>
      </c>
      <c r="BL4">
        <v>9.4330012943796326</v>
      </c>
      <c r="BM4">
        <v>9.145284487925915</v>
      </c>
      <c r="BN4">
        <v>8.8347705698612842</v>
      </c>
      <c r="BO4">
        <v>8.9812733732363057</v>
      </c>
      <c r="BP4">
        <v>9.1274424854310112</v>
      </c>
      <c r="BQ4">
        <v>9.0805055179321794</v>
      </c>
      <c r="BR4">
        <v>8.8175080284920764</v>
      </c>
      <c r="BS4">
        <v>9.0545156206083561</v>
      </c>
      <c r="BT4">
        <v>8.7620434164854064</v>
      </c>
      <c r="BU4">
        <v>8.1677880337525384</v>
      </c>
      <c r="BV4">
        <v>8.3807407584774136</v>
      </c>
      <c r="BW4">
        <v>8.130592326745246</v>
      </c>
      <c r="BX4">
        <v>7.9941944658387678</v>
      </c>
      <c r="BY4">
        <v>7.9462561795854532</v>
      </c>
      <c r="BZ4">
        <v>8.128784460082267</v>
      </c>
      <c r="CA4">
        <v>7.8921003699258581</v>
      </c>
      <c r="CB4">
        <v>7.8920081253417811</v>
      </c>
    </row>
    <row r="5" spans="1:80" x14ac:dyDescent="0.35">
      <c r="A5" t="s">
        <v>31</v>
      </c>
      <c r="B5">
        <v>-0.43063119826048712</v>
      </c>
      <c r="C5">
        <v>0.59338147720370937</v>
      </c>
      <c r="D5">
        <v>1.4433534363446801</v>
      </c>
      <c r="E5">
        <v>-1.063588914576945</v>
      </c>
      <c r="F5">
        <v>-0.44234938974676519</v>
      </c>
      <c r="G5">
        <v>1.1064751050845261</v>
      </c>
      <c r="H5">
        <v>3.440667227925398</v>
      </c>
      <c r="I5">
        <v>5.3504785712318634</v>
      </c>
      <c r="J5">
        <v>5.9921092059507917</v>
      </c>
      <c r="K5">
        <v>5.2263838890713412</v>
      </c>
      <c r="L5">
        <v>5.3172586735157674</v>
      </c>
      <c r="M5">
        <v>3.3611841434790199</v>
      </c>
      <c r="N5">
        <v>3.1339739331200809</v>
      </c>
      <c r="O5">
        <v>3.2680634524287169</v>
      </c>
      <c r="P5">
        <v>5.1625168654693159</v>
      </c>
      <c r="Q5">
        <v>6.3126020760826496</v>
      </c>
      <c r="R5">
        <v>7.6367894214316578</v>
      </c>
      <c r="S5">
        <v>7.90655056384466</v>
      </c>
      <c r="T5">
        <v>6.080134256428769</v>
      </c>
      <c r="U5">
        <v>6.7949493841756352</v>
      </c>
      <c r="V5">
        <v>4.7794196362425536</v>
      </c>
      <c r="W5">
        <v>6.5165193097528613</v>
      </c>
      <c r="X5">
        <v>6.1879518517040539</v>
      </c>
      <c r="Y5">
        <v>6.2556979397902408</v>
      </c>
      <c r="Z5">
        <v>5.3528722733337748</v>
      </c>
      <c r="AA5">
        <v>5.6897285749102604</v>
      </c>
      <c r="AB5">
        <v>5.7310463148990536</v>
      </c>
      <c r="AC5">
        <v>5.9767989050558361</v>
      </c>
      <c r="AD5">
        <v>3.813775937104722</v>
      </c>
      <c r="AE5">
        <v>2.447372096374453</v>
      </c>
      <c r="AF5">
        <v>3.081788093624505</v>
      </c>
      <c r="AG5">
        <v>3.29083619063266</v>
      </c>
      <c r="AH5">
        <v>3.3600153873280432</v>
      </c>
      <c r="AI5">
        <v>2.9000123363966801</v>
      </c>
      <c r="AJ5">
        <v>2.1018419622794529</v>
      </c>
      <c r="AK5">
        <v>0.97865085836775112</v>
      </c>
      <c r="AL5">
        <v>1.321356122549924</v>
      </c>
      <c r="AM5">
        <v>2.216299588104095</v>
      </c>
      <c r="AN5">
        <v>2.1399741307872739</v>
      </c>
      <c r="AO5">
        <v>-3.718980647494639</v>
      </c>
      <c r="AP5">
        <v>3.9529841602494371</v>
      </c>
      <c r="AQ5">
        <v>5.474546055034855</v>
      </c>
      <c r="AR5">
        <v>5.2234070164432396</v>
      </c>
      <c r="AS5">
        <v>4.8039691274332581</v>
      </c>
      <c r="AT5">
        <v>3.6819305623105598</v>
      </c>
      <c r="AU5">
        <v>3.234707084077669</v>
      </c>
      <c r="AV5">
        <v>4.8519326188722101</v>
      </c>
      <c r="AW5">
        <v>3.2584727613193181</v>
      </c>
      <c r="AX5">
        <v>3.1805918690045831</v>
      </c>
      <c r="AY5">
        <v>3.2514796371644761</v>
      </c>
      <c r="AZ5">
        <v>3.7614657687338608</v>
      </c>
      <c r="BA5">
        <v>3.3306888625583051</v>
      </c>
      <c r="BB5">
        <v>4.3664636844157796</v>
      </c>
      <c r="BC5">
        <v>5.5318611908712567</v>
      </c>
      <c r="BD5">
        <v>6.8253155723148451</v>
      </c>
      <c r="BE5">
        <v>5.2492810599007989</v>
      </c>
      <c r="BF5">
        <v>5.2619779925711807</v>
      </c>
      <c r="BG5">
        <v>5.1827021334557797</v>
      </c>
      <c r="BH5">
        <v>4.963849386340649</v>
      </c>
      <c r="BI5">
        <v>5.9554441773620894</v>
      </c>
      <c r="BJ5">
        <v>5.6363589441908433</v>
      </c>
      <c r="BK5">
        <v>5.5324196923380784</v>
      </c>
      <c r="BL5">
        <v>5.6663404960560184</v>
      </c>
      <c r="BM5">
        <v>6.2340566891403304</v>
      </c>
      <c r="BN5">
        <v>6.7332083902647248</v>
      </c>
      <c r="BO5">
        <v>6.1306870779889717</v>
      </c>
      <c r="BP5">
        <v>5.8685511635966758</v>
      </c>
      <c r="BQ5">
        <v>6.185371763428213</v>
      </c>
      <c r="BR5">
        <v>6.657907888819274</v>
      </c>
      <c r="BS5">
        <v>7.1356637121234057</v>
      </c>
      <c r="BT5">
        <v>6.3779422546595521</v>
      </c>
      <c r="BU5">
        <v>6.1947126075463324</v>
      </c>
      <c r="BV5">
        <v>6.0972086683552309</v>
      </c>
      <c r="BW5">
        <v>6.7780876838907647</v>
      </c>
      <c r="BX5">
        <v>6.7123783225183926</v>
      </c>
      <c r="BY5">
        <v>5.9162446267693598</v>
      </c>
      <c r="BZ5">
        <v>7.006662950906148</v>
      </c>
      <c r="CA5">
        <v>6.4264365972554094</v>
      </c>
      <c r="CB5">
        <v>7.1208416525976936</v>
      </c>
    </row>
    <row r="6" spans="1:80" x14ac:dyDescent="0.35">
      <c r="A6" t="s">
        <v>32</v>
      </c>
      <c r="B6">
        <v>0.61567494124010635</v>
      </c>
      <c r="C6">
        <v>0.27233108936880301</v>
      </c>
      <c r="D6">
        <v>0.51602237239828319</v>
      </c>
      <c r="E6">
        <v>-3.3613681474198298E-4</v>
      </c>
      <c r="F6">
        <v>-3.3838123700111737E-2</v>
      </c>
      <c r="G6">
        <v>0.1957994191725371</v>
      </c>
      <c r="H6">
        <v>8.9055255210238604E-2</v>
      </c>
      <c r="I6">
        <v>0.1037239998228759</v>
      </c>
      <c r="J6">
        <v>0.66054114238732697</v>
      </c>
      <c r="K6">
        <v>0.69174777660832742</v>
      </c>
      <c r="L6">
        <v>0.85757727426792063</v>
      </c>
      <c r="M6">
        <v>0.53692360286595353</v>
      </c>
      <c r="N6">
        <v>0.29699327402146702</v>
      </c>
      <c r="O6">
        <v>0.18359230043242189</v>
      </c>
      <c r="P6">
        <v>5.0579937862906543E-2</v>
      </c>
      <c r="Q6">
        <v>0.27095497323402939</v>
      </c>
      <c r="R6">
        <v>0.19124871066584609</v>
      </c>
      <c r="S6">
        <v>0.32256141673141669</v>
      </c>
      <c r="T6">
        <v>0.1151853330833585</v>
      </c>
      <c r="U6">
        <v>8.2717722686375394E-2</v>
      </c>
      <c r="V6">
        <v>0.18206468671388501</v>
      </c>
      <c r="W6">
        <v>0.30141722728201681</v>
      </c>
      <c r="X6">
        <v>-0.19171500697417521</v>
      </c>
      <c r="Y6">
        <v>0.1877195736130885</v>
      </c>
      <c r="Z6">
        <v>-0.18359399191293649</v>
      </c>
      <c r="AA6">
        <v>-0.20717313650549801</v>
      </c>
      <c r="AB6">
        <v>-1.0147416336810379E-2</v>
      </c>
      <c r="AC6">
        <v>-0.29407368311678728</v>
      </c>
      <c r="AD6">
        <v>-0.31841900777670962</v>
      </c>
      <c r="AE6">
        <v>-0.28274958475815631</v>
      </c>
      <c r="AF6">
        <v>-0.1876568372438725</v>
      </c>
      <c r="AG6">
        <v>-0.41777520886703062</v>
      </c>
      <c r="AH6">
        <v>-0.32120881335338802</v>
      </c>
      <c r="AI6">
        <v>-0.4308682486618437</v>
      </c>
      <c r="AJ6">
        <v>-0.47762624358475392</v>
      </c>
      <c r="AK6">
        <v>-0.56442499131378721</v>
      </c>
      <c r="AL6">
        <v>-0.6505726984000898</v>
      </c>
      <c r="AM6">
        <v>-0.6080670379677644</v>
      </c>
      <c r="AN6">
        <v>-0.49170345348053202</v>
      </c>
      <c r="AO6">
        <v>-0.70217268498052487</v>
      </c>
      <c r="AP6">
        <v>-0.75567535206374603</v>
      </c>
      <c r="AQ6">
        <v>-0.76149965462538494</v>
      </c>
      <c r="AR6">
        <v>-0.79421353860993305</v>
      </c>
      <c r="AS6">
        <v>-0.45376699772955831</v>
      </c>
      <c r="AT6">
        <v>-0.34462512765545461</v>
      </c>
      <c r="AU6">
        <v>-0.49572329518406782</v>
      </c>
      <c r="AV6">
        <v>-0.46857042555128009</v>
      </c>
      <c r="AW6">
        <v>-0.5157119162875301</v>
      </c>
      <c r="AX6">
        <v>-0.69803104009166894</v>
      </c>
      <c r="AY6">
        <v>-0.59441677077680888</v>
      </c>
      <c r="AZ6">
        <v>-0.48004041918854479</v>
      </c>
      <c r="BA6">
        <v>-0.37933704393720957</v>
      </c>
      <c r="BB6">
        <v>-0.1632380757926605</v>
      </c>
      <c r="BC6">
        <v>2.3231523834428561E-2</v>
      </c>
      <c r="BD6">
        <v>0.19665448706843219</v>
      </c>
      <c r="BE6">
        <v>-0.42892311464110988</v>
      </c>
      <c r="BF6">
        <v>-0.34931371435464881</v>
      </c>
      <c r="BG6">
        <v>-5.7677146231021041E-2</v>
      </c>
      <c r="BH6">
        <v>-0.21471285323493239</v>
      </c>
      <c r="BI6">
        <v>0.11130028280737971</v>
      </c>
      <c r="BJ6">
        <v>1.4205953085563159E-2</v>
      </c>
      <c r="BK6">
        <v>-0.27298121837458111</v>
      </c>
      <c r="BL6">
        <v>-3.3286683060534387E-2</v>
      </c>
      <c r="BM6">
        <v>0.27690826526453272</v>
      </c>
      <c r="BN6">
        <v>0.44997516815379268</v>
      </c>
      <c r="BO6">
        <v>0.43335187052580049</v>
      </c>
      <c r="BP6">
        <v>0.67828337374181946</v>
      </c>
      <c r="BQ6">
        <v>0.56777664806910988</v>
      </c>
      <c r="BR6">
        <v>0.85284910500433808</v>
      </c>
      <c r="BS6">
        <v>0.62903513354100826</v>
      </c>
      <c r="BT6">
        <v>0.43625937406562287</v>
      </c>
      <c r="BU6">
        <v>0.55781854082284366</v>
      </c>
      <c r="BV6">
        <v>0.68502859940653493</v>
      </c>
      <c r="BW6">
        <v>0.43671551609606452</v>
      </c>
      <c r="BX6">
        <v>0.57941897702780021</v>
      </c>
      <c r="BY6">
        <v>0.90634384830603443</v>
      </c>
      <c r="BZ6">
        <v>1.4356480722288121</v>
      </c>
      <c r="CA6">
        <v>1.523579858161507</v>
      </c>
      <c r="CB6">
        <v>1.7044515502069051</v>
      </c>
    </row>
    <row r="7" spans="1:80" x14ac:dyDescent="0.35">
      <c r="A7" t="s">
        <v>33</v>
      </c>
      <c r="B7">
        <v>144.89717959237839</v>
      </c>
      <c r="C7">
        <v>145.24121990540871</v>
      </c>
      <c r="D7">
        <v>146.2992044622884</v>
      </c>
      <c r="E7">
        <v>142.8057735656142</v>
      </c>
      <c r="F7">
        <v>144.87289029702541</v>
      </c>
      <c r="G7">
        <v>147.19711428373819</v>
      </c>
      <c r="H7">
        <v>148.6240157097528</v>
      </c>
      <c r="I7">
        <v>151.0758839375884</v>
      </c>
      <c r="J7">
        <v>152.85093756868201</v>
      </c>
      <c r="K7">
        <v>152.47225803169391</v>
      </c>
      <c r="L7">
        <v>153.31655482860589</v>
      </c>
      <c r="M7">
        <v>149.79417178176749</v>
      </c>
      <c r="N7">
        <v>149.87665021463971</v>
      </c>
      <c r="O7">
        <v>149.66954703509191</v>
      </c>
      <c r="P7">
        <v>151.04042108539161</v>
      </c>
      <c r="Q7">
        <v>153.06604424079461</v>
      </c>
      <c r="R7">
        <v>154.2330049378387</v>
      </c>
      <c r="S7">
        <v>154.5528925914102</v>
      </c>
      <c r="T7">
        <v>152.17292347882201</v>
      </c>
      <c r="U7">
        <v>153.44426956706889</v>
      </c>
      <c r="V7">
        <v>151.05251397563481</v>
      </c>
      <c r="W7">
        <v>152.69983475356199</v>
      </c>
      <c r="X7">
        <v>150.28805485949269</v>
      </c>
      <c r="Y7">
        <v>151.80903295075021</v>
      </c>
      <c r="Z7">
        <v>150.37256480165181</v>
      </c>
      <c r="AA7">
        <v>150.329387372128</v>
      </c>
      <c r="AB7">
        <v>151.30912105299649</v>
      </c>
      <c r="AC7">
        <v>151.6307957337431</v>
      </c>
      <c r="AD7">
        <v>149.9825335444564</v>
      </c>
      <c r="AE7">
        <v>148.20545375226541</v>
      </c>
      <c r="AF7">
        <v>148.94084755331829</v>
      </c>
      <c r="AG7">
        <v>149.2018913345554</v>
      </c>
      <c r="AH7">
        <v>149.36026641575069</v>
      </c>
      <c r="AI7">
        <v>148.74877762334049</v>
      </c>
      <c r="AJ7">
        <v>148.11995243361761</v>
      </c>
      <c r="AK7">
        <v>147.56873953614209</v>
      </c>
      <c r="AL7">
        <v>146.78519754304281</v>
      </c>
      <c r="AM7">
        <v>148.10069157837339</v>
      </c>
      <c r="AN7">
        <v>147.58127943127371</v>
      </c>
      <c r="AO7">
        <v>141.82141155253049</v>
      </c>
      <c r="AP7">
        <v>149.5626203077438</v>
      </c>
      <c r="AQ7">
        <v>151.52264248371389</v>
      </c>
      <c r="AR7">
        <v>149.6407090246764</v>
      </c>
      <c r="AS7">
        <v>150.4735934798295</v>
      </c>
      <c r="AT7">
        <v>149.96866967477621</v>
      </c>
      <c r="AU7">
        <v>149.47930998381119</v>
      </c>
      <c r="AV7">
        <v>150.36425734896741</v>
      </c>
      <c r="AW7">
        <v>149.33180440062969</v>
      </c>
      <c r="AX7">
        <v>148.8163896263074</v>
      </c>
      <c r="AY7">
        <v>148.50342736531519</v>
      </c>
      <c r="AZ7">
        <v>149.1262573764898</v>
      </c>
      <c r="BA7">
        <v>149.70041564197589</v>
      </c>
      <c r="BB7">
        <v>151.3702023527116</v>
      </c>
      <c r="BC7">
        <v>152.86564105965729</v>
      </c>
      <c r="BD7">
        <v>154.76112346270699</v>
      </c>
      <c r="BE7">
        <v>152.48916702176771</v>
      </c>
      <c r="BF7">
        <v>152.1797454144702</v>
      </c>
      <c r="BG7">
        <v>152.31940308142771</v>
      </c>
      <c r="BH7">
        <v>151.5955749969514</v>
      </c>
      <c r="BI7">
        <v>153.52170761958391</v>
      </c>
      <c r="BJ7">
        <v>153.41482466692929</v>
      </c>
      <c r="BK7">
        <v>152.88454784300691</v>
      </c>
      <c r="BL7">
        <v>152.63641140426651</v>
      </c>
      <c r="BM7">
        <v>154.9187063582325</v>
      </c>
      <c r="BN7">
        <v>156.19591242257599</v>
      </c>
      <c r="BO7">
        <v>156.00622079256809</v>
      </c>
      <c r="BP7">
        <v>156.4492063696332</v>
      </c>
      <c r="BQ7">
        <v>156.43307517946599</v>
      </c>
      <c r="BR7">
        <v>157.2415635883435</v>
      </c>
      <c r="BS7">
        <v>157.84634188789229</v>
      </c>
      <c r="BT7">
        <v>156.39806336178069</v>
      </c>
      <c r="BU7">
        <v>157.46302024144759</v>
      </c>
      <c r="BV7">
        <v>157.89675617769669</v>
      </c>
      <c r="BW7">
        <v>157.59480372003779</v>
      </c>
      <c r="BX7">
        <v>157.49790431127721</v>
      </c>
      <c r="BY7">
        <v>157.78420409000771</v>
      </c>
      <c r="BZ7">
        <v>159.78615649319801</v>
      </c>
      <c r="CA7">
        <v>159.3069967606518</v>
      </c>
      <c r="CB7">
        <v>160.46769760724669</v>
      </c>
    </row>
    <row r="8" spans="1:80" x14ac:dyDescent="0.35">
      <c r="A8" t="s">
        <v>34</v>
      </c>
      <c r="B8">
        <v>8981499.8399999999</v>
      </c>
      <c r="C8">
        <v>8139914.7599999998</v>
      </c>
      <c r="D8">
        <v>14807446.470000001</v>
      </c>
      <c r="E8">
        <v>7214302.6400000006</v>
      </c>
      <c r="F8">
        <v>8978619.7300000004</v>
      </c>
      <c r="G8">
        <v>11425868.109999999</v>
      </c>
      <c r="H8">
        <v>9955387.1500000004</v>
      </c>
      <c r="I8">
        <v>8284743.8499999996</v>
      </c>
      <c r="J8">
        <v>8191811.46</v>
      </c>
      <c r="K8">
        <v>7437717.8800000008</v>
      </c>
      <c r="L8">
        <v>6590464.8300000001</v>
      </c>
      <c r="M8">
        <v>7626815.4199999999</v>
      </c>
      <c r="N8">
        <v>8429823.2199999988</v>
      </c>
      <c r="O8">
        <v>6817994.0599999996</v>
      </c>
      <c r="P8">
        <v>17321073.640000001</v>
      </c>
      <c r="Q8">
        <v>15507712.689999999</v>
      </c>
      <c r="R8">
        <v>11524448.460000001</v>
      </c>
      <c r="S8">
        <v>11972078.890000001</v>
      </c>
      <c r="T8">
        <v>10130130.119999999</v>
      </c>
      <c r="U8">
        <v>8506551.4800000004</v>
      </c>
      <c r="V8">
        <v>7665361.25</v>
      </c>
      <c r="W8">
        <v>8152950.4099999992</v>
      </c>
      <c r="X8">
        <v>7010662.96</v>
      </c>
      <c r="Y8">
        <v>7690172.29</v>
      </c>
      <c r="Z8">
        <v>5653156.0899999999</v>
      </c>
      <c r="AA8">
        <v>6595773.0099999998</v>
      </c>
      <c r="AB8">
        <v>11147872.18</v>
      </c>
      <c r="AC8">
        <v>8473021.870000001</v>
      </c>
      <c r="AD8">
        <v>7364182.8899999997</v>
      </c>
      <c r="AE8">
        <v>7749255.0999999996</v>
      </c>
      <c r="AF8">
        <v>7316891.4900000002</v>
      </c>
      <c r="AG8">
        <v>8832396.7400000002</v>
      </c>
      <c r="AH8">
        <v>7431244.2899999991</v>
      </c>
      <c r="AI8">
        <v>6307517.3399999999</v>
      </c>
      <c r="AJ8">
        <v>5104282.18</v>
      </c>
      <c r="AK8">
        <v>4701156.93</v>
      </c>
      <c r="AL8">
        <v>5464377.2699999996</v>
      </c>
      <c r="AM8">
        <v>5374041.0399999991</v>
      </c>
      <c r="AN8">
        <v>5476153.0600000015</v>
      </c>
      <c r="AO8">
        <v>1648317.99</v>
      </c>
      <c r="AP8">
        <v>7591936.9100000001</v>
      </c>
      <c r="AQ8">
        <v>7188325.0299999993</v>
      </c>
      <c r="AR8">
        <v>7471381.2199999997</v>
      </c>
      <c r="AS8">
        <v>8671823.6099999994</v>
      </c>
      <c r="AT8">
        <v>7189263.7300000004</v>
      </c>
      <c r="AU8">
        <v>7898574.8499999996</v>
      </c>
      <c r="AV8">
        <v>10597934.08</v>
      </c>
      <c r="AW8">
        <v>8386481.7599999998</v>
      </c>
      <c r="AX8">
        <v>11094541.01</v>
      </c>
      <c r="AY8">
        <v>13174204.539999999</v>
      </c>
      <c r="AZ8">
        <v>20775470.27</v>
      </c>
      <c r="BA8">
        <v>17099562.620000001</v>
      </c>
      <c r="BB8">
        <v>14756825.550000001</v>
      </c>
      <c r="BC8">
        <v>11649919.01</v>
      </c>
      <c r="BD8">
        <v>11938199.810000001</v>
      </c>
      <c r="BE8">
        <v>9696684.4499999993</v>
      </c>
      <c r="BF8">
        <v>9120907.0499999989</v>
      </c>
      <c r="BG8">
        <v>11358207.01</v>
      </c>
      <c r="BH8">
        <v>8306990.8499999996</v>
      </c>
      <c r="BI8">
        <v>12318440.98</v>
      </c>
      <c r="BJ8">
        <v>13895534.199999999</v>
      </c>
      <c r="BK8">
        <v>14774077.529999999</v>
      </c>
      <c r="BL8">
        <v>27004040.23</v>
      </c>
      <c r="BM8">
        <v>20866630.620000001</v>
      </c>
      <c r="BN8">
        <v>19993292.719999999</v>
      </c>
      <c r="BO8">
        <v>16954636.5</v>
      </c>
      <c r="BP8">
        <v>17583715.16</v>
      </c>
      <c r="BQ8">
        <v>17009856.440000001</v>
      </c>
      <c r="BR8">
        <v>16644481.210000001</v>
      </c>
      <c r="BS8">
        <v>14256426.640000001</v>
      </c>
      <c r="BT8">
        <v>11610680.67</v>
      </c>
      <c r="BU8">
        <v>13454664.560000001</v>
      </c>
      <c r="BV8">
        <v>12985883.1</v>
      </c>
      <c r="BW8">
        <v>15224881.76</v>
      </c>
      <c r="BX8">
        <v>23401706.25</v>
      </c>
      <c r="BY8">
        <v>20498023.75</v>
      </c>
      <c r="BZ8">
        <v>22261812.370000001</v>
      </c>
      <c r="CA8">
        <v>23382323.920000002</v>
      </c>
      <c r="CB8">
        <v>7863583.8499999996</v>
      </c>
    </row>
    <row r="9" spans="1:80" x14ac:dyDescent="0.35">
      <c r="A9" t="s">
        <v>35</v>
      </c>
      <c r="B9">
        <v>1.965331246956499</v>
      </c>
      <c r="C9">
        <v>1.9050952072233109</v>
      </c>
      <c r="D9">
        <v>1.855096856685607</v>
      </c>
      <c r="E9">
        <v>2.0025640537986442</v>
      </c>
      <c r="F9">
        <v>1.966020552338045</v>
      </c>
      <c r="G9">
        <v>1.8749132291126751</v>
      </c>
      <c r="H9">
        <v>1.7376078101220349</v>
      </c>
      <c r="I9">
        <v>1.6252659663981259</v>
      </c>
      <c r="J9">
        <v>1.587522987885247</v>
      </c>
      <c r="K9">
        <v>1.6325656535840389</v>
      </c>
      <c r="L9">
        <v>1.627220078028484</v>
      </c>
      <c r="M9">
        <v>1.7422832856777051</v>
      </c>
      <c r="N9">
        <v>1.7556485921694069</v>
      </c>
      <c r="O9">
        <v>1.747760973386546</v>
      </c>
      <c r="P9">
        <v>1.6363225373253341</v>
      </c>
      <c r="Q9">
        <v>1.568670466112785</v>
      </c>
      <c r="R9">
        <v>1.490777092856961</v>
      </c>
      <c r="S9">
        <v>1.474908790362079</v>
      </c>
      <c r="T9">
        <v>1.5823450437394839</v>
      </c>
      <c r="U9">
        <v>1.540297095048492</v>
      </c>
      <c r="V9">
        <v>1.6588576684563201</v>
      </c>
      <c r="W9">
        <v>1.5566753347204201</v>
      </c>
      <c r="X9">
        <v>1.5760028322527031</v>
      </c>
      <c r="Y9">
        <v>1.5720177682476331</v>
      </c>
      <c r="Z9">
        <v>1.6251251603921311</v>
      </c>
      <c r="AA9">
        <v>1.6053100838288079</v>
      </c>
      <c r="AB9">
        <v>1.6028796285353499</v>
      </c>
      <c r="AC9">
        <v>1.5884235938202449</v>
      </c>
      <c r="AD9">
        <v>1.71566023899384</v>
      </c>
      <c r="AE9">
        <v>1.7960369355073851</v>
      </c>
      <c r="AF9">
        <v>1.758718347433853</v>
      </c>
      <c r="AG9">
        <v>1.7464214005510199</v>
      </c>
      <c r="AH9">
        <v>1.742352036039527</v>
      </c>
      <c r="AI9">
        <v>1.7694110390354889</v>
      </c>
      <c r="AJ9">
        <v>1.8163622375129731</v>
      </c>
      <c r="AK9">
        <v>1.882432302448956</v>
      </c>
      <c r="AL9">
        <v>1.8622731692617689</v>
      </c>
      <c r="AM9">
        <v>1.8096294359938769</v>
      </c>
      <c r="AN9">
        <v>1.8141191687772189</v>
      </c>
      <c r="AO9">
        <v>2.158763567499685</v>
      </c>
      <c r="AP9">
        <v>1.707471519985327</v>
      </c>
      <c r="AQ9">
        <v>1.6179678791155969</v>
      </c>
      <c r="AR9">
        <v>1.6327407637386331</v>
      </c>
      <c r="AS9">
        <v>1.6574135807392201</v>
      </c>
      <c r="AT9">
        <v>1.7234158492758489</v>
      </c>
      <c r="AU9">
        <v>1.749723112701314</v>
      </c>
      <c r="AV9">
        <v>1.65459219888987</v>
      </c>
      <c r="AW9">
        <v>1.7483251316870989</v>
      </c>
      <c r="AX9">
        <v>1.752906360646789</v>
      </c>
      <c r="AY9">
        <v>1.7487364919315009</v>
      </c>
      <c r="AZ9">
        <v>1.718737307721538</v>
      </c>
      <c r="BA9">
        <v>1.7440771257318639</v>
      </c>
      <c r="BB9">
        <v>1.683149195034366</v>
      </c>
      <c r="BC9">
        <v>1.6145964005369851</v>
      </c>
      <c r="BD9">
        <v>1.538510848687362</v>
      </c>
      <c r="BE9">
        <v>1.6312187611823059</v>
      </c>
      <c r="BF9">
        <v>1.63047188278993</v>
      </c>
      <c r="BG9">
        <v>1.635135168620248</v>
      </c>
      <c r="BH9">
        <v>1.648008859627021</v>
      </c>
      <c r="BI9">
        <v>1.589679754272818</v>
      </c>
      <c r="BJ9">
        <v>1.608449473871127</v>
      </c>
      <c r="BK9">
        <v>1.614563547509525</v>
      </c>
      <c r="BL9">
        <v>1.6066858531731749</v>
      </c>
      <c r="BM9">
        <v>1.5732907829917451</v>
      </c>
      <c r="BN9">
        <v>1.543928918219722</v>
      </c>
      <c r="BO9">
        <v>1.5793713483535901</v>
      </c>
      <c r="BP9">
        <v>1.5947911080237249</v>
      </c>
      <c r="BQ9">
        <v>1.576154602151282</v>
      </c>
      <c r="BR9">
        <v>1.5483583594812189</v>
      </c>
      <c r="BS9">
        <v>1.5202550757574469</v>
      </c>
      <c r="BT9">
        <v>1.5648269261964971</v>
      </c>
      <c r="BU9">
        <v>1.5756051407325691</v>
      </c>
      <c r="BV9">
        <v>1.5813406665673391</v>
      </c>
      <c r="BW9">
        <v>1.541288959771131</v>
      </c>
      <c r="BX9">
        <v>1.545154216322447</v>
      </c>
      <c r="BY9">
        <v>1.591985610190038</v>
      </c>
      <c r="BZ9">
        <v>1.5278433558290501</v>
      </c>
      <c r="CA9">
        <v>1.561974317808505</v>
      </c>
      <c r="CB9">
        <v>1.5211269616119001</v>
      </c>
    </row>
    <row r="10" spans="1:80" x14ac:dyDescent="0.35">
      <c r="A10" t="s">
        <v>36</v>
      </c>
      <c r="B10">
        <v>0.24120464369656991</v>
      </c>
      <c r="C10">
        <v>0.24610955586616001</v>
      </c>
      <c r="D10">
        <v>0.2426282518228817</v>
      </c>
      <c r="E10">
        <v>0.25000480195449631</v>
      </c>
      <c r="F10">
        <v>0.25048340176714451</v>
      </c>
      <c r="G10">
        <v>0.2472028654403923</v>
      </c>
      <c r="H10">
        <v>0.24872778206842519</v>
      </c>
      <c r="I10">
        <v>0.24851822857395889</v>
      </c>
      <c r="J10">
        <v>0.2405636979658953</v>
      </c>
      <c r="K10">
        <v>0.24011788890559529</v>
      </c>
      <c r="L10">
        <v>0.23774889608188679</v>
      </c>
      <c r="M10">
        <v>0.24232966281620069</v>
      </c>
      <c r="N10">
        <v>0.2457572389425505</v>
      </c>
      <c r="O10">
        <v>0.2473772528509654</v>
      </c>
      <c r="P10">
        <v>0.24927742945910131</v>
      </c>
      <c r="Q10">
        <v>0.24612921466808529</v>
      </c>
      <c r="R10">
        <v>0.24726787556191651</v>
      </c>
      <c r="S10">
        <v>0.24539197976097979</v>
      </c>
      <c r="T10">
        <v>0.24835449524166631</v>
      </c>
      <c r="U10">
        <v>0.24881831824733749</v>
      </c>
      <c r="V10">
        <v>0.24739907590408741</v>
      </c>
      <c r="W10">
        <v>0.2456940396102569</v>
      </c>
      <c r="X10">
        <v>0.25273878581391679</v>
      </c>
      <c r="Y10">
        <v>0.24731829180552731</v>
      </c>
      <c r="Z10">
        <v>0.25262277131304189</v>
      </c>
      <c r="AA10">
        <v>0.25295961623579277</v>
      </c>
      <c r="AB10">
        <v>0.25014496309052592</v>
      </c>
      <c r="AC10">
        <v>0.2542010526159541</v>
      </c>
      <c r="AD10">
        <v>0.25454884296823871</v>
      </c>
      <c r="AE10">
        <v>0.25403927978225938</v>
      </c>
      <c r="AF10">
        <v>0.25268081196062669</v>
      </c>
      <c r="AG10">
        <v>0.25596821726952901</v>
      </c>
      <c r="AH10">
        <v>0.25458869733361977</v>
      </c>
      <c r="AI10">
        <v>0.2561552606951692</v>
      </c>
      <c r="AJ10">
        <v>0.25682323205121083</v>
      </c>
      <c r="AK10">
        <v>0.25806321416162548</v>
      </c>
      <c r="AL10">
        <v>0.25929389569142991</v>
      </c>
      <c r="AM10">
        <v>0.25868667197096812</v>
      </c>
      <c r="AN10">
        <v>0.25702433504972189</v>
      </c>
      <c r="AO10">
        <v>0.26003103835686459</v>
      </c>
      <c r="AP10">
        <v>0.26079536217233917</v>
      </c>
      <c r="AQ10">
        <v>0.26087856649464841</v>
      </c>
      <c r="AR10">
        <v>0.26134590769442761</v>
      </c>
      <c r="AS10">
        <v>0.25648238568185078</v>
      </c>
      <c r="AT10">
        <v>0.25492321610936358</v>
      </c>
      <c r="AU10">
        <v>0.2570817613597724</v>
      </c>
      <c r="AV10">
        <v>0.25669386322216109</v>
      </c>
      <c r="AW10">
        <v>0.25736731308982191</v>
      </c>
      <c r="AX10">
        <v>0.25997187200130961</v>
      </c>
      <c r="AY10">
        <v>0.25849166815395441</v>
      </c>
      <c r="AZ10">
        <v>0.25685772027412213</v>
      </c>
      <c r="BA10">
        <v>0.25541910062767442</v>
      </c>
      <c r="BB10">
        <v>0.25233197251132372</v>
      </c>
      <c r="BC10">
        <v>0.24966812108807959</v>
      </c>
      <c r="BD10">
        <v>0.24719065018473671</v>
      </c>
      <c r="BE10">
        <v>0.25612747306630163</v>
      </c>
      <c r="BF10">
        <v>0.25499019591935213</v>
      </c>
      <c r="BG10">
        <v>0.25082395923187167</v>
      </c>
      <c r="BH10">
        <v>0.25306732647478469</v>
      </c>
      <c r="BI10">
        <v>0.2484099959598946</v>
      </c>
      <c r="BJ10">
        <v>0.24979705781306341</v>
      </c>
      <c r="BK10">
        <v>0.25389973169106539</v>
      </c>
      <c r="BL10">
        <v>0.25047552404372192</v>
      </c>
      <c r="BM10">
        <v>0.2460441676390781</v>
      </c>
      <c r="BN10">
        <v>0.2435717833120887</v>
      </c>
      <c r="BO10">
        <v>0.24380925899248859</v>
      </c>
      <c r="BP10">
        <v>0.24031023751797401</v>
      </c>
      <c r="BQ10">
        <v>0.24188890502758409</v>
      </c>
      <c r="BR10">
        <v>0.23781644135708091</v>
      </c>
      <c r="BS10">
        <v>0.241013783806557</v>
      </c>
      <c r="BT10">
        <v>0.24376772322763399</v>
      </c>
      <c r="BU10">
        <v>0.2420311637025308</v>
      </c>
      <c r="BV10">
        <v>0.24021387715133519</v>
      </c>
      <c r="BW10">
        <v>0.24376120691291339</v>
      </c>
      <c r="BX10">
        <v>0.24172258604246</v>
      </c>
      <c r="BY10">
        <v>0.23705223073848519</v>
      </c>
      <c r="BZ10">
        <v>0.22949074182530271</v>
      </c>
      <c r="CA10">
        <v>0.22823457345483561</v>
      </c>
      <c r="CB10">
        <v>0.22565069213990141</v>
      </c>
    </row>
    <row r="12" spans="1:80" x14ac:dyDescent="0.35">
      <c r="A12" t="s">
        <v>37</v>
      </c>
      <c r="B12" t="s">
        <v>45</v>
      </c>
      <c r="C12" t="s">
        <v>46</v>
      </c>
      <c r="D12" t="s">
        <v>47</v>
      </c>
      <c r="E12" t="s">
        <v>48</v>
      </c>
      <c r="F12" t="s">
        <v>49</v>
      </c>
      <c r="G12" t="s">
        <v>50</v>
      </c>
      <c r="H12" t="s">
        <v>51</v>
      </c>
      <c r="I12" t="s">
        <v>52</v>
      </c>
      <c r="J12" t="s">
        <v>53</v>
      </c>
      <c r="K12" t="s">
        <v>54</v>
      </c>
      <c r="L12" t="s">
        <v>55</v>
      </c>
      <c r="M12" t="s">
        <v>56</v>
      </c>
      <c r="N12" t="s">
        <v>57</v>
      </c>
      <c r="O12" t="s">
        <v>58</v>
      </c>
      <c r="P12" t="s">
        <v>59</v>
      </c>
      <c r="Q12" t="s">
        <v>60</v>
      </c>
      <c r="R12" t="s">
        <v>61</v>
      </c>
      <c r="S12" t="s">
        <v>62</v>
      </c>
      <c r="T12" t="s">
        <v>63</v>
      </c>
      <c r="U12" t="s">
        <v>64</v>
      </c>
      <c r="V12" t="s">
        <v>65</v>
      </c>
      <c r="W12" t="s">
        <v>66</v>
      </c>
      <c r="X12" t="s">
        <v>67</v>
      </c>
      <c r="Y12" t="s">
        <v>68</v>
      </c>
      <c r="Z12" t="s">
        <v>69</v>
      </c>
      <c r="AA12" t="s">
        <v>70</v>
      </c>
      <c r="AB12" t="s">
        <v>71</v>
      </c>
      <c r="AC12" t="s">
        <v>72</v>
      </c>
      <c r="AD12" t="s">
        <v>73</v>
      </c>
      <c r="AE12" t="s">
        <v>74</v>
      </c>
      <c r="AF12" t="s">
        <v>75</v>
      </c>
      <c r="AG12" t="s">
        <v>76</v>
      </c>
      <c r="AH12" t="s">
        <v>77</v>
      </c>
      <c r="AI12" t="s">
        <v>78</v>
      </c>
      <c r="AJ12" t="s">
        <v>79</v>
      </c>
      <c r="AK12" t="s">
        <v>80</v>
      </c>
      <c r="AL12" t="s">
        <v>81</v>
      </c>
      <c r="AM12" t="s">
        <v>82</v>
      </c>
      <c r="AN12" t="s">
        <v>83</v>
      </c>
      <c r="AO12" t="s">
        <v>84</v>
      </c>
      <c r="AP12" t="s">
        <v>85</v>
      </c>
      <c r="AQ12" t="s">
        <v>86</v>
      </c>
      <c r="AR12" t="s">
        <v>87</v>
      </c>
      <c r="AS12" t="s">
        <v>88</v>
      </c>
      <c r="AT12" t="s">
        <v>89</v>
      </c>
      <c r="AU12" t="s">
        <v>90</v>
      </c>
      <c r="AV12" t="s">
        <v>91</v>
      </c>
      <c r="AW12" t="s">
        <v>92</v>
      </c>
      <c r="AX12" t="s">
        <v>93</v>
      </c>
      <c r="AY12" t="s">
        <v>94</v>
      </c>
      <c r="AZ12" t="s">
        <v>95</v>
      </c>
      <c r="BA12" t="s">
        <v>96</v>
      </c>
      <c r="BB12" t="s">
        <v>97</v>
      </c>
      <c r="BC12" t="s">
        <v>98</v>
      </c>
      <c r="BD12" t="s">
        <v>99</v>
      </c>
      <c r="BE12" t="s">
        <v>100</v>
      </c>
      <c r="BF12" t="s">
        <v>101</v>
      </c>
      <c r="BG12" t="s">
        <v>102</v>
      </c>
      <c r="BH12" t="s">
        <v>103</v>
      </c>
      <c r="BI12" t="s">
        <v>104</v>
      </c>
      <c r="BJ12" t="s">
        <v>105</v>
      </c>
      <c r="BK12" t="s">
        <v>106</v>
      </c>
      <c r="BL12" t="s">
        <v>107</v>
      </c>
      <c r="BM12" t="s">
        <v>108</v>
      </c>
      <c r="BN12" t="s">
        <v>109</v>
      </c>
      <c r="BO12" t="s">
        <v>110</v>
      </c>
      <c r="BP12" t="s">
        <v>111</v>
      </c>
      <c r="BQ12" t="s">
        <v>112</v>
      </c>
      <c r="BR12" t="s">
        <v>113</v>
      </c>
      <c r="BS12" t="s">
        <v>114</v>
      </c>
      <c r="BT12" t="s">
        <v>115</v>
      </c>
      <c r="BU12" t="s">
        <v>116</v>
      </c>
      <c r="BV12" t="s">
        <v>117</v>
      </c>
      <c r="BW12" t="s">
        <v>118</v>
      </c>
      <c r="BX12" t="s">
        <v>119</v>
      </c>
      <c r="BY12" t="s">
        <v>120</v>
      </c>
      <c r="BZ12" t="s">
        <v>121</v>
      </c>
      <c r="CA12" t="s">
        <v>122</v>
      </c>
      <c r="CB12" t="s">
        <v>123</v>
      </c>
    </row>
    <row r="13" spans="1:80" x14ac:dyDescent="0.35">
      <c r="A13" t="s">
        <v>28</v>
      </c>
      <c r="B13">
        <v>131.23844771071259</v>
      </c>
      <c r="C13">
        <v>131.15845794446039</v>
      </c>
      <c r="D13">
        <v>130.83989825982709</v>
      </c>
      <c r="E13">
        <v>131.4797538930637</v>
      </c>
      <c r="F13">
        <v>133.1663250989707</v>
      </c>
      <c r="G13">
        <v>133.3755215572867</v>
      </c>
      <c r="H13">
        <v>134.42140716647259</v>
      </c>
      <c r="I13">
        <v>134.16277149286489</v>
      </c>
      <c r="J13">
        <v>133.27512972341319</v>
      </c>
      <c r="K13">
        <v>132.68383389626169</v>
      </c>
      <c r="L13">
        <v>131.2851971276055</v>
      </c>
      <c r="M13">
        <v>135.00408658169121</v>
      </c>
      <c r="N13">
        <v>135.54118903168799</v>
      </c>
      <c r="O13">
        <v>135.5422383279132</v>
      </c>
      <c r="P13">
        <v>135.3571270814366</v>
      </c>
      <c r="Q13">
        <v>135.31995110590961</v>
      </c>
      <c r="R13">
        <v>135.43585312564639</v>
      </c>
      <c r="S13">
        <v>134.65047850670899</v>
      </c>
      <c r="T13">
        <v>134.24145442611621</v>
      </c>
      <c r="U13">
        <v>135.91081328297329</v>
      </c>
      <c r="V13">
        <v>134.55101101949211</v>
      </c>
      <c r="W13">
        <v>134.40580314155349</v>
      </c>
      <c r="X13">
        <v>131.97794396927009</v>
      </c>
      <c r="Y13">
        <v>132.30986380513471</v>
      </c>
      <c r="Z13">
        <v>134.07050441074131</v>
      </c>
      <c r="AA13">
        <v>133.65327244897969</v>
      </c>
      <c r="AB13">
        <v>134.25080615041969</v>
      </c>
      <c r="AC13">
        <v>135.63980513204959</v>
      </c>
      <c r="AD13">
        <v>137.14891958287151</v>
      </c>
      <c r="AE13">
        <v>137.54022558911569</v>
      </c>
      <c r="AF13">
        <v>137.98598459036259</v>
      </c>
      <c r="AG13">
        <v>138.0062367650809</v>
      </c>
      <c r="AH13">
        <v>137.69350457273191</v>
      </c>
      <c r="AI13">
        <v>138.26621814999231</v>
      </c>
      <c r="AJ13">
        <v>140.85523567002139</v>
      </c>
      <c r="AK13">
        <v>140.85548715020471</v>
      </c>
      <c r="AL13">
        <v>140.97630956576009</v>
      </c>
      <c r="AM13">
        <v>141.65762513074839</v>
      </c>
      <c r="AN13">
        <v>141.16843640736431</v>
      </c>
      <c r="AO13">
        <v>140.57057367017899</v>
      </c>
      <c r="AP13">
        <v>140.5093651428366</v>
      </c>
      <c r="AQ13">
        <v>140.52754837215011</v>
      </c>
      <c r="AR13">
        <v>139.33790868376741</v>
      </c>
      <c r="AS13">
        <v>141.22784566763269</v>
      </c>
      <c r="AT13">
        <v>141.17101458616449</v>
      </c>
      <c r="AU13">
        <v>140.0172515582511</v>
      </c>
      <c r="AV13">
        <v>138.49402862554851</v>
      </c>
      <c r="AW13">
        <v>138.5453487376094</v>
      </c>
      <c r="AX13">
        <v>138.98459943761719</v>
      </c>
      <c r="AY13">
        <v>138.43771710387631</v>
      </c>
      <c r="AZ13">
        <v>137.54748043855349</v>
      </c>
      <c r="BA13">
        <v>139.35004014233809</v>
      </c>
      <c r="BB13">
        <v>140.5232645016757</v>
      </c>
      <c r="BC13">
        <v>140.62580933105431</v>
      </c>
      <c r="BD13">
        <v>141.11685686922559</v>
      </c>
      <c r="BE13">
        <v>141.90823591023229</v>
      </c>
      <c r="BF13">
        <v>141.6065243977921</v>
      </c>
      <c r="BG13">
        <v>140.57432413020919</v>
      </c>
      <c r="BH13">
        <v>139.8572565686037</v>
      </c>
      <c r="BI13">
        <v>139.17629624770899</v>
      </c>
      <c r="BJ13">
        <v>139.6432294467624</v>
      </c>
      <c r="BK13">
        <v>140.0038574051338</v>
      </c>
      <c r="BL13">
        <v>139.69022382749031</v>
      </c>
      <c r="BM13">
        <v>140.2234010521787</v>
      </c>
      <c r="BN13">
        <v>140.8264127017209</v>
      </c>
      <c r="BO13">
        <v>140.6272817847794</v>
      </c>
      <c r="BP13">
        <v>140.81298203070691</v>
      </c>
      <c r="BQ13">
        <v>140.640026801994</v>
      </c>
      <c r="BR13">
        <v>141.2334400961729</v>
      </c>
      <c r="BS13">
        <v>141.52305076434311</v>
      </c>
      <c r="BT13">
        <v>141.42884932000311</v>
      </c>
      <c r="BU13">
        <v>142.14041743676631</v>
      </c>
      <c r="BV13">
        <v>142.75450687675311</v>
      </c>
      <c r="BW13">
        <v>142.80994518418859</v>
      </c>
      <c r="BX13">
        <v>142.75230128608121</v>
      </c>
      <c r="BY13">
        <v>143.0962998493188</v>
      </c>
      <c r="BZ13">
        <v>142.8826963204076</v>
      </c>
      <c r="CA13">
        <v>143.310190432182</v>
      </c>
      <c r="CB13">
        <v>143.69803116438311</v>
      </c>
    </row>
    <row r="14" spans="1:80" x14ac:dyDescent="0.35">
      <c r="A14" t="s">
        <v>29</v>
      </c>
      <c r="B14">
        <v>1.0203446603624979</v>
      </c>
      <c r="C14">
        <v>1.5499801230775629</v>
      </c>
      <c r="D14">
        <v>1.492278639644651</v>
      </c>
      <c r="E14">
        <v>1.6764700998236171</v>
      </c>
      <c r="F14">
        <v>1.6066672243383049</v>
      </c>
      <c r="G14">
        <v>1.332331353146226</v>
      </c>
      <c r="H14">
        <v>0.63937145400159234</v>
      </c>
      <c r="I14">
        <v>0.53049609161841282</v>
      </c>
      <c r="J14">
        <v>0.34079094767626411</v>
      </c>
      <c r="K14">
        <v>-0.28023508817365128</v>
      </c>
      <c r="L14">
        <v>-0.1069075172699413</v>
      </c>
      <c r="M14">
        <v>0.36982910030001992</v>
      </c>
      <c r="N14">
        <v>0.25905338865168231</v>
      </c>
      <c r="O14">
        <v>0.5200590045001271</v>
      </c>
      <c r="P14">
        <v>0.53149323355768729</v>
      </c>
      <c r="Q14">
        <v>0.80420600490395289</v>
      </c>
      <c r="R14">
        <v>0.8604151536029484</v>
      </c>
      <c r="S14">
        <v>0.72077637438084485</v>
      </c>
      <c r="T14">
        <v>0.59872222846997603</v>
      </c>
      <c r="U14">
        <v>0.40935671885256608</v>
      </c>
      <c r="V14">
        <v>0.26721417207307419</v>
      </c>
      <c r="W14">
        <v>-0.57541275643022927</v>
      </c>
      <c r="X14">
        <v>-0.82757958506050622</v>
      </c>
      <c r="Y14">
        <v>-0.82739820122798535</v>
      </c>
      <c r="Z14">
        <v>-0.67671246002849739</v>
      </c>
      <c r="AA14">
        <v>-0.55421685522671182</v>
      </c>
      <c r="AB14">
        <v>-0.65936226308691925</v>
      </c>
      <c r="AC14">
        <v>0.16613277692626879</v>
      </c>
      <c r="AD14">
        <v>0.65609902142924281</v>
      </c>
      <c r="AE14">
        <v>0.62760037910230848</v>
      </c>
      <c r="AF14">
        <v>0.60376830973018902</v>
      </c>
      <c r="AG14">
        <v>0.52244609917680662</v>
      </c>
      <c r="AH14">
        <v>4.8131910478971467E-2</v>
      </c>
      <c r="AI14">
        <v>7.8056925617610157E-2</v>
      </c>
      <c r="AJ14">
        <v>0.41227870365649733</v>
      </c>
      <c r="AK14">
        <v>7.1864572157162118E-2</v>
      </c>
      <c r="AL14">
        <v>0.45305825182124509</v>
      </c>
      <c r="AM14">
        <v>0.69502365339331817</v>
      </c>
      <c r="AN14">
        <v>0.52847496292599339</v>
      </c>
      <c r="AO14">
        <v>0.55265910263827367</v>
      </c>
      <c r="AP14">
        <v>0.94933912360049721</v>
      </c>
      <c r="AQ14">
        <v>1.200797127567776</v>
      </c>
      <c r="AR14">
        <v>1.313310381293453</v>
      </c>
      <c r="AS14">
        <v>0.89836417761103227</v>
      </c>
      <c r="AT14">
        <v>0.93719010697965166</v>
      </c>
      <c r="AU14">
        <v>0.74332032662349923</v>
      </c>
      <c r="AV14">
        <v>0.64278355799381681</v>
      </c>
      <c r="AW14">
        <v>0.49404789321676579</v>
      </c>
      <c r="AX14">
        <v>-5.808617772057157E-2</v>
      </c>
      <c r="AY14">
        <v>-4.8954153457172973E-2</v>
      </c>
      <c r="AZ14">
        <v>-0.42964235650048699</v>
      </c>
      <c r="BA14">
        <v>-0.1069622675767392</v>
      </c>
      <c r="BB14">
        <v>0.41949852810726063</v>
      </c>
      <c r="BC14">
        <v>0.2339584652860672</v>
      </c>
      <c r="BD14">
        <v>0.35633686279514892</v>
      </c>
      <c r="BE14">
        <v>0.5018193260223125</v>
      </c>
      <c r="BF14">
        <v>0.45998077803349241</v>
      </c>
      <c r="BG14">
        <v>0.28996063809378808</v>
      </c>
      <c r="BH14">
        <v>0.2625549185471745</v>
      </c>
      <c r="BI14">
        <v>0.36377134614704121</v>
      </c>
      <c r="BJ14">
        <v>0.50241386470123861</v>
      </c>
      <c r="BK14">
        <v>0.34850914014428802</v>
      </c>
      <c r="BL14">
        <v>0.36173229596468531</v>
      </c>
      <c r="BM14">
        <v>0.54358206825199396</v>
      </c>
      <c r="BN14">
        <v>0.92172671064609746</v>
      </c>
      <c r="BO14">
        <v>1.1363722794052571</v>
      </c>
      <c r="BP14">
        <v>0.79929659752793236</v>
      </c>
      <c r="BQ14">
        <v>1.2415691805936691</v>
      </c>
      <c r="BR14">
        <v>1.570135368475172</v>
      </c>
      <c r="BS14">
        <v>1.740101032147604</v>
      </c>
      <c r="BT14">
        <v>1.728560406916632</v>
      </c>
      <c r="BU14">
        <v>1.882036586522766</v>
      </c>
      <c r="BV14">
        <v>1.72952566664709</v>
      </c>
      <c r="BW14">
        <v>1.544704534111192</v>
      </c>
      <c r="BX14">
        <v>1.5791023776876369</v>
      </c>
      <c r="BY14">
        <v>1.6655824664379311</v>
      </c>
      <c r="BZ14">
        <v>1.8566488677352659</v>
      </c>
      <c r="CA14">
        <v>1.696094567138305</v>
      </c>
      <c r="CB14">
        <v>1.802367972258095</v>
      </c>
    </row>
    <row r="15" spans="1:80" x14ac:dyDescent="0.35">
      <c r="A15" t="s">
        <v>30</v>
      </c>
      <c r="B15">
        <v>10.329967218424491</v>
      </c>
      <c r="C15">
        <v>10.488803308156021</v>
      </c>
      <c r="D15">
        <v>10.76028000607397</v>
      </c>
      <c r="E15">
        <v>10.543643180085279</v>
      </c>
      <c r="F15">
        <v>9.6781947179914312</v>
      </c>
      <c r="G15">
        <v>9.799200257975718</v>
      </c>
      <c r="H15">
        <v>9.2535364536504225</v>
      </c>
      <c r="I15">
        <v>9.3195193480593552</v>
      </c>
      <c r="J15">
        <v>9.8408911898772331</v>
      </c>
      <c r="K15">
        <v>10.189352102592069</v>
      </c>
      <c r="L15">
        <v>10.75773505743582</v>
      </c>
      <c r="M15">
        <v>9.5642302088943119</v>
      </c>
      <c r="N15">
        <v>9.1609251560784717</v>
      </c>
      <c r="O15">
        <v>9.0701653457242415</v>
      </c>
      <c r="P15">
        <v>9.0280648557256669</v>
      </c>
      <c r="Q15">
        <v>9.0604331447689983</v>
      </c>
      <c r="R15">
        <v>9.0793224988749728</v>
      </c>
      <c r="S15">
        <v>9.3008561361147706</v>
      </c>
      <c r="T15">
        <v>9.6682104985731545</v>
      </c>
      <c r="U15">
        <v>8.8769010006683544</v>
      </c>
      <c r="V15">
        <v>9.4684049285899263</v>
      </c>
      <c r="W15">
        <v>9.3930406953899208</v>
      </c>
      <c r="X15">
        <v>10.287258628080069</v>
      </c>
      <c r="Y15">
        <v>10.039032685441009</v>
      </c>
      <c r="Z15">
        <v>9.3892009680783008</v>
      </c>
      <c r="AA15">
        <v>9.4814144955443602</v>
      </c>
      <c r="AB15">
        <v>9.0845204946107643</v>
      </c>
      <c r="AC15">
        <v>8.6148269173968686</v>
      </c>
      <c r="AD15">
        <v>8.0866932542821885</v>
      </c>
      <c r="AE15">
        <v>7.9978694158714054</v>
      </c>
      <c r="AF15">
        <v>7.733510145400821</v>
      </c>
      <c r="AG15">
        <v>7.7299881387506906</v>
      </c>
      <c r="AH15">
        <v>7.8040720740965783</v>
      </c>
      <c r="AI15">
        <v>7.6408376176589687</v>
      </c>
      <c r="AJ15">
        <v>6.5825761978053086</v>
      </c>
      <c r="AK15">
        <v>6.4068661710299208</v>
      </c>
      <c r="AL15">
        <v>6.2779683094602357</v>
      </c>
      <c r="AM15">
        <v>6.0189013742970676</v>
      </c>
      <c r="AN15">
        <v>6.2073758038692146</v>
      </c>
      <c r="AO15">
        <v>6.5039364845575056</v>
      </c>
      <c r="AP15">
        <v>6.6763506723856887</v>
      </c>
      <c r="AQ15">
        <v>6.7132826828360246</v>
      </c>
      <c r="AR15">
        <v>7.1518307847163101</v>
      </c>
      <c r="AS15">
        <v>6.3330011265262716</v>
      </c>
      <c r="AT15">
        <v>6.249237086414082</v>
      </c>
      <c r="AU15">
        <v>6.732102164432523</v>
      </c>
      <c r="AV15">
        <v>7.4983115707678447</v>
      </c>
      <c r="AW15">
        <v>7.3898624122109879</v>
      </c>
      <c r="AX15">
        <v>7.3115475704836062</v>
      </c>
      <c r="AY15">
        <v>7.5669617650094017</v>
      </c>
      <c r="AZ15">
        <v>7.9431428835632367</v>
      </c>
      <c r="BA15">
        <v>7.278187779002538</v>
      </c>
      <c r="BB15">
        <v>6.8993992584412611</v>
      </c>
      <c r="BC15">
        <v>6.9187038420020803</v>
      </c>
      <c r="BD15">
        <v>6.7419292533887516</v>
      </c>
      <c r="BE15">
        <v>6.3353692784730544</v>
      </c>
      <c r="BF15">
        <v>6.4870402133601841</v>
      </c>
      <c r="BG15">
        <v>7.0607371256710278</v>
      </c>
      <c r="BH15">
        <v>7.5186361558242956</v>
      </c>
      <c r="BI15">
        <v>7.9978226274511419</v>
      </c>
      <c r="BJ15">
        <v>7.7406763667269303</v>
      </c>
      <c r="BK15">
        <v>7.4704276319792671</v>
      </c>
      <c r="BL15">
        <v>7.6240113208784246</v>
      </c>
      <c r="BM15">
        <v>7.3970207970042612</v>
      </c>
      <c r="BN15">
        <v>7.1552144237250674</v>
      </c>
      <c r="BO15">
        <v>7.3705506747338703</v>
      </c>
      <c r="BP15">
        <v>7.2908033609218386</v>
      </c>
      <c r="BQ15">
        <v>7.4129047184930101</v>
      </c>
      <c r="BR15">
        <v>7.2293960638440522</v>
      </c>
      <c r="BS15">
        <v>7.2414124201353562</v>
      </c>
      <c r="BT15">
        <v>7.273075596581517</v>
      </c>
      <c r="BU15">
        <v>7.0558444390775863</v>
      </c>
      <c r="BV15">
        <v>6.6816780433089331</v>
      </c>
      <c r="BW15">
        <v>6.4856627936071236</v>
      </c>
      <c r="BX15">
        <v>6.4673862109746061</v>
      </c>
      <c r="BY15">
        <v>6.3595625138201193</v>
      </c>
      <c r="BZ15">
        <v>6.5322394737480964</v>
      </c>
      <c r="CA15">
        <v>6.2871380529777738</v>
      </c>
      <c r="CB15">
        <v>6.1123378869889091</v>
      </c>
    </row>
    <row r="16" spans="1:80" x14ac:dyDescent="0.35">
      <c r="A16" t="s">
        <v>31</v>
      </c>
      <c r="B16">
        <v>-0.76426316437048847</v>
      </c>
      <c r="C16">
        <v>0.46754027473097998</v>
      </c>
      <c r="D16">
        <v>0.95933563928214038</v>
      </c>
      <c r="E16">
        <v>1.209748271647862</v>
      </c>
      <c r="F16">
        <v>-0.95367827882965961</v>
      </c>
      <c r="G16">
        <v>5.8713209678034728E-2</v>
      </c>
      <c r="H16">
        <v>1.560998896931753</v>
      </c>
      <c r="I16">
        <v>0.69459268323308176</v>
      </c>
      <c r="J16">
        <v>0.18784008684038439</v>
      </c>
      <c r="K16">
        <v>-1.641905656541248</v>
      </c>
      <c r="L16">
        <v>-3.97516088074901</v>
      </c>
      <c r="M16">
        <v>1.7226067411882131</v>
      </c>
      <c r="N16">
        <v>1.5399373650007799</v>
      </c>
      <c r="O16">
        <v>2.640625071153849</v>
      </c>
      <c r="P16">
        <v>4.7053483635732647</v>
      </c>
      <c r="Q16">
        <v>6.5655652359816843</v>
      </c>
      <c r="R16">
        <v>8.1795589006877876</v>
      </c>
      <c r="S16">
        <v>7.2660325331620488</v>
      </c>
      <c r="T16">
        <v>6.7513953238263031</v>
      </c>
      <c r="U16">
        <v>5.5460753082744496</v>
      </c>
      <c r="V16">
        <v>4.3076865554003696</v>
      </c>
      <c r="W16">
        <v>4.6826210876408174</v>
      </c>
      <c r="X16">
        <v>4.3353499679215206</v>
      </c>
      <c r="Y16">
        <v>4.1153575798896718</v>
      </c>
      <c r="Z16">
        <v>5.0902288014085162</v>
      </c>
      <c r="AA16">
        <v>4.6359589925293667</v>
      </c>
      <c r="AB16">
        <v>4.7013550516486244</v>
      </c>
      <c r="AC16">
        <v>4.6318250360474771</v>
      </c>
      <c r="AD16">
        <v>4.5032360978524304</v>
      </c>
      <c r="AE16">
        <v>5.1389907763070699</v>
      </c>
      <c r="AF16">
        <v>4.9118235752849611</v>
      </c>
      <c r="AG16">
        <v>4.5899115397022809</v>
      </c>
      <c r="AH16">
        <v>4.5473063084121277</v>
      </c>
      <c r="AI16">
        <v>4.0931176318216878</v>
      </c>
      <c r="AJ16">
        <v>5.1597913631215997</v>
      </c>
      <c r="AK16">
        <v>3.7585719977509919</v>
      </c>
      <c r="AL16">
        <v>4.3532260810075956</v>
      </c>
      <c r="AM16">
        <v>4.8425148571824934</v>
      </c>
      <c r="AN16">
        <v>3.284513262749484</v>
      </c>
      <c r="AO16">
        <v>1.0161288410780069</v>
      </c>
      <c r="AP16">
        <v>6.232702295881194</v>
      </c>
      <c r="AQ16">
        <v>9.0202506748418756</v>
      </c>
      <c r="AR16">
        <v>8.77308907308025</v>
      </c>
      <c r="AS16">
        <v>7.4824579464876706</v>
      </c>
      <c r="AT16">
        <v>6.3200034792092126</v>
      </c>
      <c r="AU16">
        <v>7.4030920116743459</v>
      </c>
      <c r="AV16">
        <v>8.4827471385349682</v>
      </c>
      <c r="AW16">
        <v>8.0344642617230608</v>
      </c>
      <c r="AX16">
        <v>7.7294618951234391</v>
      </c>
      <c r="AY16">
        <v>7.9503620257459886</v>
      </c>
      <c r="AZ16">
        <v>7.5595491338660139</v>
      </c>
      <c r="BA16">
        <v>7.5704337824454404</v>
      </c>
      <c r="BB16">
        <v>7.8405318157067541</v>
      </c>
      <c r="BC16">
        <v>7.8983546432477976</v>
      </c>
      <c r="BD16">
        <v>7.8501186110601777</v>
      </c>
      <c r="BE16">
        <v>7.6941609197809662</v>
      </c>
      <c r="BF16">
        <v>7.2961277167590151</v>
      </c>
      <c r="BG16">
        <v>7.1020754703828706</v>
      </c>
      <c r="BH16">
        <v>7.8569131201795823</v>
      </c>
      <c r="BI16">
        <v>8.0605549390204576</v>
      </c>
      <c r="BJ16">
        <v>7.6458187665728836</v>
      </c>
      <c r="BK16">
        <v>7.3214849776504121</v>
      </c>
      <c r="BL16">
        <v>7.7872459892014927</v>
      </c>
      <c r="BM16">
        <v>8.2997830992726644</v>
      </c>
      <c r="BN16">
        <v>8.6948077728371249</v>
      </c>
      <c r="BO16">
        <v>9.0027330896085651</v>
      </c>
      <c r="BP16">
        <v>8.6273162807739538</v>
      </c>
      <c r="BQ16">
        <v>8.6026957093797858</v>
      </c>
      <c r="BR16">
        <v>9.0070512760332022</v>
      </c>
      <c r="BS16">
        <v>8.9359026065550129</v>
      </c>
      <c r="BT16">
        <v>8.7936021929332444</v>
      </c>
      <c r="BU16">
        <v>8.237348785448523</v>
      </c>
      <c r="BV16">
        <v>8.1615880736236122</v>
      </c>
      <c r="BW16">
        <v>7.1838692958899637</v>
      </c>
      <c r="BX16">
        <v>7.486639981702206</v>
      </c>
      <c r="BY16">
        <v>7.572461459129614</v>
      </c>
      <c r="BZ16">
        <v>7.5359372645106264</v>
      </c>
      <c r="CA16">
        <v>7.385494609362615</v>
      </c>
      <c r="CB16">
        <v>7.5246339448358297</v>
      </c>
    </row>
    <row r="17" spans="1:80" x14ac:dyDescent="0.35">
      <c r="A17" t="s">
        <v>32</v>
      </c>
      <c r="B17">
        <v>0.39688655020003399</v>
      </c>
      <c r="C17">
        <v>5.9123389343234398E-2</v>
      </c>
      <c r="D17">
        <v>0.29935660246545431</v>
      </c>
      <c r="E17">
        <v>8.131748111735615E-2</v>
      </c>
      <c r="F17">
        <v>0.1195154543956836</v>
      </c>
      <c r="G17">
        <v>-3.4614319149186001E-2</v>
      </c>
      <c r="H17">
        <v>-0.33851312185390231</v>
      </c>
      <c r="I17">
        <v>-0.4776343933477189</v>
      </c>
      <c r="J17">
        <v>-0.50042433216574589</v>
      </c>
      <c r="K17">
        <v>-0.41009906681971692</v>
      </c>
      <c r="L17">
        <v>-0.44548750203755028</v>
      </c>
      <c r="M17">
        <v>-0.65700999862674747</v>
      </c>
      <c r="N17">
        <v>-0.53470223666425509</v>
      </c>
      <c r="O17">
        <v>-0.46196323311004028</v>
      </c>
      <c r="P17">
        <v>-0.40092669305978101</v>
      </c>
      <c r="Q17">
        <v>-0.42417474570482949</v>
      </c>
      <c r="R17">
        <v>-0.35572857983399991</v>
      </c>
      <c r="S17">
        <v>-0.25987876469088572</v>
      </c>
      <c r="T17">
        <v>-0.20136828739132689</v>
      </c>
      <c r="U17">
        <v>-0.2087293389477857</v>
      </c>
      <c r="V17">
        <v>-0.20557784181186589</v>
      </c>
      <c r="W17">
        <v>-0.33177105578814148</v>
      </c>
      <c r="X17">
        <v>-0.36591807013696348</v>
      </c>
      <c r="Y17">
        <v>-0.34589079424003633</v>
      </c>
      <c r="Z17">
        <v>-0.27478930500638099</v>
      </c>
      <c r="AA17">
        <v>-0.48858219902597527</v>
      </c>
      <c r="AB17">
        <v>-0.61627001287141103</v>
      </c>
      <c r="AC17">
        <v>-0.47476079179986191</v>
      </c>
      <c r="AD17">
        <v>-0.16642010322672601</v>
      </c>
      <c r="AE17">
        <v>-0.3090825335707803</v>
      </c>
      <c r="AF17">
        <v>-0.20380686047789251</v>
      </c>
      <c r="AG17">
        <v>-0.2062470161411262</v>
      </c>
      <c r="AH17">
        <v>-0.31819564396024852</v>
      </c>
      <c r="AI17">
        <v>-0.15533331714517931</v>
      </c>
      <c r="AJ17">
        <v>-0.35663486710879211</v>
      </c>
      <c r="AK17">
        <v>-0.35783097255225771</v>
      </c>
      <c r="AL17">
        <v>-0.26727988135557051</v>
      </c>
      <c r="AM17">
        <v>-0.36651053782694182</v>
      </c>
      <c r="AN17">
        <v>-0.49894648317940488</v>
      </c>
      <c r="AO17">
        <v>-0.24272827268703001</v>
      </c>
      <c r="AP17">
        <v>-0.56504380015279243</v>
      </c>
      <c r="AQ17">
        <v>-0.40133775701029611</v>
      </c>
      <c r="AR17">
        <v>-0.22191391751557649</v>
      </c>
      <c r="AS17">
        <v>-0.35798084011928188</v>
      </c>
      <c r="AT17">
        <v>-0.20232180724297891</v>
      </c>
      <c r="AU17">
        <v>-0.23176456208388929</v>
      </c>
      <c r="AV17">
        <v>0.12851289136300961</v>
      </c>
      <c r="AW17">
        <v>0.21394800569667191</v>
      </c>
      <c r="AX17">
        <v>-6.1539500866292229E-5</v>
      </c>
      <c r="AY17">
        <v>7.3549669478192858E-2</v>
      </c>
      <c r="AZ17">
        <v>0.1296700424568131</v>
      </c>
      <c r="BA17">
        <v>8.0564145868440018E-2</v>
      </c>
      <c r="BB17">
        <v>-0.12880024412744551</v>
      </c>
      <c r="BC17">
        <v>0.20244069469464079</v>
      </c>
      <c r="BD17">
        <v>0.16895837423436011</v>
      </c>
      <c r="BE17">
        <v>-0.26708785286299108</v>
      </c>
      <c r="BF17">
        <v>-0.57272934771842254</v>
      </c>
      <c r="BG17">
        <v>-0.49328513489646669</v>
      </c>
      <c r="BH17">
        <v>-0.51338364202466513</v>
      </c>
      <c r="BI17">
        <v>-0.40687012286698582</v>
      </c>
      <c r="BJ17">
        <v>-0.46700081245494679</v>
      </c>
      <c r="BK17">
        <v>-0.57332284285260382</v>
      </c>
      <c r="BL17">
        <v>-0.44955348005495988</v>
      </c>
      <c r="BM17">
        <v>-0.43408695370802719</v>
      </c>
      <c r="BN17">
        <v>-0.38654772085229722</v>
      </c>
      <c r="BO17">
        <v>-0.35537173650021509</v>
      </c>
      <c r="BP17">
        <v>-0.35198573974848552</v>
      </c>
      <c r="BQ17">
        <v>-0.45492040693260122</v>
      </c>
      <c r="BR17">
        <v>-0.65196577201203476</v>
      </c>
      <c r="BS17">
        <v>-0.58773035041890798</v>
      </c>
      <c r="BT17">
        <v>-0.50219687842015803</v>
      </c>
      <c r="BU17">
        <v>-0.54546019557824843</v>
      </c>
      <c r="BV17">
        <v>-0.43475397560692519</v>
      </c>
      <c r="BW17">
        <v>-0.44786226150199782</v>
      </c>
      <c r="BX17">
        <v>-0.33472997778296598</v>
      </c>
      <c r="BY17">
        <v>-0.29402392205090888</v>
      </c>
      <c r="BZ17">
        <v>-0.23786709543552989</v>
      </c>
      <c r="CA17">
        <v>-0.49463571999837253</v>
      </c>
      <c r="CB17">
        <v>-0.43766817650776663</v>
      </c>
    </row>
    <row r="18" spans="1:80" x14ac:dyDescent="0.35">
      <c r="A18" t="s">
        <v>33</v>
      </c>
      <c r="B18">
        <v>142.22138297532911</v>
      </c>
      <c r="C18">
        <v>143.7239050397682</v>
      </c>
      <c r="D18">
        <v>144.35114914729331</v>
      </c>
      <c r="E18">
        <v>144.99093292573781</v>
      </c>
      <c r="F18">
        <v>143.6170242168665</v>
      </c>
      <c r="G18">
        <v>144.53115205893749</v>
      </c>
      <c r="H18">
        <v>145.53680084920251</v>
      </c>
      <c r="I18">
        <v>144.22974522242811</v>
      </c>
      <c r="J18">
        <v>143.14422761564131</v>
      </c>
      <c r="K18">
        <v>140.54094618731921</v>
      </c>
      <c r="L18">
        <v>137.5153762849848</v>
      </c>
      <c r="M18">
        <v>146.00374263344699</v>
      </c>
      <c r="N18">
        <v>145.9664027047547</v>
      </c>
      <c r="O18">
        <v>147.31112451618139</v>
      </c>
      <c r="P18">
        <v>149.22110684123339</v>
      </c>
      <c r="Q18">
        <v>151.32598074585951</v>
      </c>
      <c r="R18">
        <v>153.19942109897821</v>
      </c>
      <c r="S18">
        <v>151.67826478567571</v>
      </c>
      <c r="T18">
        <v>151.05841418959429</v>
      </c>
      <c r="U18">
        <v>150.53441697182089</v>
      </c>
      <c r="V18">
        <v>148.38873883374359</v>
      </c>
      <c r="W18">
        <v>147.57428111236581</v>
      </c>
      <c r="X18">
        <v>145.40705491007421</v>
      </c>
      <c r="Y18">
        <v>145.2909650749973</v>
      </c>
      <c r="Z18">
        <v>147.5984324151932</v>
      </c>
      <c r="AA18">
        <v>146.72784688280069</v>
      </c>
      <c r="AB18">
        <v>146.76104942072081</v>
      </c>
      <c r="AC18">
        <v>148.5778290706204</v>
      </c>
      <c r="AD18">
        <v>150.22852785320859</v>
      </c>
      <c r="AE18">
        <v>150.99560362682581</v>
      </c>
      <c r="AF18">
        <v>151.03127976030069</v>
      </c>
      <c r="AG18">
        <v>150.64233552656961</v>
      </c>
      <c r="AH18">
        <v>149.77481922175929</v>
      </c>
      <c r="AI18">
        <v>149.92289700794529</v>
      </c>
      <c r="AJ18">
        <v>152.6532470674961</v>
      </c>
      <c r="AK18">
        <v>150.73495891859051</v>
      </c>
      <c r="AL18">
        <v>151.7932823266936</v>
      </c>
      <c r="AM18">
        <v>152.84755447779429</v>
      </c>
      <c r="AN18">
        <v>150.6898539537296</v>
      </c>
      <c r="AO18">
        <v>148.40056982576581</v>
      </c>
      <c r="AP18">
        <v>153.80271343455121</v>
      </c>
      <c r="AQ18">
        <v>157.06054110038551</v>
      </c>
      <c r="AR18">
        <v>156.3542250053419</v>
      </c>
      <c r="AS18">
        <v>155.58368807813841</v>
      </c>
      <c r="AT18">
        <v>154.4751234515245</v>
      </c>
      <c r="AU18">
        <v>154.66400149889759</v>
      </c>
      <c r="AV18">
        <v>155.24638378420809</v>
      </c>
      <c r="AW18">
        <v>154.6776713104569</v>
      </c>
      <c r="AX18">
        <v>153.96746118600279</v>
      </c>
      <c r="AY18">
        <v>153.97963641065269</v>
      </c>
      <c r="AZ18">
        <v>152.75020014193899</v>
      </c>
      <c r="BA18">
        <v>154.17226358207779</v>
      </c>
      <c r="BB18">
        <v>155.55389385980359</v>
      </c>
      <c r="BC18">
        <v>155.87926697628481</v>
      </c>
      <c r="BD18">
        <v>156.23419997070411</v>
      </c>
      <c r="BE18">
        <v>156.17249758164559</v>
      </c>
      <c r="BF18">
        <v>155.27694375822639</v>
      </c>
      <c r="BG18">
        <v>154.53381222946041</v>
      </c>
      <c r="BH18">
        <v>154.98197712113009</v>
      </c>
      <c r="BI18">
        <v>155.19157503746069</v>
      </c>
      <c r="BJ18">
        <v>155.06513763230851</v>
      </c>
      <c r="BK18">
        <v>154.57095631205519</v>
      </c>
      <c r="BL18">
        <v>155.01365995347999</v>
      </c>
      <c r="BM18">
        <v>156.02970006299961</v>
      </c>
      <c r="BN18">
        <v>157.2116138880769</v>
      </c>
      <c r="BO18">
        <v>157.78156609202691</v>
      </c>
      <c r="BP18">
        <v>157.17841253018219</v>
      </c>
      <c r="BQ18">
        <v>157.44227600352789</v>
      </c>
      <c r="BR18">
        <v>158.3880570325133</v>
      </c>
      <c r="BS18">
        <v>158.85273647276219</v>
      </c>
      <c r="BT18">
        <v>158.72189063801429</v>
      </c>
      <c r="BU18">
        <v>158.77018705223691</v>
      </c>
      <c r="BV18">
        <v>158.89254468472581</v>
      </c>
      <c r="BW18">
        <v>157.57631954629491</v>
      </c>
      <c r="BX18">
        <v>157.9506998786627</v>
      </c>
      <c r="BY18">
        <v>158.39988236665559</v>
      </c>
      <c r="BZ18">
        <v>158.56965483096599</v>
      </c>
      <c r="CA18">
        <v>158.18428194166239</v>
      </c>
      <c r="CB18">
        <v>158.6997027919582</v>
      </c>
    </row>
    <row r="19" spans="1:80" x14ac:dyDescent="0.35">
      <c r="A19" t="s">
        <v>34</v>
      </c>
      <c r="B19">
        <v>5478950.7800000003</v>
      </c>
      <c r="C19">
        <v>7618325.5</v>
      </c>
      <c r="D19">
        <v>12023263.060000001</v>
      </c>
      <c r="E19">
        <v>7283262.7000000002</v>
      </c>
      <c r="F19">
        <v>10178478.550000001</v>
      </c>
      <c r="G19">
        <v>13784275.83</v>
      </c>
      <c r="H19">
        <v>15126883.859999999</v>
      </c>
      <c r="I19">
        <v>11805460.85</v>
      </c>
      <c r="J19">
        <v>12681393.48</v>
      </c>
      <c r="K19">
        <v>13289779.300000001</v>
      </c>
      <c r="L19">
        <v>11761374.35</v>
      </c>
      <c r="M19">
        <v>10053486.6</v>
      </c>
      <c r="N19">
        <v>10767782.85</v>
      </c>
      <c r="O19">
        <v>11105954.109999999</v>
      </c>
      <c r="P19">
        <v>25882395.370000001</v>
      </c>
      <c r="Q19">
        <v>25959766.190000001</v>
      </c>
      <c r="R19">
        <v>24799967.699999999</v>
      </c>
      <c r="S19">
        <v>24010865.079999998</v>
      </c>
      <c r="T19">
        <v>21893090.07</v>
      </c>
      <c r="U19">
        <v>22372453.260000002</v>
      </c>
      <c r="V19">
        <v>20352157.370000001</v>
      </c>
      <c r="W19">
        <v>20794584.109999999</v>
      </c>
      <c r="X19">
        <v>22583235.969999999</v>
      </c>
      <c r="Y19">
        <v>18992285.120000001</v>
      </c>
      <c r="Z19">
        <v>15649418.6</v>
      </c>
      <c r="AA19">
        <v>16131497.289999999</v>
      </c>
      <c r="AB19">
        <v>28869206.77</v>
      </c>
      <c r="AC19">
        <v>23674510.350000001</v>
      </c>
      <c r="AD19">
        <v>19096758.010000002</v>
      </c>
      <c r="AE19">
        <v>19323247.800000001</v>
      </c>
      <c r="AF19">
        <v>16714770.57</v>
      </c>
      <c r="AG19">
        <v>19811588.780000001</v>
      </c>
      <c r="AH19">
        <v>19647984.609999999</v>
      </c>
      <c r="AI19">
        <v>14511481.17</v>
      </c>
      <c r="AJ19">
        <v>9900477.9000000004</v>
      </c>
      <c r="AK19">
        <v>7145219.2300000004</v>
      </c>
      <c r="AL19">
        <v>7000695.29</v>
      </c>
      <c r="AM19">
        <v>6444394.2100000009</v>
      </c>
      <c r="AN19">
        <v>5964801.2799999993</v>
      </c>
      <c r="AO19">
        <v>3141214.59</v>
      </c>
      <c r="AP19">
        <v>10373746.460000001</v>
      </c>
      <c r="AQ19">
        <v>11852046.85</v>
      </c>
      <c r="AR19">
        <v>11441176.99</v>
      </c>
      <c r="AS19">
        <v>15550926.67</v>
      </c>
      <c r="AT19">
        <v>15503431.880000001</v>
      </c>
      <c r="AU19">
        <v>20440506.989999998</v>
      </c>
      <c r="AV19">
        <v>30037309.460000001</v>
      </c>
      <c r="AW19">
        <v>23539495.129999999</v>
      </c>
      <c r="AX19">
        <v>25326327.75</v>
      </c>
      <c r="AY19">
        <v>36713131.509999998</v>
      </c>
      <c r="AZ19">
        <v>68585227.030000001</v>
      </c>
      <c r="BA19">
        <v>52196571.289999999</v>
      </c>
      <c r="BB19">
        <v>45071548.409999996</v>
      </c>
      <c r="BC19">
        <v>47125173.530000001</v>
      </c>
      <c r="BD19">
        <v>45160367.409999996</v>
      </c>
      <c r="BE19">
        <v>31269413.5</v>
      </c>
      <c r="BF19">
        <v>30809914.52</v>
      </c>
      <c r="BG19">
        <v>41145753.119999997</v>
      </c>
      <c r="BH19">
        <v>37150526.619999997</v>
      </c>
      <c r="BI19">
        <v>39680422.57</v>
      </c>
      <c r="BJ19">
        <v>46664569.010000013</v>
      </c>
      <c r="BK19">
        <v>44543418.940000013</v>
      </c>
      <c r="BL19">
        <v>82845383.730000004</v>
      </c>
      <c r="BM19">
        <v>64665301.659999996</v>
      </c>
      <c r="BN19">
        <v>58766417.190000013</v>
      </c>
      <c r="BO19">
        <v>54435083.609999999</v>
      </c>
      <c r="BP19">
        <v>57506673.649999999</v>
      </c>
      <c r="BQ19">
        <v>48838537.290000007</v>
      </c>
      <c r="BR19">
        <v>44824316.920000002</v>
      </c>
      <c r="BS19">
        <v>42842158.939999998</v>
      </c>
      <c r="BT19">
        <v>33455620.300000001</v>
      </c>
      <c r="BU19">
        <v>39793420.310000002</v>
      </c>
      <c r="BV19">
        <v>35399099.390000001</v>
      </c>
      <c r="BW19">
        <v>45393922.619999997</v>
      </c>
      <c r="BX19">
        <v>76849918.00999999</v>
      </c>
      <c r="BY19">
        <v>62226435.170000002</v>
      </c>
      <c r="BZ19">
        <v>58601957.009999998</v>
      </c>
      <c r="CA19">
        <v>51430368.799999997</v>
      </c>
      <c r="CB19">
        <v>15170108.529999999</v>
      </c>
    </row>
    <row r="20" spans="1:80" x14ac:dyDescent="0.35">
      <c r="A20" t="s">
        <v>35</v>
      </c>
      <c r="B20">
        <v>1.984956656727676</v>
      </c>
      <c r="C20">
        <v>1.912497630898178</v>
      </c>
      <c r="D20">
        <v>1.8835684918069331</v>
      </c>
      <c r="E20">
        <v>1.8688383369618899</v>
      </c>
      <c r="F20">
        <v>1.996098722284098</v>
      </c>
      <c r="G20">
        <v>1.936546281783645</v>
      </c>
      <c r="H20">
        <v>1.8481765354746029</v>
      </c>
      <c r="I20">
        <v>1.899141606868642</v>
      </c>
      <c r="J20">
        <v>1.9289505831270359</v>
      </c>
      <c r="K20">
        <v>2.0365826856788969</v>
      </c>
      <c r="L20">
        <v>2.1738329929852358</v>
      </c>
      <c r="M20">
        <v>1.8386701916948109</v>
      </c>
      <c r="N20">
        <v>1.8494154491176009</v>
      </c>
      <c r="O20">
        <v>1.784669113461538</v>
      </c>
      <c r="P20">
        <v>1.6632148021427491</v>
      </c>
      <c r="Q20">
        <v>1.553790280236371</v>
      </c>
      <c r="R20">
        <v>1.4588494764301301</v>
      </c>
      <c r="S20">
        <v>1.512586321578703</v>
      </c>
      <c r="T20">
        <v>1.5428590985984529</v>
      </c>
      <c r="U20">
        <v>1.6137602759838561</v>
      </c>
      <c r="V20">
        <v>1.6866066732117431</v>
      </c>
      <c r="W20">
        <v>1.664551700727011</v>
      </c>
      <c r="X20">
        <v>1.6849794136516749</v>
      </c>
      <c r="Y20">
        <v>1.697920142359431</v>
      </c>
      <c r="Z20">
        <v>1.6405747763877341</v>
      </c>
      <c r="AA20">
        <v>1.6672965298512139</v>
      </c>
      <c r="AB20">
        <v>1.663449702844199</v>
      </c>
      <c r="AC20">
        <v>1.6675397037619131</v>
      </c>
      <c r="AD20">
        <v>1.675103758949857</v>
      </c>
      <c r="AE20">
        <v>1.637706424923113</v>
      </c>
      <c r="AF20">
        <v>1.651069201453826</v>
      </c>
      <c r="AG20">
        <v>1.6700052035469251</v>
      </c>
      <c r="AH20">
        <v>1.672511393622816</v>
      </c>
      <c r="AI20">
        <v>1.699228374598724</v>
      </c>
      <c r="AJ20">
        <v>1.636482860992847</v>
      </c>
      <c r="AK20">
        <v>1.718907529544059</v>
      </c>
      <c r="AL20">
        <v>1.6839278775877879</v>
      </c>
      <c r="AM20">
        <v>1.655146184871618</v>
      </c>
      <c r="AN20">
        <v>1.7467933374853239</v>
      </c>
      <c r="AO20">
        <v>1.880227715230705</v>
      </c>
      <c r="AP20">
        <v>1.5733704531834589</v>
      </c>
      <c r="AQ20">
        <v>1.409397019126948</v>
      </c>
      <c r="AR20">
        <v>1.4239359368776321</v>
      </c>
      <c r="AS20">
        <v>1.4998554149124901</v>
      </c>
      <c r="AT20">
        <v>1.5682350894582811</v>
      </c>
      <c r="AU20">
        <v>1.504523999313274</v>
      </c>
      <c r="AV20">
        <v>1.4410148742038249</v>
      </c>
      <c r="AW20">
        <v>1.4673844551927611</v>
      </c>
      <c r="AX20">
        <v>1.485325770875092</v>
      </c>
      <c r="AY20">
        <v>1.472331645544354</v>
      </c>
      <c r="AZ20">
        <v>1.4953206391843521</v>
      </c>
      <c r="BA20">
        <v>1.494680365738503</v>
      </c>
      <c r="BB20">
        <v>1.478792246134897</v>
      </c>
      <c r="BC20">
        <v>1.475390903338365</v>
      </c>
      <c r="BD20">
        <v>1.4782283169964601</v>
      </c>
      <c r="BE20">
        <v>1.4874022988364139</v>
      </c>
      <c r="BF20">
        <v>1.5108160166612341</v>
      </c>
      <c r="BG20">
        <v>1.5222308546833609</v>
      </c>
      <c r="BH20">
        <v>1.477828639989436</v>
      </c>
      <c r="BI20">
        <v>1.465849709469385</v>
      </c>
      <c r="BJ20">
        <v>1.4902459549074769</v>
      </c>
      <c r="BK20">
        <v>1.509324413079387</v>
      </c>
      <c r="BL20">
        <v>1.481926706517559</v>
      </c>
      <c r="BM20">
        <v>1.451777464748667</v>
      </c>
      <c r="BN20">
        <v>1.4285407192448749</v>
      </c>
      <c r="BO20">
        <v>1.4104274653171429</v>
      </c>
      <c r="BP20">
        <v>1.432510807013297</v>
      </c>
      <c r="BQ20">
        <v>1.4339590759188361</v>
      </c>
      <c r="BR20">
        <v>1.4101734543509881</v>
      </c>
      <c r="BS20">
        <v>1.4143586702026461</v>
      </c>
      <c r="BT20">
        <v>1.4227292827686331</v>
      </c>
      <c r="BU20">
        <v>1.455450071444204</v>
      </c>
      <c r="BV20">
        <v>1.4599065839044929</v>
      </c>
      <c r="BW20">
        <v>1.517419453182943</v>
      </c>
      <c r="BX20">
        <v>1.4996094128410471</v>
      </c>
      <c r="BY20">
        <v>1.494561090639434</v>
      </c>
      <c r="BZ20">
        <v>1.496709572675845</v>
      </c>
      <c r="CA20">
        <v>1.505559140625728</v>
      </c>
      <c r="CB20">
        <v>1.497374473833186</v>
      </c>
    </row>
    <row r="21" spans="1:80" x14ac:dyDescent="0.35">
      <c r="A21" t="s">
        <v>36</v>
      </c>
      <c r="B21">
        <v>0.24433019213999951</v>
      </c>
      <c r="C21">
        <v>0.24915538015223951</v>
      </c>
      <c r="D21">
        <v>0.2457234771076364</v>
      </c>
      <c r="E21">
        <v>0.24883832169832351</v>
      </c>
      <c r="F21">
        <v>0.24829263636577589</v>
      </c>
      <c r="G21">
        <v>0.2504944902735598</v>
      </c>
      <c r="H21">
        <v>0.25483590174076998</v>
      </c>
      <c r="I21">
        <v>0.25682334847639599</v>
      </c>
      <c r="J21">
        <v>0.25714891903093923</v>
      </c>
      <c r="K21">
        <v>0.25585855809742453</v>
      </c>
      <c r="L21">
        <v>0.25636410717196501</v>
      </c>
      <c r="M21">
        <v>0.25938585712323919</v>
      </c>
      <c r="N21">
        <v>0.25763860338091787</v>
      </c>
      <c r="O21">
        <v>0.25659947475871492</v>
      </c>
      <c r="P21">
        <v>0.2557275241865683</v>
      </c>
      <c r="Q21">
        <v>0.25605963922435471</v>
      </c>
      <c r="R21">
        <v>0.25508183685477143</v>
      </c>
      <c r="S21">
        <v>0.25371255378129842</v>
      </c>
      <c r="T21">
        <v>0.2528766898198761</v>
      </c>
      <c r="U21">
        <v>0.25298184769925408</v>
      </c>
      <c r="V21">
        <v>0.25293682631159808</v>
      </c>
      <c r="W21">
        <v>0.25473958651125922</v>
      </c>
      <c r="X21">
        <v>0.25522740100195662</v>
      </c>
      <c r="Y21">
        <v>0.25494129706057189</v>
      </c>
      <c r="Z21">
        <v>0.25392556150009121</v>
      </c>
      <c r="AA21">
        <v>0.25697974570037108</v>
      </c>
      <c r="AB21">
        <v>0.25880385732673439</v>
      </c>
      <c r="AC21">
        <v>0.25678229702571231</v>
      </c>
      <c r="AD21">
        <v>0.25237743004609609</v>
      </c>
      <c r="AE21">
        <v>0.25441546476529692</v>
      </c>
      <c r="AF21">
        <v>0.25291152657825561</v>
      </c>
      <c r="AG21">
        <v>0.25294638594487318</v>
      </c>
      <c r="AH21">
        <v>0.25454565205657498</v>
      </c>
      <c r="AI21">
        <v>0.25221904738778828</v>
      </c>
      <c r="AJ21">
        <v>0.25509478381583989</v>
      </c>
      <c r="AK21">
        <v>0.25511187103646082</v>
      </c>
      <c r="AL21">
        <v>0.25381828401936529</v>
      </c>
      <c r="AM21">
        <v>0.25523586482609922</v>
      </c>
      <c r="AN21">
        <v>0.25712780690256293</v>
      </c>
      <c r="AO21">
        <v>0.25346754675267191</v>
      </c>
      <c r="AP21">
        <v>0.25807205428789698</v>
      </c>
      <c r="AQ21">
        <v>0.25573339652871852</v>
      </c>
      <c r="AR21">
        <v>0.25317019882165109</v>
      </c>
      <c r="AS21">
        <v>0.25511401200170403</v>
      </c>
      <c r="AT21">
        <v>0.25289031153204261</v>
      </c>
      <c r="AU21">
        <v>0.25331092231548408</v>
      </c>
      <c r="AV21">
        <v>0.24816410155195701</v>
      </c>
      <c r="AW21">
        <v>0.246943599918619</v>
      </c>
      <c r="AX21">
        <v>0.25000087913572672</v>
      </c>
      <c r="AY21">
        <v>0.24894929043602579</v>
      </c>
      <c r="AZ21">
        <v>0.2481475708220455</v>
      </c>
      <c r="BA21">
        <v>0.24884908363045091</v>
      </c>
      <c r="BB21">
        <v>0.25184000348753488</v>
      </c>
      <c r="BC21">
        <v>0.24710799007579079</v>
      </c>
      <c r="BD21">
        <v>0.24758630893950909</v>
      </c>
      <c r="BE21">
        <v>0.25381554075518559</v>
      </c>
      <c r="BF21">
        <v>0.25818184782454889</v>
      </c>
      <c r="BG21">
        <v>0.25704693049852101</v>
      </c>
      <c r="BH21">
        <v>0.25733405202892379</v>
      </c>
      <c r="BI21">
        <v>0.25581243032667123</v>
      </c>
      <c r="BJ21">
        <v>0.25667144017792781</v>
      </c>
      <c r="BK21">
        <v>0.25819032632646582</v>
      </c>
      <c r="BL21">
        <v>0.25642219257221371</v>
      </c>
      <c r="BM21">
        <v>0.25620124219582902</v>
      </c>
      <c r="BN21">
        <v>0.25552211029789001</v>
      </c>
      <c r="BO21">
        <v>0.25507673909286022</v>
      </c>
      <c r="BP21">
        <v>0.25502836771069259</v>
      </c>
      <c r="BQ21">
        <v>0.25649886295618002</v>
      </c>
      <c r="BR21">
        <v>0.25931379674302912</v>
      </c>
      <c r="BS21">
        <v>0.25839614786312731</v>
      </c>
      <c r="BT21">
        <v>0.25717424112028803</v>
      </c>
      <c r="BU21">
        <v>0.25779228850826069</v>
      </c>
      <c r="BV21">
        <v>0.25621077108009888</v>
      </c>
      <c r="BW21">
        <v>0.2563980323071714</v>
      </c>
      <c r="BX21">
        <v>0.25478185682547089</v>
      </c>
      <c r="BY21">
        <v>0.25420034174358441</v>
      </c>
      <c r="BZ21">
        <v>0.25339810136336471</v>
      </c>
      <c r="CA21">
        <v>0.25706622457140532</v>
      </c>
      <c r="CB21">
        <v>0.25625240252153952</v>
      </c>
    </row>
    <row r="23" spans="1:80" x14ac:dyDescent="0.35">
      <c r="A23" t="s">
        <v>38</v>
      </c>
      <c r="B23" t="s">
        <v>45</v>
      </c>
      <c r="C23" t="s">
        <v>46</v>
      </c>
      <c r="D23" t="s">
        <v>47</v>
      </c>
      <c r="E23" t="s">
        <v>48</v>
      </c>
      <c r="F23" t="s">
        <v>49</v>
      </c>
      <c r="G23" t="s">
        <v>50</v>
      </c>
      <c r="H23" t="s">
        <v>51</v>
      </c>
      <c r="I23" t="s">
        <v>52</v>
      </c>
      <c r="J23" t="s">
        <v>53</v>
      </c>
      <c r="K23" t="s">
        <v>54</v>
      </c>
      <c r="L23" t="s">
        <v>55</v>
      </c>
      <c r="M23" t="s">
        <v>56</v>
      </c>
      <c r="N23" t="s">
        <v>57</v>
      </c>
      <c r="O23" t="s">
        <v>58</v>
      </c>
      <c r="P23" t="s">
        <v>59</v>
      </c>
      <c r="Q23" t="s">
        <v>60</v>
      </c>
      <c r="R23" t="s">
        <v>61</v>
      </c>
      <c r="S23" t="s">
        <v>62</v>
      </c>
      <c r="T23" t="s">
        <v>63</v>
      </c>
      <c r="U23" t="s">
        <v>64</v>
      </c>
      <c r="V23" t="s">
        <v>65</v>
      </c>
      <c r="W23" t="s">
        <v>66</v>
      </c>
      <c r="X23" t="s">
        <v>67</v>
      </c>
      <c r="Y23" t="s">
        <v>68</v>
      </c>
      <c r="Z23" t="s">
        <v>69</v>
      </c>
      <c r="AA23" t="s">
        <v>70</v>
      </c>
      <c r="AB23" t="s">
        <v>71</v>
      </c>
      <c r="AC23" t="s">
        <v>72</v>
      </c>
      <c r="AD23" t="s">
        <v>73</v>
      </c>
      <c r="AE23" t="s">
        <v>74</v>
      </c>
      <c r="AF23" t="s">
        <v>75</v>
      </c>
      <c r="AG23" t="s">
        <v>76</v>
      </c>
      <c r="AH23" t="s">
        <v>77</v>
      </c>
      <c r="AI23" t="s">
        <v>78</v>
      </c>
      <c r="AJ23" t="s">
        <v>79</v>
      </c>
      <c r="AK23" t="s">
        <v>80</v>
      </c>
      <c r="AL23" t="s">
        <v>81</v>
      </c>
      <c r="AM23" t="s">
        <v>82</v>
      </c>
      <c r="AN23" t="s">
        <v>83</v>
      </c>
      <c r="AO23" t="s">
        <v>84</v>
      </c>
      <c r="AP23" t="s">
        <v>85</v>
      </c>
      <c r="AQ23" t="s">
        <v>86</v>
      </c>
      <c r="AR23" t="s">
        <v>87</v>
      </c>
      <c r="AS23" t="s">
        <v>88</v>
      </c>
      <c r="AT23" t="s">
        <v>89</v>
      </c>
      <c r="AU23" t="s">
        <v>90</v>
      </c>
      <c r="AV23" t="s">
        <v>91</v>
      </c>
      <c r="AW23" t="s">
        <v>92</v>
      </c>
      <c r="AX23" t="s">
        <v>93</v>
      </c>
      <c r="AY23" t="s">
        <v>94</v>
      </c>
      <c r="AZ23" t="s">
        <v>95</v>
      </c>
      <c r="BA23" t="s">
        <v>96</v>
      </c>
      <c r="BB23" t="s">
        <v>97</v>
      </c>
      <c r="BC23" t="s">
        <v>98</v>
      </c>
      <c r="BD23" t="s">
        <v>99</v>
      </c>
      <c r="BE23" t="s">
        <v>100</v>
      </c>
      <c r="BF23" t="s">
        <v>101</v>
      </c>
      <c r="BG23" t="s">
        <v>102</v>
      </c>
      <c r="BH23" t="s">
        <v>103</v>
      </c>
      <c r="BI23" t="s">
        <v>104</v>
      </c>
      <c r="BJ23" t="s">
        <v>105</v>
      </c>
      <c r="BK23" t="s">
        <v>106</v>
      </c>
      <c r="BL23" t="s">
        <v>107</v>
      </c>
      <c r="BM23" t="s">
        <v>108</v>
      </c>
      <c r="BN23" t="s">
        <v>109</v>
      </c>
      <c r="BO23" t="s">
        <v>110</v>
      </c>
      <c r="BP23" t="s">
        <v>111</v>
      </c>
      <c r="BQ23" t="s">
        <v>112</v>
      </c>
      <c r="BR23" t="s">
        <v>113</v>
      </c>
      <c r="BS23" t="s">
        <v>114</v>
      </c>
      <c r="BT23" t="s">
        <v>115</v>
      </c>
      <c r="BU23" t="s">
        <v>116</v>
      </c>
      <c r="BV23" t="s">
        <v>117</v>
      </c>
      <c r="BW23" t="s">
        <v>118</v>
      </c>
      <c r="BX23" t="s">
        <v>119</v>
      </c>
      <c r="BY23" t="s">
        <v>120</v>
      </c>
      <c r="BZ23" t="s">
        <v>121</v>
      </c>
      <c r="CA23" t="s">
        <v>122</v>
      </c>
      <c r="CB23" t="s">
        <v>123</v>
      </c>
    </row>
    <row r="24" spans="1:80" x14ac:dyDescent="0.35">
      <c r="A24" t="s">
        <v>28</v>
      </c>
      <c r="B24">
        <v>129.8333944027107</v>
      </c>
      <c r="C24">
        <v>130.3157375899475</v>
      </c>
      <c r="D24">
        <v>130.03047901073009</v>
      </c>
      <c r="E24">
        <v>130.28156403430029</v>
      </c>
      <c r="F24">
        <v>133.55317768253309</v>
      </c>
      <c r="G24">
        <v>134.8771246197964</v>
      </c>
      <c r="H24">
        <v>135.16856131173199</v>
      </c>
      <c r="I24">
        <v>135.86423233731509</v>
      </c>
      <c r="J24">
        <v>135.54432905310361</v>
      </c>
      <c r="K24">
        <v>135.705080889643</v>
      </c>
      <c r="L24">
        <v>135.20261691205221</v>
      </c>
      <c r="M24">
        <v>134.91205493534551</v>
      </c>
      <c r="N24">
        <v>135.53685537614629</v>
      </c>
      <c r="O24">
        <v>135.0247299955918</v>
      </c>
      <c r="P24">
        <v>135.2294025410512</v>
      </c>
      <c r="Q24">
        <v>135.44395453169531</v>
      </c>
      <c r="R24">
        <v>135.3322064051242</v>
      </c>
      <c r="S24">
        <v>135.55206444844481</v>
      </c>
      <c r="T24">
        <v>134.96993185454221</v>
      </c>
      <c r="U24">
        <v>135.76099702107899</v>
      </c>
      <c r="V24">
        <v>134.28820406616259</v>
      </c>
      <c r="W24">
        <v>134.60031662831159</v>
      </c>
      <c r="X24">
        <v>132.94629798355601</v>
      </c>
      <c r="Y24">
        <v>133.37899113376699</v>
      </c>
      <c r="Z24">
        <v>134.13569016735619</v>
      </c>
      <c r="AA24">
        <v>134.49073358323221</v>
      </c>
      <c r="AB24">
        <v>134.45068442609801</v>
      </c>
      <c r="AC24">
        <v>136.22130666514229</v>
      </c>
      <c r="AD24">
        <v>136.67797110258749</v>
      </c>
      <c r="AE24">
        <v>137.11006336831599</v>
      </c>
      <c r="AF24">
        <v>136.96546859633369</v>
      </c>
      <c r="AG24">
        <v>137.2812118592708</v>
      </c>
      <c r="AH24">
        <v>137.1152263415037</v>
      </c>
      <c r="AI24">
        <v>137.4620080883644</v>
      </c>
      <c r="AJ24">
        <v>139.16554355198869</v>
      </c>
      <c r="AK24">
        <v>138.46586194151431</v>
      </c>
      <c r="AL24">
        <v>140.00479271053459</v>
      </c>
      <c r="AM24">
        <v>138.75375813685659</v>
      </c>
      <c r="AN24">
        <v>139.00865117305759</v>
      </c>
      <c r="AO24">
        <v>137.4622913129387</v>
      </c>
      <c r="AP24">
        <v>138.13396357220799</v>
      </c>
      <c r="AQ24">
        <v>137.43433270946969</v>
      </c>
      <c r="AR24">
        <v>137.29598293233531</v>
      </c>
      <c r="AS24">
        <v>138.2766799017586</v>
      </c>
      <c r="AT24">
        <v>139.02750514591131</v>
      </c>
      <c r="AU24">
        <v>138.2771898686272</v>
      </c>
      <c r="AV24">
        <v>137.2373916244014</v>
      </c>
      <c r="AW24">
        <v>136.77430271251609</v>
      </c>
      <c r="AX24">
        <v>137.16669864244369</v>
      </c>
      <c r="AY24">
        <v>136.66792139797471</v>
      </c>
      <c r="AZ24">
        <v>136.41287152794621</v>
      </c>
      <c r="BA24">
        <v>137.13338060457011</v>
      </c>
      <c r="BB24">
        <v>137.3845719826333</v>
      </c>
      <c r="BC24">
        <v>137.7858505819332</v>
      </c>
      <c r="BD24">
        <v>138.08212818323369</v>
      </c>
      <c r="BE24">
        <v>138.90735032961851</v>
      </c>
      <c r="BF24">
        <v>138.6662278813119</v>
      </c>
      <c r="BG24">
        <v>137.8772209511836</v>
      </c>
      <c r="BH24">
        <v>136.7639148966895</v>
      </c>
      <c r="BI24">
        <v>136.669508622048</v>
      </c>
      <c r="BJ24">
        <v>136.7783940423528</v>
      </c>
      <c r="BK24">
        <v>136.4320387822132</v>
      </c>
      <c r="BL24">
        <v>136.5761604248373</v>
      </c>
      <c r="BM24">
        <v>137.4177677388443</v>
      </c>
      <c r="BN24">
        <v>137.90174098803479</v>
      </c>
      <c r="BO24">
        <v>138.3418886485349</v>
      </c>
      <c r="BP24">
        <v>138.43376906526629</v>
      </c>
      <c r="BQ24">
        <v>138.11371634968319</v>
      </c>
      <c r="BR24">
        <v>138.9340232579473</v>
      </c>
      <c r="BS24">
        <v>139.07372223666849</v>
      </c>
      <c r="BT24">
        <v>139.47106181039331</v>
      </c>
      <c r="BU24">
        <v>141.3706357958124</v>
      </c>
      <c r="BV24">
        <v>141.5596841373316</v>
      </c>
      <c r="BW24">
        <v>140.859793416272</v>
      </c>
      <c r="BX24">
        <v>140.78134648976479</v>
      </c>
      <c r="BY24">
        <v>141.03059283821739</v>
      </c>
      <c r="BZ24">
        <v>141.2806729953945</v>
      </c>
      <c r="CA24">
        <v>141.1555747469458</v>
      </c>
      <c r="CB24">
        <v>141.3692795803679</v>
      </c>
    </row>
    <row r="25" spans="1:80" x14ac:dyDescent="0.35">
      <c r="A25" t="s">
        <v>29</v>
      </c>
      <c r="B25">
        <v>0.7392818619551953</v>
      </c>
      <c r="C25">
        <v>0.44793109040923967</v>
      </c>
      <c r="D25">
        <v>0.86020192042074428</v>
      </c>
      <c r="E25">
        <v>0.43305606927183288</v>
      </c>
      <c r="F25">
        <v>0.54557631580843491</v>
      </c>
      <c r="G25">
        <v>0.6504949864465237</v>
      </c>
      <c r="H25">
        <v>0.74170776493035429</v>
      </c>
      <c r="I25">
        <v>0.81744686467289251</v>
      </c>
      <c r="J25">
        <v>0.87387744948988411</v>
      </c>
      <c r="K25">
        <v>0.81608661610583466</v>
      </c>
      <c r="L25">
        <v>0.66388372884560387</v>
      </c>
      <c r="M25">
        <v>0.76669574139910135</v>
      </c>
      <c r="N25">
        <v>1.436118940012421</v>
      </c>
      <c r="O25">
        <v>1.5825061921103289</v>
      </c>
      <c r="P25">
        <v>1.487579994816894</v>
      </c>
      <c r="Q25">
        <v>1.6368291673988269</v>
      </c>
      <c r="R25">
        <v>1.7115333479575461</v>
      </c>
      <c r="S25">
        <v>1.518190328209114</v>
      </c>
      <c r="T25">
        <v>1.337618967898893</v>
      </c>
      <c r="U25">
        <v>1.3097373587114001</v>
      </c>
      <c r="V25">
        <v>1.1608391901285591</v>
      </c>
      <c r="W25">
        <v>0.74915568360543605</v>
      </c>
      <c r="X25">
        <v>1.041060811352015</v>
      </c>
      <c r="Y25">
        <v>0.91500092416113255</v>
      </c>
      <c r="Z25">
        <v>0.22454013165091841</v>
      </c>
      <c r="AA25">
        <v>0.13749045808809099</v>
      </c>
      <c r="AB25">
        <v>0.34501679830375742</v>
      </c>
      <c r="AC25">
        <v>0.53743214607945888</v>
      </c>
      <c r="AD25">
        <v>0.45939407844667801</v>
      </c>
      <c r="AE25">
        <v>0.4780260790682464</v>
      </c>
      <c r="AF25">
        <v>0.26047430679030231</v>
      </c>
      <c r="AG25">
        <v>3.4443109030142402E-2</v>
      </c>
      <c r="AH25">
        <v>-6.069043924926918E-2</v>
      </c>
      <c r="AI25">
        <v>0.59889513794442517</v>
      </c>
      <c r="AJ25">
        <v>0.56448812936726322</v>
      </c>
      <c r="AK25">
        <v>0.69786950788852908</v>
      </c>
      <c r="AL25">
        <v>0.1248982509458947</v>
      </c>
      <c r="AM25">
        <v>5.1103046165418338E-2</v>
      </c>
      <c r="AN25">
        <v>0.5789845234390788</v>
      </c>
      <c r="AO25">
        <v>-0.32139056117613241</v>
      </c>
      <c r="AP25">
        <v>0.36896572220178392</v>
      </c>
      <c r="AQ25">
        <v>0.15768739670494589</v>
      </c>
      <c r="AR25">
        <v>0.84839411050656455</v>
      </c>
      <c r="AS25">
        <v>1.226262995488379</v>
      </c>
      <c r="AT25">
        <v>1.2373064047490749</v>
      </c>
      <c r="AU25">
        <v>0.84542395437195172</v>
      </c>
      <c r="AV25">
        <v>0.95124427413544965</v>
      </c>
      <c r="AW25">
        <v>0.96996337288149637</v>
      </c>
      <c r="AX25">
        <v>0.73336697523917471</v>
      </c>
      <c r="AY25">
        <v>0.68953177582338498</v>
      </c>
      <c r="AZ25">
        <v>0.87280219694050543</v>
      </c>
      <c r="BA25">
        <v>1.4201000621164179</v>
      </c>
      <c r="BB25">
        <v>1.622391954046432</v>
      </c>
      <c r="BC25">
        <v>1.733867734506541</v>
      </c>
      <c r="BD25">
        <v>1.7529804017008841</v>
      </c>
      <c r="BE25">
        <v>1.530318851885714</v>
      </c>
      <c r="BF25">
        <v>1.794804933185399</v>
      </c>
      <c r="BG25">
        <v>1.4953617753120469</v>
      </c>
      <c r="BH25">
        <v>1.546685009021886</v>
      </c>
      <c r="BI25">
        <v>1.7937634270155121</v>
      </c>
      <c r="BJ25">
        <v>1.772588002031249</v>
      </c>
      <c r="BK25">
        <v>1.5783506901163049</v>
      </c>
      <c r="BL25">
        <v>1.251070937566523</v>
      </c>
      <c r="BM25">
        <v>1.4881425385038141</v>
      </c>
      <c r="BN25">
        <v>1.591917287611702</v>
      </c>
      <c r="BO25">
        <v>1.798306067853785</v>
      </c>
      <c r="BP25">
        <v>1.6641535897974651</v>
      </c>
      <c r="BQ25">
        <v>1.619606050675434</v>
      </c>
      <c r="BR25">
        <v>1.826081925582598</v>
      </c>
      <c r="BS25">
        <v>1.881507336267795</v>
      </c>
      <c r="BT25">
        <v>2.0351288150968179</v>
      </c>
      <c r="BU25">
        <v>1.983778167172737</v>
      </c>
      <c r="BV25">
        <v>2.1792484708749642</v>
      </c>
      <c r="BW25">
        <v>2.119946670763754</v>
      </c>
      <c r="BX25">
        <v>1.9130646515213749</v>
      </c>
      <c r="BY25">
        <v>2.126368176878942</v>
      </c>
      <c r="BZ25">
        <v>2.1964842989533362</v>
      </c>
      <c r="CA25">
        <v>2.092826044275006</v>
      </c>
      <c r="CB25">
        <v>2.0309761944855489</v>
      </c>
    </row>
    <row r="26" spans="1:80" x14ac:dyDescent="0.35">
      <c r="A26" t="s">
        <v>30</v>
      </c>
      <c r="B26">
        <v>12.204864440577779</v>
      </c>
      <c r="C26">
        <v>12.04371957266981</v>
      </c>
      <c r="D26">
        <v>12.0344112560122</v>
      </c>
      <c r="E26">
        <v>11.956197197096881</v>
      </c>
      <c r="F26">
        <v>10.532286964943721</v>
      </c>
      <c r="G26">
        <v>10.01998102860299</v>
      </c>
      <c r="H26">
        <v>9.8992467608156378</v>
      </c>
      <c r="I26">
        <v>9.6918318825609955</v>
      </c>
      <c r="J26">
        <v>9.921380506033918</v>
      </c>
      <c r="K26">
        <v>9.9400590311966166</v>
      </c>
      <c r="L26">
        <v>10.005020314462749</v>
      </c>
      <c r="M26">
        <v>10.21099684058948</v>
      </c>
      <c r="N26">
        <v>9.8728321872330476</v>
      </c>
      <c r="O26">
        <v>10.11841465109471</v>
      </c>
      <c r="P26">
        <v>9.9902872645524017</v>
      </c>
      <c r="Q26">
        <v>9.8937733039064995</v>
      </c>
      <c r="R26">
        <v>10.05437017399751</v>
      </c>
      <c r="S26">
        <v>9.9102848165310711</v>
      </c>
      <c r="T26">
        <v>10.158579895086771</v>
      </c>
      <c r="U26">
        <v>9.7692895732662084</v>
      </c>
      <c r="V26">
        <v>10.48965343974705</v>
      </c>
      <c r="W26">
        <v>10.29683390889655</v>
      </c>
      <c r="X26">
        <v>10.93531979674446</v>
      </c>
      <c r="Y26">
        <v>10.921734765962491</v>
      </c>
      <c r="Z26">
        <v>10.66131812556355</v>
      </c>
      <c r="AA26">
        <v>10.285551779241599</v>
      </c>
      <c r="AB26">
        <v>10.068620526323331</v>
      </c>
      <c r="AC26">
        <v>9.4687947735071027</v>
      </c>
      <c r="AD26">
        <v>9.2672827735878034</v>
      </c>
      <c r="AE26">
        <v>9.0835364511231003</v>
      </c>
      <c r="AF26">
        <v>9.1842111031092859</v>
      </c>
      <c r="AG26">
        <v>8.9397851218171258</v>
      </c>
      <c r="AH26">
        <v>8.9013375521511335</v>
      </c>
      <c r="AI26">
        <v>8.8547543024951931</v>
      </c>
      <c r="AJ26">
        <v>8.1804897715341944</v>
      </c>
      <c r="AK26">
        <v>8.487879203288232</v>
      </c>
      <c r="AL26">
        <v>7.768708893848209</v>
      </c>
      <c r="AM26">
        <v>8.3308629178040619</v>
      </c>
      <c r="AN26">
        <v>8.1376328504004238</v>
      </c>
      <c r="AO26">
        <v>8.6224828041521882</v>
      </c>
      <c r="AP26">
        <v>8.6196409505921174</v>
      </c>
      <c r="AQ26">
        <v>8.8949710080745277</v>
      </c>
      <c r="AR26">
        <v>8.8919693746887667</v>
      </c>
      <c r="AS26">
        <v>8.4292482858383035</v>
      </c>
      <c r="AT26">
        <v>8.3100568632878389</v>
      </c>
      <c r="AU26">
        <v>8.5237552563531285</v>
      </c>
      <c r="AV26">
        <v>9.1035739728293557</v>
      </c>
      <c r="AW26">
        <v>9.5112557547357586</v>
      </c>
      <c r="AX26">
        <v>9.0999569784221066</v>
      </c>
      <c r="AY26">
        <v>9.3887176512903636</v>
      </c>
      <c r="AZ26">
        <v>9.4264430816378191</v>
      </c>
      <c r="BA26">
        <v>9.3319310173335346</v>
      </c>
      <c r="BB26">
        <v>9.4113843472562611</v>
      </c>
      <c r="BC26">
        <v>9.2371686574559</v>
      </c>
      <c r="BD26">
        <v>9.2825464702064799</v>
      </c>
      <c r="BE26">
        <v>8.7824554671482353</v>
      </c>
      <c r="BF26">
        <v>8.7675236181146747</v>
      </c>
      <c r="BG26">
        <v>9.3481922783909059</v>
      </c>
      <c r="BH26">
        <v>10.06236527329313</v>
      </c>
      <c r="BI26">
        <v>10.298371807584211</v>
      </c>
      <c r="BJ26">
        <v>10.11023100110997</v>
      </c>
      <c r="BK26">
        <v>10.16457478492349</v>
      </c>
      <c r="BL26">
        <v>10.02463582216166</v>
      </c>
      <c r="BM26">
        <v>9.7416184508184109</v>
      </c>
      <c r="BN26">
        <v>9.5943886690272873</v>
      </c>
      <c r="BO26">
        <v>9.4169337426401576</v>
      </c>
      <c r="BP26">
        <v>9.3690700066676751</v>
      </c>
      <c r="BQ26">
        <v>9.4075913177568484</v>
      </c>
      <c r="BR26">
        <v>9.1755888810808592</v>
      </c>
      <c r="BS26">
        <v>9.2621275937016705</v>
      </c>
      <c r="BT26">
        <v>9.0719813948814725</v>
      </c>
      <c r="BU26">
        <v>8.1532795110631042</v>
      </c>
      <c r="BV26">
        <v>8.0762093719508563</v>
      </c>
      <c r="BW26">
        <v>8.2279674688182265</v>
      </c>
      <c r="BX26">
        <v>8.2597681798422933</v>
      </c>
      <c r="BY26">
        <v>8.22578414293951</v>
      </c>
      <c r="BZ26">
        <v>8.2688724136533551</v>
      </c>
      <c r="CA26">
        <v>8.2485815152453927</v>
      </c>
      <c r="CB26">
        <v>8.0557182461573724</v>
      </c>
    </row>
    <row r="27" spans="1:80" x14ac:dyDescent="0.35">
      <c r="A27" t="s">
        <v>31</v>
      </c>
      <c r="B27">
        <v>-2.1987116149267889</v>
      </c>
      <c r="C27">
        <v>-3.0272916792692728</v>
      </c>
      <c r="D27">
        <v>-1.855369617283952</v>
      </c>
      <c r="E27">
        <v>-2.7336902734147248</v>
      </c>
      <c r="F27">
        <v>-3.672528466482829</v>
      </c>
      <c r="G27">
        <v>-1.958443010908772</v>
      </c>
      <c r="H27">
        <v>1.124909897073147</v>
      </c>
      <c r="I27">
        <v>2.3890371356354878</v>
      </c>
      <c r="J27">
        <v>3.017466193559831</v>
      </c>
      <c r="K27">
        <v>3.3316495215089281</v>
      </c>
      <c r="L27">
        <v>1.7399764171938661</v>
      </c>
      <c r="M27">
        <v>2.260314115354241</v>
      </c>
      <c r="N27">
        <v>2.4345535798861948</v>
      </c>
      <c r="O27">
        <v>4.0533035625492664</v>
      </c>
      <c r="P27">
        <v>5.0668230007576707</v>
      </c>
      <c r="Q27">
        <v>5.8540047749875797</v>
      </c>
      <c r="R27">
        <v>6.8639288089791934</v>
      </c>
      <c r="S27">
        <v>6.7973257402198453</v>
      </c>
      <c r="T27">
        <v>6.9529220441397968</v>
      </c>
      <c r="U27">
        <v>5.933198497000304</v>
      </c>
      <c r="V27">
        <v>5.4859028144320057</v>
      </c>
      <c r="W27">
        <v>6.2734367693704902</v>
      </c>
      <c r="X27">
        <v>4.8407302435604036</v>
      </c>
      <c r="Y27">
        <v>5.9091824371870008</v>
      </c>
      <c r="Z27">
        <v>5.976243300867611</v>
      </c>
      <c r="AA27">
        <v>6.8352910729434244</v>
      </c>
      <c r="AB27">
        <v>6.3369179770880448</v>
      </c>
      <c r="AC27">
        <v>7.0391161245416498</v>
      </c>
      <c r="AD27">
        <v>6.3727070597624706</v>
      </c>
      <c r="AE27">
        <v>7.6361233223499747</v>
      </c>
      <c r="AF27">
        <v>7.6369824712505974</v>
      </c>
      <c r="AG27">
        <v>6.0687146323146663</v>
      </c>
      <c r="AH27">
        <v>6.2669045328619939</v>
      </c>
      <c r="AI27">
        <v>7.7364686789578707</v>
      </c>
      <c r="AJ27">
        <v>7.6216854646211933</v>
      </c>
      <c r="AK27">
        <v>8.4297100359631116</v>
      </c>
      <c r="AL27">
        <v>7.9554912367773856</v>
      </c>
      <c r="AM27">
        <v>9.6819790028994177</v>
      </c>
      <c r="AN27">
        <v>5.1835217595821224</v>
      </c>
      <c r="AO27">
        <v>-1.318764755955389</v>
      </c>
      <c r="AP27">
        <v>7.3027439317098342</v>
      </c>
      <c r="AQ27">
        <v>9.4409700938933092</v>
      </c>
      <c r="AR27">
        <v>9.8161021311506307</v>
      </c>
      <c r="AS27">
        <v>8.5285493855995007</v>
      </c>
      <c r="AT27">
        <v>7.5046383059083714</v>
      </c>
      <c r="AU27">
        <v>8.6120603867684391</v>
      </c>
      <c r="AV27">
        <v>9.2036322674634459</v>
      </c>
      <c r="AW27">
        <v>7.831068449533241</v>
      </c>
      <c r="AX27">
        <v>7.1134365699648514</v>
      </c>
      <c r="AY27">
        <v>6.8549124601300671</v>
      </c>
      <c r="AZ27">
        <v>6.8346974103070766</v>
      </c>
      <c r="BA27">
        <v>7.0043337882440024</v>
      </c>
      <c r="BB27">
        <v>7.4308230884001922</v>
      </c>
      <c r="BC27">
        <v>8.2254438501925211</v>
      </c>
      <c r="BD27">
        <v>8.5170439811410485</v>
      </c>
      <c r="BE27">
        <v>8.2951045216333306</v>
      </c>
      <c r="BF27">
        <v>7.5844614716981908</v>
      </c>
      <c r="BG27">
        <v>7.7904757306121883</v>
      </c>
      <c r="BH27">
        <v>8.1502868526992742</v>
      </c>
      <c r="BI27">
        <v>8.186769674840324</v>
      </c>
      <c r="BJ27">
        <v>7.7930552801925579</v>
      </c>
      <c r="BK27">
        <v>7.2866052580071976</v>
      </c>
      <c r="BL27">
        <v>7.8537533216902169</v>
      </c>
      <c r="BM27">
        <v>8.0757482407933754</v>
      </c>
      <c r="BN27">
        <v>8.8078234231663295</v>
      </c>
      <c r="BO27">
        <v>9.1740708126363426</v>
      </c>
      <c r="BP27">
        <v>8.2796800008749454</v>
      </c>
      <c r="BQ27">
        <v>8.6028968901742537</v>
      </c>
      <c r="BR27">
        <v>8.8112063992481247</v>
      </c>
      <c r="BS27">
        <v>9.3919328287284358</v>
      </c>
      <c r="BT27">
        <v>8.5516463366886271</v>
      </c>
      <c r="BU27">
        <v>8.3271606735967332</v>
      </c>
      <c r="BV27">
        <v>7.5784292973402572</v>
      </c>
      <c r="BW27">
        <v>7.9141758548651868</v>
      </c>
      <c r="BX27">
        <v>7.7628499915203069</v>
      </c>
      <c r="BY27">
        <v>7.9437521949715491</v>
      </c>
      <c r="BZ27">
        <v>8.3660900833384506</v>
      </c>
      <c r="CA27">
        <v>7.6890445566656176</v>
      </c>
      <c r="CB27">
        <v>7.5406902370062836</v>
      </c>
    </row>
    <row r="28" spans="1:80" x14ac:dyDescent="0.35">
      <c r="A28" t="s">
        <v>32</v>
      </c>
      <c r="B28">
        <v>0.23880789255309509</v>
      </c>
      <c r="C28">
        <v>4.219662518034073E-3</v>
      </c>
      <c r="D28">
        <v>-0.1234235444125969</v>
      </c>
      <c r="E28">
        <v>-0.25594553071210002</v>
      </c>
      <c r="F28">
        <v>-0.38784804460591787</v>
      </c>
      <c r="G28">
        <v>-0.33412509670489088</v>
      </c>
      <c r="H28">
        <v>-0.55838596944999985</v>
      </c>
      <c r="I28">
        <v>-0.36785837994289078</v>
      </c>
      <c r="J28">
        <v>-0.36067835255431058</v>
      </c>
      <c r="K28">
        <v>-0.2325401743622213</v>
      </c>
      <c r="L28">
        <v>-0.50372271701800642</v>
      </c>
      <c r="M28">
        <v>-0.42407011155292612</v>
      </c>
      <c r="N28">
        <v>-0.32036580854919622</v>
      </c>
      <c r="O28">
        <v>-0.43613580393145951</v>
      </c>
      <c r="P28">
        <v>-0.5161428785300981</v>
      </c>
      <c r="Q28">
        <v>-0.1971113471246716</v>
      </c>
      <c r="R28">
        <v>-0.32053915307487357</v>
      </c>
      <c r="S28">
        <v>-0.26059316930310988</v>
      </c>
      <c r="T28">
        <v>-0.1780064562382605</v>
      </c>
      <c r="U28">
        <v>-0.1660030537115004</v>
      </c>
      <c r="V28">
        <v>-0.51884382077614977</v>
      </c>
      <c r="W28">
        <v>-0.27461387778254692</v>
      </c>
      <c r="X28">
        <v>-0.1772429323468433</v>
      </c>
      <c r="Y28">
        <v>-2.3918410929379959E-2</v>
      </c>
      <c r="Z28">
        <v>-6.9653600900028145E-2</v>
      </c>
      <c r="AA28">
        <v>-0.31494531477287702</v>
      </c>
      <c r="AB28">
        <v>-0.49398439049903869</v>
      </c>
      <c r="AC28">
        <v>3.4896589970287439E-2</v>
      </c>
      <c r="AD28">
        <v>0.10552610094248541</v>
      </c>
      <c r="AE28">
        <v>-0.43432610347409201</v>
      </c>
      <c r="AF28">
        <v>-0.2087096332353372</v>
      </c>
      <c r="AG28">
        <v>-0.35808452971739679</v>
      </c>
      <c r="AH28">
        <v>-0.35464942868148391</v>
      </c>
      <c r="AI28">
        <v>-0.19028354526843369</v>
      </c>
      <c r="AJ28">
        <v>0.16223289509780001</v>
      </c>
      <c r="AK28">
        <v>2.103585821425474E-2</v>
      </c>
      <c r="AL28">
        <v>-0.54303654612744057</v>
      </c>
      <c r="AM28">
        <v>-0.52105959288724135</v>
      </c>
      <c r="AN28">
        <v>-0.77629547024802903</v>
      </c>
      <c r="AO28">
        <v>-0.77575419454047334</v>
      </c>
      <c r="AP28">
        <v>-0.82614232120807485</v>
      </c>
      <c r="AQ28">
        <v>-0.73934897635646701</v>
      </c>
      <c r="AR28">
        <v>-0.55838685875476912</v>
      </c>
      <c r="AS28">
        <v>-0.31687954239463739</v>
      </c>
      <c r="AT28">
        <v>-7.4084590254943072E-2</v>
      </c>
      <c r="AU28">
        <v>-0.28253887741466249</v>
      </c>
      <c r="AV28">
        <v>0.21871556662965061</v>
      </c>
      <c r="AW28">
        <v>-0.181688409620272</v>
      </c>
      <c r="AX28">
        <v>-0.19044567367476839</v>
      </c>
      <c r="AY28">
        <v>-0.44644767470263019</v>
      </c>
      <c r="AZ28">
        <v>-0.2305338413406044</v>
      </c>
      <c r="BA28">
        <v>-0.14486453757137971</v>
      </c>
      <c r="BB28">
        <v>8.4847858994539782E-2</v>
      </c>
      <c r="BC28">
        <v>0.52605256777086573</v>
      </c>
      <c r="BD28">
        <v>0.62901850341465726</v>
      </c>
      <c r="BE28">
        <v>-0.1038318585836612</v>
      </c>
      <c r="BF28">
        <v>-0.18497687668728499</v>
      </c>
      <c r="BG28">
        <v>-0.25348356803806321</v>
      </c>
      <c r="BH28">
        <v>-1.2805009085427029E-2</v>
      </c>
      <c r="BI28">
        <v>0.37550792356667578</v>
      </c>
      <c r="BJ28">
        <v>5.8914845993774112E-2</v>
      </c>
      <c r="BK28">
        <v>-0.1223936115684815</v>
      </c>
      <c r="BL28">
        <v>3.127718498535853E-2</v>
      </c>
      <c r="BM28">
        <v>0.24667697420707591</v>
      </c>
      <c r="BN28">
        <v>0.29488001791552138</v>
      </c>
      <c r="BO28">
        <v>0.41349799299064383</v>
      </c>
      <c r="BP28">
        <v>0.30444110720552481</v>
      </c>
      <c r="BQ28">
        <v>0.1165039630236239</v>
      </c>
      <c r="BR28">
        <v>0.33420422093078522</v>
      </c>
      <c r="BS28">
        <v>0.42822421577709319</v>
      </c>
      <c r="BT28">
        <v>0.33334888252104039</v>
      </c>
      <c r="BU28">
        <v>0.61338047040401378</v>
      </c>
      <c r="BV28">
        <v>0.85471732145959667</v>
      </c>
      <c r="BW28">
        <v>0.53659842994035334</v>
      </c>
      <c r="BX28">
        <v>0.76213107678193848</v>
      </c>
      <c r="BY28">
        <v>0.76926166598644208</v>
      </c>
      <c r="BZ28">
        <v>1.0975091700408719</v>
      </c>
      <c r="CA28">
        <v>0.94639933251119401</v>
      </c>
      <c r="CB28">
        <v>1.055273210176533</v>
      </c>
    </row>
    <row r="29" spans="1:80" x14ac:dyDescent="0.35">
      <c r="A29" t="s">
        <v>33</v>
      </c>
      <c r="B29">
        <v>140.81763698286991</v>
      </c>
      <c r="C29">
        <v>139.78431623627529</v>
      </c>
      <c r="D29">
        <v>140.94629902546649</v>
      </c>
      <c r="E29">
        <v>139.68118149654219</v>
      </c>
      <c r="F29">
        <v>140.57066445219661</v>
      </c>
      <c r="G29">
        <v>143.2550325272322</v>
      </c>
      <c r="H29">
        <v>146.37603976510121</v>
      </c>
      <c r="I29">
        <v>148.3946898402416</v>
      </c>
      <c r="J29">
        <v>148.99637484963301</v>
      </c>
      <c r="K29">
        <v>149.5603358840921</v>
      </c>
      <c r="L29">
        <v>147.10777465553639</v>
      </c>
      <c r="M29">
        <v>147.7259915211354</v>
      </c>
      <c r="N29">
        <v>148.95999427472881</v>
      </c>
      <c r="O29">
        <v>150.34281859741469</v>
      </c>
      <c r="P29">
        <v>151.25794992264809</v>
      </c>
      <c r="Q29">
        <v>152.63145043086351</v>
      </c>
      <c r="R29">
        <v>153.64149958298361</v>
      </c>
      <c r="S29">
        <v>153.51727216410171</v>
      </c>
      <c r="T29">
        <v>153.24104630542939</v>
      </c>
      <c r="U29">
        <v>152.60721939634541</v>
      </c>
      <c r="V29">
        <v>150.9057556896941</v>
      </c>
      <c r="W29">
        <v>151.64512911240149</v>
      </c>
      <c r="X29">
        <v>149.58616590286599</v>
      </c>
      <c r="Y29">
        <v>151.10099085014829</v>
      </c>
      <c r="Z29">
        <v>150.92813812453829</v>
      </c>
      <c r="AA29">
        <v>151.43412157873249</v>
      </c>
      <c r="AB29">
        <v>150.70725533731411</v>
      </c>
      <c r="AC29">
        <v>153.30154629924081</v>
      </c>
      <c r="AD29">
        <v>152.88288111532691</v>
      </c>
      <c r="AE29">
        <v>153.87342311738331</v>
      </c>
      <c r="AF29">
        <v>153.8384268442486</v>
      </c>
      <c r="AG29">
        <v>151.96607019271539</v>
      </c>
      <c r="AH29">
        <v>151.86812855858611</v>
      </c>
      <c r="AI29">
        <v>154.46184266249341</v>
      </c>
      <c r="AJ29">
        <v>155.69443981260909</v>
      </c>
      <c r="AK29">
        <v>156.10235654686841</v>
      </c>
      <c r="AL29">
        <v>155.31085454597871</v>
      </c>
      <c r="AM29">
        <v>156.29664351083829</v>
      </c>
      <c r="AN29">
        <v>152.13249483623119</v>
      </c>
      <c r="AO29">
        <v>143.66886460541889</v>
      </c>
      <c r="AP29">
        <v>153.5991718555037</v>
      </c>
      <c r="AQ29">
        <v>155.18861223178601</v>
      </c>
      <c r="AR29">
        <v>156.29406168992651</v>
      </c>
      <c r="AS29">
        <v>156.1438610262901</v>
      </c>
      <c r="AT29">
        <v>156.00542212960161</v>
      </c>
      <c r="AU29">
        <v>155.97589058870611</v>
      </c>
      <c r="AV29">
        <v>156.7145577054593</v>
      </c>
      <c r="AW29">
        <v>154.90490188004631</v>
      </c>
      <c r="AX29">
        <v>153.92301349239511</v>
      </c>
      <c r="AY29">
        <v>153.15463561051581</v>
      </c>
      <c r="AZ29">
        <v>153.316280375491</v>
      </c>
      <c r="BA29">
        <v>154.7448809346927</v>
      </c>
      <c r="BB29">
        <v>155.93401923133081</v>
      </c>
      <c r="BC29">
        <v>157.5083833918591</v>
      </c>
      <c r="BD29">
        <v>158.26371753969681</v>
      </c>
      <c r="BE29">
        <v>157.4113973117021</v>
      </c>
      <c r="BF29">
        <v>156.62804102762291</v>
      </c>
      <c r="BG29">
        <v>156.25776716746071</v>
      </c>
      <c r="BH29">
        <v>156.51044702261831</v>
      </c>
      <c r="BI29">
        <v>157.32392145505469</v>
      </c>
      <c r="BJ29">
        <v>156.51318317168031</v>
      </c>
      <c r="BK29">
        <v>155.33917590369171</v>
      </c>
      <c r="BL29">
        <v>155.7368976912411</v>
      </c>
      <c r="BM29">
        <v>156.96995394316701</v>
      </c>
      <c r="BN29">
        <v>158.19075038575559</v>
      </c>
      <c r="BO29">
        <v>159.1446972646558</v>
      </c>
      <c r="BP29">
        <v>158.05111376981199</v>
      </c>
      <c r="BQ29">
        <v>157.86031457131341</v>
      </c>
      <c r="BR29">
        <v>159.08110468478969</v>
      </c>
      <c r="BS29">
        <v>160.0375142111435</v>
      </c>
      <c r="BT29">
        <v>159.46316723958131</v>
      </c>
      <c r="BU29">
        <v>160.44823461804901</v>
      </c>
      <c r="BV29">
        <v>160.24828859895729</v>
      </c>
      <c r="BW29">
        <v>159.6584818406595</v>
      </c>
      <c r="BX29">
        <v>159.47916038943069</v>
      </c>
      <c r="BY29">
        <v>160.09575901899379</v>
      </c>
      <c r="BZ29">
        <v>161.2096289613805</v>
      </c>
      <c r="CA29">
        <v>160.13242619564301</v>
      </c>
      <c r="CB29">
        <v>160.05193746819359</v>
      </c>
    </row>
    <row r="30" spans="1:80" x14ac:dyDescent="0.35">
      <c r="A30" t="s">
        <v>34</v>
      </c>
      <c r="B30">
        <v>22678006.190000001</v>
      </c>
      <c r="C30">
        <v>20563722.98</v>
      </c>
      <c r="D30">
        <v>29796243.379999999</v>
      </c>
      <c r="E30">
        <v>16881030.859999999</v>
      </c>
      <c r="F30">
        <v>19476624.359999999</v>
      </c>
      <c r="G30">
        <v>22645751.559999999</v>
      </c>
      <c r="H30">
        <v>22174696.210000001</v>
      </c>
      <c r="I30">
        <v>19913210.300000001</v>
      </c>
      <c r="J30">
        <v>16346779.34</v>
      </c>
      <c r="K30">
        <v>15897682.119999999</v>
      </c>
      <c r="L30">
        <v>14210617.91</v>
      </c>
      <c r="M30">
        <v>13363380.939999999</v>
      </c>
      <c r="N30">
        <v>15603430.85</v>
      </c>
      <c r="O30">
        <v>15261720.76</v>
      </c>
      <c r="P30">
        <v>31608834.420000002</v>
      </c>
      <c r="Q30">
        <v>29807774.289999999</v>
      </c>
      <c r="R30">
        <v>24861700.98</v>
      </c>
      <c r="S30">
        <v>26675327.41</v>
      </c>
      <c r="T30">
        <v>23236165.390000001</v>
      </c>
      <c r="U30">
        <v>21996675.219999999</v>
      </c>
      <c r="V30">
        <v>20387235.199999999</v>
      </c>
      <c r="W30">
        <v>19005251.960000001</v>
      </c>
      <c r="X30">
        <v>18274387.489999998</v>
      </c>
      <c r="Y30">
        <v>20645582.149999999</v>
      </c>
      <c r="Z30">
        <v>15011859.65</v>
      </c>
      <c r="AA30">
        <v>16881700.649999999</v>
      </c>
      <c r="AB30">
        <v>21576179.84</v>
      </c>
      <c r="AC30">
        <v>18491543.57</v>
      </c>
      <c r="AD30">
        <v>18361750.93</v>
      </c>
      <c r="AE30">
        <v>16013831.359999999</v>
      </c>
      <c r="AF30">
        <v>13171877.210000001</v>
      </c>
      <c r="AG30">
        <v>11964699.529999999</v>
      </c>
      <c r="AH30">
        <v>11701366.75</v>
      </c>
      <c r="AI30">
        <v>8731766.6899999995</v>
      </c>
      <c r="AJ30">
        <v>5781209.3200000003</v>
      </c>
      <c r="AK30">
        <v>5525420.4400000004</v>
      </c>
      <c r="AL30">
        <v>4029168.35</v>
      </c>
      <c r="AM30">
        <v>4319500.0599999996</v>
      </c>
      <c r="AN30">
        <v>3849671.49</v>
      </c>
      <c r="AO30">
        <v>1668934.9</v>
      </c>
      <c r="AP30">
        <v>6922550.71</v>
      </c>
      <c r="AQ30">
        <v>7377930.6600000001</v>
      </c>
      <c r="AR30">
        <v>7434106</v>
      </c>
      <c r="AS30">
        <v>9413911.5299999993</v>
      </c>
      <c r="AT30">
        <v>10768123.119999999</v>
      </c>
      <c r="AU30">
        <v>12653586.26</v>
      </c>
      <c r="AV30">
        <v>16420406.84</v>
      </c>
      <c r="AW30">
        <v>14721076.189999999</v>
      </c>
      <c r="AX30">
        <v>15013869.58</v>
      </c>
      <c r="AY30">
        <v>19192575.170000002</v>
      </c>
      <c r="AZ30">
        <v>33427966.350000001</v>
      </c>
      <c r="BA30">
        <v>31024059.09</v>
      </c>
      <c r="BB30">
        <v>34261767.590000004</v>
      </c>
      <c r="BC30">
        <v>28298897.890000001</v>
      </c>
      <c r="BD30">
        <v>27283477.640000001</v>
      </c>
      <c r="BE30">
        <v>20131604.18</v>
      </c>
      <c r="BF30">
        <v>20660239.77</v>
      </c>
      <c r="BG30">
        <v>25159554.09</v>
      </c>
      <c r="BH30">
        <v>20409912.75</v>
      </c>
      <c r="BI30">
        <v>24319655.260000002</v>
      </c>
      <c r="BJ30">
        <v>29155105.32</v>
      </c>
      <c r="BK30">
        <v>28690575.670000002</v>
      </c>
      <c r="BL30">
        <v>50848833.899999999</v>
      </c>
      <c r="BM30">
        <v>43596200.020000003</v>
      </c>
      <c r="BN30">
        <v>37502657.080000013</v>
      </c>
      <c r="BO30">
        <v>34186038.900000013</v>
      </c>
      <c r="BP30">
        <v>33248040.739999998</v>
      </c>
      <c r="BQ30">
        <v>29007287.850000001</v>
      </c>
      <c r="BR30">
        <v>27004751.27</v>
      </c>
      <c r="BS30">
        <v>28808079.27</v>
      </c>
      <c r="BT30">
        <v>19064750.879999999</v>
      </c>
      <c r="BU30">
        <v>22836357.199999999</v>
      </c>
      <c r="BV30">
        <v>23324873.16</v>
      </c>
      <c r="BW30">
        <v>30327646.289999999</v>
      </c>
      <c r="BX30">
        <v>50020106.560000002</v>
      </c>
      <c r="BY30">
        <v>41555672.770000003</v>
      </c>
      <c r="BZ30">
        <v>38774211.060000002</v>
      </c>
      <c r="CA30">
        <v>38016709.469999999</v>
      </c>
      <c r="CB30">
        <v>12446894.560000001</v>
      </c>
    </row>
    <row r="31" spans="1:80" x14ac:dyDescent="0.35">
      <c r="A31" t="s">
        <v>35</v>
      </c>
      <c r="B31">
        <v>2.0693359773486351</v>
      </c>
      <c r="C31">
        <v>2.1180759811334871</v>
      </c>
      <c r="D31">
        <v>2.0491393892519971</v>
      </c>
      <c r="E31">
        <v>2.1008053102008661</v>
      </c>
      <c r="F31">
        <v>2.1560310862636962</v>
      </c>
      <c r="G31">
        <v>2.0552025300534571</v>
      </c>
      <c r="H31">
        <v>1.873828829583932</v>
      </c>
      <c r="I31">
        <v>1.7994684037861479</v>
      </c>
      <c r="J31">
        <v>1.762501988614128</v>
      </c>
      <c r="K31">
        <v>1.7440206163818279</v>
      </c>
      <c r="L31">
        <v>1.8376484460474201</v>
      </c>
      <c r="M31">
        <v>1.807040346155633</v>
      </c>
      <c r="N31">
        <v>1.7967909658890471</v>
      </c>
      <c r="O31">
        <v>1.701570378673573</v>
      </c>
      <c r="P31">
        <v>1.641951588190725</v>
      </c>
      <c r="Q31">
        <v>1.595646777941907</v>
      </c>
      <c r="R31">
        <v>1.5362394818247529</v>
      </c>
      <c r="S31">
        <v>1.540157309398833</v>
      </c>
      <c r="T31">
        <v>1.531004585638835</v>
      </c>
      <c r="U31">
        <v>1.590988323705864</v>
      </c>
      <c r="V31">
        <v>1.6172998344451761</v>
      </c>
      <c r="W31">
        <v>1.570974307684089</v>
      </c>
      <c r="X31">
        <v>1.655251162143506</v>
      </c>
      <c r="Y31">
        <v>1.5924010331066469</v>
      </c>
      <c r="Z31">
        <v>1.588456276419552</v>
      </c>
      <c r="AA31">
        <v>1.5379240545327399</v>
      </c>
      <c r="AB31">
        <v>1.5672401189948211</v>
      </c>
      <c r="AC31">
        <v>1.525934345615197</v>
      </c>
      <c r="AD31">
        <v>1.5651348788375019</v>
      </c>
      <c r="AE31">
        <v>1.490816275155884</v>
      </c>
      <c r="AF31">
        <v>1.4907657369852589</v>
      </c>
      <c r="AG31">
        <v>1.5830167863344311</v>
      </c>
      <c r="AH31">
        <v>1.5713585568904711</v>
      </c>
      <c r="AI31">
        <v>1.484913607120125</v>
      </c>
      <c r="AJ31">
        <v>1.4916655609046361</v>
      </c>
      <c r="AK31">
        <v>1.4441347037668759</v>
      </c>
      <c r="AL31">
        <v>1.472029927248389</v>
      </c>
      <c r="AM31">
        <v>1.370471823358858</v>
      </c>
      <c r="AN31">
        <v>1.6350869553186991</v>
      </c>
      <c r="AO31">
        <v>2.01757439740914</v>
      </c>
      <c r="AP31">
        <v>1.5104268275464801</v>
      </c>
      <c r="AQ31">
        <v>1.3846488180062759</v>
      </c>
      <c r="AR31">
        <v>1.3625822275793751</v>
      </c>
      <c r="AS31">
        <v>1.4383206243765001</v>
      </c>
      <c r="AT31">
        <v>1.498550687887743</v>
      </c>
      <c r="AU31">
        <v>1.433408212543033</v>
      </c>
      <c r="AV31">
        <v>1.398609866619797</v>
      </c>
      <c r="AW31">
        <v>1.479348914733339</v>
      </c>
      <c r="AX31">
        <v>1.5215625547079501</v>
      </c>
      <c r="AY31">
        <v>1.536769855286467</v>
      </c>
      <c r="AZ31">
        <v>1.53795897586429</v>
      </c>
      <c r="BA31">
        <v>1.527980365397412</v>
      </c>
      <c r="BB31">
        <v>1.502892759505871</v>
      </c>
      <c r="BC31">
        <v>1.4561503617533811</v>
      </c>
      <c r="BD31">
        <v>1.4389974128740559</v>
      </c>
      <c r="BE31">
        <v>1.4520526751980389</v>
      </c>
      <c r="BF31">
        <v>1.4938552075471649</v>
      </c>
      <c r="BG31">
        <v>1.481736721728695</v>
      </c>
      <c r="BH31">
        <v>1.460571361605925</v>
      </c>
      <c r="BI31">
        <v>1.4584253132446869</v>
      </c>
      <c r="BJ31">
        <v>1.481584983518085</v>
      </c>
      <c r="BK31">
        <v>1.511376161293694</v>
      </c>
      <c r="BL31">
        <v>1.4780145104888109</v>
      </c>
      <c r="BM31">
        <v>1.464955985835684</v>
      </c>
      <c r="BN31">
        <v>1.4218927398137451</v>
      </c>
      <c r="BO31">
        <v>1.4003487757272739</v>
      </c>
      <c r="BP31">
        <v>1.452959999948533</v>
      </c>
      <c r="BQ31">
        <v>1.4339472417544561</v>
      </c>
      <c r="BR31">
        <v>1.421693741220698</v>
      </c>
      <c r="BS31">
        <v>1.3875333630159741</v>
      </c>
      <c r="BT31">
        <v>1.436961980194787</v>
      </c>
      <c r="BU31">
        <v>1.4501670192001921</v>
      </c>
      <c r="BV31">
        <v>1.494210041332926</v>
      </c>
      <c r="BW31">
        <v>1.47446024383146</v>
      </c>
      <c r="BX31">
        <v>1.483361765204688</v>
      </c>
      <c r="BY31">
        <v>1.472720459119321</v>
      </c>
      <c r="BZ31">
        <v>1.447877053921268</v>
      </c>
      <c r="CA31">
        <v>1.4877032613726111</v>
      </c>
      <c r="CB31">
        <v>1.496429986058454</v>
      </c>
    </row>
    <row r="32" spans="1:80" x14ac:dyDescent="0.35">
      <c r="A32" t="s">
        <v>36</v>
      </c>
      <c r="B32">
        <v>0.2465884586778129</v>
      </c>
      <c r="C32">
        <v>0.2499397191068852</v>
      </c>
      <c r="D32">
        <v>0.25176319349160847</v>
      </c>
      <c r="E32">
        <v>0.25365636472445863</v>
      </c>
      <c r="F32">
        <v>0.25554068635151311</v>
      </c>
      <c r="G32">
        <v>0.25477321566721273</v>
      </c>
      <c r="H32">
        <v>0.25797694242071428</v>
      </c>
      <c r="I32">
        <v>0.25525511971346992</v>
      </c>
      <c r="J32">
        <v>0.25515254789363301</v>
      </c>
      <c r="K32">
        <v>0.25332200249088888</v>
      </c>
      <c r="L32">
        <v>0.25719603881454289</v>
      </c>
      <c r="M32">
        <v>0.25605814445075609</v>
      </c>
      <c r="N32">
        <v>0.25457665440784571</v>
      </c>
      <c r="O32">
        <v>0.25623051148473508</v>
      </c>
      <c r="P32">
        <v>0.25737346969328712</v>
      </c>
      <c r="Q32">
        <v>0.25281587638749531</v>
      </c>
      <c r="R32">
        <v>0.25457913075821248</v>
      </c>
      <c r="S32">
        <v>0.253722759561473</v>
      </c>
      <c r="T32">
        <v>0.25254294937483229</v>
      </c>
      <c r="U32">
        <v>0.25237147219587858</v>
      </c>
      <c r="V32">
        <v>0.25741205458251643</v>
      </c>
      <c r="W32">
        <v>0.25392305539689353</v>
      </c>
      <c r="X32">
        <v>0.25253204189066919</v>
      </c>
      <c r="Y32">
        <v>0.25034169158470537</v>
      </c>
      <c r="Z32">
        <v>0.25099505144142897</v>
      </c>
      <c r="AA32">
        <v>0.25449921878246973</v>
      </c>
      <c r="AB32">
        <v>0.25705691986427198</v>
      </c>
      <c r="AC32">
        <v>0.24950147728613881</v>
      </c>
      <c r="AD32">
        <v>0.24849248427225021</v>
      </c>
      <c r="AE32">
        <v>0.25620465862105851</v>
      </c>
      <c r="AF32">
        <v>0.25298156618907619</v>
      </c>
      <c r="AG32">
        <v>0.2551154932816771</v>
      </c>
      <c r="AH32">
        <v>0.25506642040973548</v>
      </c>
      <c r="AI32">
        <v>0.25271833636097762</v>
      </c>
      <c r="AJ32">
        <v>0.2476823872128886</v>
      </c>
      <c r="AK32">
        <v>0.24969948773979639</v>
      </c>
      <c r="AL32">
        <v>0.25775766494467772</v>
      </c>
      <c r="AM32">
        <v>0.25744370846981768</v>
      </c>
      <c r="AN32">
        <v>0.26108993528925761</v>
      </c>
      <c r="AO32">
        <v>0.26108220277914962</v>
      </c>
      <c r="AP32">
        <v>0.26180203316011541</v>
      </c>
      <c r="AQ32">
        <v>0.26056212823366381</v>
      </c>
      <c r="AR32">
        <v>0.25797695512506807</v>
      </c>
      <c r="AS32">
        <v>0.25452685060563768</v>
      </c>
      <c r="AT32">
        <v>0.25105835128935627</v>
      </c>
      <c r="AU32">
        <v>0.25403626967735232</v>
      </c>
      <c r="AV32">
        <v>0.24687549190529071</v>
      </c>
      <c r="AW32">
        <v>0.25259554870886097</v>
      </c>
      <c r="AX32">
        <v>0.25272065248106812</v>
      </c>
      <c r="AY32">
        <v>0.25637782392432329</v>
      </c>
      <c r="AZ32">
        <v>0.25329334059058012</v>
      </c>
      <c r="BA32">
        <v>0.25206949339387691</v>
      </c>
      <c r="BB32">
        <v>0.2487878877286494</v>
      </c>
      <c r="BC32">
        <v>0.24248496331755909</v>
      </c>
      <c r="BD32">
        <v>0.24101402137979061</v>
      </c>
      <c r="BE32">
        <v>0.25148331226548087</v>
      </c>
      <c r="BF32">
        <v>0.25264252680981841</v>
      </c>
      <c r="BG32">
        <v>0.25362119382911519</v>
      </c>
      <c r="BH32">
        <v>0.25018292870122039</v>
      </c>
      <c r="BI32">
        <v>0.2446356010919046</v>
      </c>
      <c r="BJ32">
        <v>0.24915835934294611</v>
      </c>
      <c r="BK32">
        <v>0.25174848016526402</v>
      </c>
      <c r="BL32">
        <v>0.24955318307163771</v>
      </c>
      <c r="BM32">
        <v>0.2464760432256132</v>
      </c>
      <c r="BN32">
        <v>0.24578742831549261</v>
      </c>
      <c r="BO32">
        <v>0.2440928858144194</v>
      </c>
      <c r="BP32">
        <v>0.24565084132563539</v>
      </c>
      <c r="BQ32">
        <v>0.24833565767109109</v>
      </c>
      <c r="BR32">
        <v>0.2452256539867031</v>
      </c>
      <c r="BS32">
        <v>0.24388251120318441</v>
      </c>
      <c r="BT32">
        <v>0.24523787310684231</v>
      </c>
      <c r="BU32">
        <v>0.2412374218513712</v>
      </c>
      <c r="BV32">
        <v>0.23778975255057719</v>
      </c>
      <c r="BW32">
        <v>0.24233430814370921</v>
      </c>
      <c r="BX32">
        <v>0.23911241318882939</v>
      </c>
      <c r="BY32">
        <v>0.23901054762876511</v>
      </c>
      <c r="BZ32">
        <v>0.23432129757084469</v>
      </c>
      <c r="CA32">
        <v>0.2364800095355544</v>
      </c>
      <c r="CB32">
        <v>0.2349246684260495</v>
      </c>
    </row>
    <row r="34" spans="1:80" x14ac:dyDescent="0.35">
      <c r="A34" t="s">
        <v>39</v>
      </c>
      <c r="B34" t="s">
        <v>45</v>
      </c>
      <c r="C34" t="s">
        <v>46</v>
      </c>
      <c r="D34" t="s">
        <v>47</v>
      </c>
      <c r="E34" t="s">
        <v>48</v>
      </c>
      <c r="F34" t="s">
        <v>49</v>
      </c>
      <c r="G34" t="s">
        <v>50</v>
      </c>
      <c r="H34" t="s">
        <v>51</v>
      </c>
      <c r="I34" t="s">
        <v>52</v>
      </c>
      <c r="J34" t="s">
        <v>53</v>
      </c>
      <c r="K34" t="s">
        <v>54</v>
      </c>
      <c r="L34" t="s">
        <v>55</v>
      </c>
      <c r="M34" t="s">
        <v>56</v>
      </c>
      <c r="N34" t="s">
        <v>57</v>
      </c>
      <c r="O34" t="s">
        <v>58</v>
      </c>
      <c r="P34" t="s">
        <v>59</v>
      </c>
      <c r="Q34" t="s">
        <v>60</v>
      </c>
      <c r="R34" t="s">
        <v>61</v>
      </c>
      <c r="S34" t="s">
        <v>62</v>
      </c>
      <c r="T34" t="s">
        <v>63</v>
      </c>
      <c r="U34" t="s">
        <v>64</v>
      </c>
      <c r="V34" t="s">
        <v>65</v>
      </c>
      <c r="W34" t="s">
        <v>66</v>
      </c>
      <c r="X34" t="s">
        <v>67</v>
      </c>
      <c r="Y34" t="s">
        <v>68</v>
      </c>
      <c r="Z34" t="s">
        <v>69</v>
      </c>
      <c r="AA34" t="s">
        <v>70</v>
      </c>
      <c r="AB34" t="s">
        <v>71</v>
      </c>
      <c r="AC34" t="s">
        <v>72</v>
      </c>
      <c r="AD34" t="s">
        <v>73</v>
      </c>
      <c r="AE34" t="s">
        <v>74</v>
      </c>
      <c r="AF34" t="s">
        <v>75</v>
      </c>
      <c r="AG34" t="s">
        <v>76</v>
      </c>
      <c r="AH34" t="s">
        <v>77</v>
      </c>
      <c r="AI34" t="s">
        <v>78</v>
      </c>
      <c r="AJ34" t="s">
        <v>79</v>
      </c>
      <c r="AK34" t="s">
        <v>80</v>
      </c>
      <c r="AL34" t="s">
        <v>81</v>
      </c>
      <c r="AM34" t="s">
        <v>82</v>
      </c>
      <c r="AN34" t="s">
        <v>83</v>
      </c>
      <c r="AO34" t="s">
        <v>84</v>
      </c>
      <c r="AP34" t="s">
        <v>85</v>
      </c>
      <c r="AQ34" t="s">
        <v>86</v>
      </c>
      <c r="AR34" t="s">
        <v>87</v>
      </c>
      <c r="AS34" t="s">
        <v>88</v>
      </c>
      <c r="AT34" t="s">
        <v>89</v>
      </c>
      <c r="AU34" t="s">
        <v>90</v>
      </c>
      <c r="AV34" t="s">
        <v>91</v>
      </c>
      <c r="AW34" t="s">
        <v>92</v>
      </c>
      <c r="AX34" t="s">
        <v>93</v>
      </c>
      <c r="AY34" t="s">
        <v>94</v>
      </c>
      <c r="AZ34" t="s">
        <v>95</v>
      </c>
      <c r="BA34" t="s">
        <v>96</v>
      </c>
      <c r="BB34" t="s">
        <v>97</v>
      </c>
      <c r="BC34" t="s">
        <v>98</v>
      </c>
      <c r="BD34" t="s">
        <v>99</v>
      </c>
      <c r="BE34" t="s">
        <v>100</v>
      </c>
      <c r="BF34" t="s">
        <v>101</v>
      </c>
      <c r="BG34" t="s">
        <v>102</v>
      </c>
      <c r="BH34" t="s">
        <v>103</v>
      </c>
      <c r="BI34" t="s">
        <v>104</v>
      </c>
      <c r="BJ34" t="s">
        <v>105</v>
      </c>
      <c r="BK34" t="s">
        <v>106</v>
      </c>
      <c r="BL34" t="s">
        <v>107</v>
      </c>
      <c r="BM34" t="s">
        <v>108</v>
      </c>
      <c r="BN34" t="s">
        <v>109</v>
      </c>
      <c r="BO34" t="s">
        <v>110</v>
      </c>
      <c r="BP34" t="s">
        <v>111</v>
      </c>
      <c r="BQ34" t="s">
        <v>112</v>
      </c>
      <c r="BR34" t="s">
        <v>113</v>
      </c>
      <c r="BS34" t="s">
        <v>114</v>
      </c>
      <c r="BT34" t="s">
        <v>115</v>
      </c>
      <c r="BU34" t="s">
        <v>116</v>
      </c>
      <c r="BV34" t="s">
        <v>117</v>
      </c>
      <c r="BW34" t="s">
        <v>118</v>
      </c>
      <c r="BX34" t="s">
        <v>119</v>
      </c>
      <c r="BY34" t="s">
        <v>120</v>
      </c>
      <c r="BZ34" t="s">
        <v>121</v>
      </c>
      <c r="CA34" t="s">
        <v>122</v>
      </c>
      <c r="CB34" t="s">
        <v>123</v>
      </c>
    </row>
    <row r="35" spans="1:80" x14ac:dyDescent="0.35">
      <c r="A35" t="s">
        <v>28</v>
      </c>
      <c r="B35">
        <v>131.63861116829889</v>
      </c>
      <c r="C35">
        <v>132.97627446066181</v>
      </c>
      <c r="D35">
        <v>131.49560424509869</v>
      </c>
      <c r="E35">
        <v>132.4729585791427</v>
      </c>
      <c r="F35">
        <v>135.7453563519245</v>
      </c>
      <c r="G35">
        <v>137.69784507539339</v>
      </c>
      <c r="H35">
        <v>137.61410728375631</v>
      </c>
      <c r="I35">
        <v>137.36684601638399</v>
      </c>
      <c r="J35">
        <v>138.5627590094262</v>
      </c>
      <c r="K35">
        <v>138.33720310761009</v>
      </c>
      <c r="L35">
        <v>141.0485168643655</v>
      </c>
      <c r="M35">
        <v>142.74503808503269</v>
      </c>
      <c r="N35">
        <v>139.59655705452161</v>
      </c>
      <c r="O35">
        <v>137.1927091457776</v>
      </c>
      <c r="P35">
        <v>135.91286768434321</v>
      </c>
      <c r="Q35">
        <v>136.13864773940551</v>
      </c>
      <c r="R35">
        <v>136.45175136561559</v>
      </c>
      <c r="S35">
        <v>135.40690013276961</v>
      </c>
      <c r="T35">
        <v>134.79963061608819</v>
      </c>
      <c r="U35">
        <v>136.91505854804089</v>
      </c>
      <c r="V35">
        <v>135.18726966497209</v>
      </c>
      <c r="W35">
        <v>135.37302346810989</v>
      </c>
      <c r="X35">
        <v>134.034867317307</v>
      </c>
      <c r="Y35">
        <v>134.19726153443619</v>
      </c>
      <c r="Z35">
        <v>134.06042828618021</v>
      </c>
      <c r="AA35">
        <v>133.43668676642639</v>
      </c>
      <c r="AB35">
        <v>133.9432814469433</v>
      </c>
      <c r="AC35">
        <v>135.53340999054771</v>
      </c>
      <c r="AD35">
        <v>135.53629265690401</v>
      </c>
      <c r="AE35">
        <v>136.25484802491081</v>
      </c>
      <c r="AF35">
        <v>136.88263488272801</v>
      </c>
      <c r="AG35">
        <v>136.9333137682703</v>
      </c>
      <c r="AH35">
        <v>136.66799177951191</v>
      </c>
      <c r="AI35">
        <v>136.69605586677281</v>
      </c>
      <c r="AJ35">
        <v>139.1657653881328</v>
      </c>
      <c r="AK35">
        <v>140.6243044717398</v>
      </c>
      <c r="AL35">
        <v>141.52760227878869</v>
      </c>
      <c r="AM35">
        <v>141.70252894215119</v>
      </c>
      <c r="AN35">
        <v>140.09264997054891</v>
      </c>
      <c r="AO35">
        <v>139.72135410625251</v>
      </c>
      <c r="AP35">
        <v>139.36609534562959</v>
      </c>
      <c r="AQ35">
        <v>137.9559791287036</v>
      </c>
      <c r="AR35">
        <v>137.4481515372365</v>
      </c>
      <c r="AS35">
        <v>137.8688547526919</v>
      </c>
      <c r="AT35">
        <v>138.4836101950126</v>
      </c>
      <c r="AU35">
        <v>139.6218670398224</v>
      </c>
      <c r="AV35">
        <v>139.64809031070061</v>
      </c>
      <c r="AW35">
        <v>139.59928998223279</v>
      </c>
      <c r="AX35">
        <v>138.9571212337147</v>
      </c>
      <c r="AY35">
        <v>138.7247148404266</v>
      </c>
      <c r="AZ35">
        <v>138.16008408622051</v>
      </c>
      <c r="BA35">
        <v>138.35871777807671</v>
      </c>
      <c r="BB35">
        <v>137.94264034580129</v>
      </c>
      <c r="BC35">
        <v>138.58448297847411</v>
      </c>
      <c r="BD35">
        <v>139.01875851964181</v>
      </c>
      <c r="BE35">
        <v>140.88417024922839</v>
      </c>
      <c r="BF35">
        <v>141.86051612375709</v>
      </c>
      <c r="BG35">
        <v>140.5118147937583</v>
      </c>
      <c r="BH35">
        <v>137.6556450444395</v>
      </c>
      <c r="BI35">
        <v>137.31867728928299</v>
      </c>
      <c r="BJ35">
        <v>136.26569071207419</v>
      </c>
      <c r="BK35">
        <v>136.48872354272811</v>
      </c>
      <c r="BL35">
        <v>136.9531968149355</v>
      </c>
      <c r="BM35">
        <v>138.1642423304113</v>
      </c>
      <c r="BN35">
        <v>138.6371388773598</v>
      </c>
      <c r="BO35">
        <v>138.05825950554959</v>
      </c>
      <c r="BP35">
        <v>138.4584776949761</v>
      </c>
      <c r="BQ35">
        <v>137.67607533271479</v>
      </c>
      <c r="BR35">
        <v>138.0554837482286</v>
      </c>
      <c r="BS35">
        <v>137.84899125217211</v>
      </c>
      <c r="BT35">
        <v>138.5624455151428</v>
      </c>
      <c r="BU35">
        <v>140.24499775421609</v>
      </c>
      <c r="BV35">
        <v>140.92924313416759</v>
      </c>
      <c r="BW35">
        <v>140.81148333983481</v>
      </c>
      <c r="BX35">
        <v>141.08755478416299</v>
      </c>
      <c r="BY35">
        <v>141.54083393714191</v>
      </c>
      <c r="BZ35">
        <v>141.70634236777059</v>
      </c>
      <c r="CA35">
        <v>142.34249659097529</v>
      </c>
      <c r="CB35">
        <v>142.46101976084799</v>
      </c>
    </row>
    <row r="36" spans="1:80" x14ac:dyDescent="0.35">
      <c r="A36" t="s">
        <v>29</v>
      </c>
      <c r="B36">
        <v>-1.8415100997092999</v>
      </c>
      <c r="C36">
        <v>-1.807273125076196</v>
      </c>
      <c r="D36">
        <v>-1.734871257313646</v>
      </c>
      <c r="E36">
        <v>-1.2978241203356351</v>
      </c>
      <c r="F36">
        <v>-1.0203665457270961</v>
      </c>
      <c r="G36">
        <v>-1.356232315946382</v>
      </c>
      <c r="H36">
        <v>-0.59397624416538508</v>
      </c>
      <c r="I36">
        <v>-0.70320657833078715</v>
      </c>
      <c r="J36">
        <v>-0.69660865630147217</v>
      </c>
      <c r="K36">
        <v>-3.0989836998374182E-2</v>
      </c>
      <c r="L36">
        <v>0.78577260890544609</v>
      </c>
      <c r="M36">
        <v>0.90753598343814545</v>
      </c>
      <c r="N36">
        <v>1.27884721810683</v>
      </c>
      <c r="O36">
        <v>1.41190977551428</v>
      </c>
      <c r="P36">
        <v>1.7069157185882611</v>
      </c>
      <c r="Q36">
        <v>1.309580433090559E-2</v>
      </c>
      <c r="R36">
        <v>0.10188215698572101</v>
      </c>
      <c r="S36">
        <v>-0.90816528651688966</v>
      </c>
      <c r="T36">
        <v>-0.79315605928193311</v>
      </c>
      <c r="U36">
        <v>1.79931200861532E-2</v>
      </c>
      <c r="V36">
        <v>-0.58663825716087492</v>
      </c>
      <c r="W36">
        <v>0.73208106066784362</v>
      </c>
      <c r="X36">
        <v>0.58837852206091612</v>
      </c>
      <c r="Y36">
        <v>0.1048037364181871</v>
      </c>
      <c r="Z36">
        <v>-0.55201439285663123</v>
      </c>
      <c r="AA36">
        <v>0.63771614123176634</v>
      </c>
      <c r="AB36">
        <v>-4.5526179670318098E-3</v>
      </c>
      <c r="AC36">
        <v>0.35626969201955128</v>
      </c>
      <c r="AD36">
        <v>0.42249922453736982</v>
      </c>
      <c r="AE36">
        <v>0.76066687518108433</v>
      </c>
      <c r="AF36">
        <v>0.79882072543212679</v>
      </c>
      <c r="AG36">
        <v>1.075397257857253</v>
      </c>
      <c r="AH36">
        <v>0.37700372975411012</v>
      </c>
      <c r="AI36">
        <v>0.68692401746983378</v>
      </c>
      <c r="AJ36">
        <v>1.038089356828463</v>
      </c>
      <c r="AK36">
        <v>1.1892881680627729</v>
      </c>
      <c r="AL36">
        <v>0.72150066480757025</v>
      </c>
      <c r="AM36">
        <v>1.2511408467217631</v>
      </c>
      <c r="AN36">
        <v>1.566969901060421</v>
      </c>
      <c r="AO36">
        <v>0.24452362810158271</v>
      </c>
      <c r="AP36">
        <v>1.494479863282197</v>
      </c>
      <c r="AQ36">
        <v>0.38144762510842078</v>
      </c>
      <c r="AR36">
        <v>1.5393260650183109</v>
      </c>
      <c r="AS36">
        <v>1.483885681538148</v>
      </c>
      <c r="AT36">
        <v>1.2062048935460461</v>
      </c>
      <c r="AU36">
        <v>1.4520998103320391</v>
      </c>
      <c r="AV36">
        <v>1.5916297264882771</v>
      </c>
      <c r="AW36">
        <v>1.2649276280351081</v>
      </c>
      <c r="AX36">
        <v>1.0225625325226559</v>
      </c>
      <c r="AY36">
        <v>1.0868262580787931</v>
      </c>
      <c r="AZ36">
        <v>1.463442535309293</v>
      </c>
      <c r="BA36">
        <v>1.9256436377061481</v>
      </c>
      <c r="BB36">
        <v>2.097050425744408</v>
      </c>
      <c r="BC36">
        <v>2.1912267139310759</v>
      </c>
      <c r="BD36">
        <v>2.3605520379292759</v>
      </c>
      <c r="BE36">
        <v>2.3647416889659438</v>
      </c>
      <c r="BF36">
        <v>2.3034217011398712</v>
      </c>
      <c r="BG36">
        <v>2.288202511938894</v>
      </c>
      <c r="BH36">
        <v>2.4850456122538098</v>
      </c>
      <c r="BI36">
        <v>2.1714643868788031</v>
      </c>
      <c r="BJ36">
        <v>2.3180647535646179</v>
      </c>
      <c r="BK36">
        <v>2.3182167769593218</v>
      </c>
      <c r="BL36">
        <v>1.6410067449241521</v>
      </c>
      <c r="BM36">
        <v>1.500821972888797</v>
      </c>
      <c r="BN36">
        <v>2.0552895787144281</v>
      </c>
      <c r="BO36">
        <v>2.344073429579546</v>
      </c>
      <c r="BP36">
        <v>2.29780383280925</v>
      </c>
      <c r="BQ36">
        <v>2.3497145213217299</v>
      </c>
      <c r="BR36">
        <v>2.50947600691301</v>
      </c>
      <c r="BS36">
        <v>1.451805372228419</v>
      </c>
      <c r="BT36">
        <v>1.1791721780835469</v>
      </c>
      <c r="BU36">
        <v>1.5798722935819089</v>
      </c>
      <c r="BV36">
        <v>1.789418012104637</v>
      </c>
      <c r="BW36">
        <v>1.6533824184197039</v>
      </c>
      <c r="BX36">
        <v>1.449329326652802</v>
      </c>
      <c r="BY36">
        <v>1.5783648386419149</v>
      </c>
      <c r="BZ36">
        <v>1.524734444904029</v>
      </c>
      <c r="CA36">
        <v>1.736120924011461</v>
      </c>
      <c r="CB36">
        <v>1.601717537222179</v>
      </c>
    </row>
    <row r="37" spans="1:80" x14ac:dyDescent="0.35">
      <c r="A37" t="s">
        <v>30</v>
      </c>
      <c r="B37">
        <v>10.53573634163976</v>
      </c>
      <c r="C37">
        <v>10.079649792488739</v>
      </c>
      <c r="D37">
        <v>10.532221491124499</v>
      </c>
      <c r="E37">
        <v>10.105948107150899</v>
      </c>
      <c r="F37">
        <v>8.8969810469631305</v>
      </c>
      <c r="G37">
        <v>8.1055383964649437</v>
      </c>
      <c r="H37">
        <v>8.23679412164444</v>
      </c>
      <c r="I37">
        <v>8.3679736934720363</v>
      </c>
      <c r="J37">
        <v>7.9232590396487197</v>
      </c>
      <c r="K37">
        <v>7.9794482847494814</v>
      </c>
      <c r="L37">
        <v>7.0594599707850483</v>
      </c>
      <c r="M37">
        <v>6.3321691934731694</v>
      </c>
      <c r="N37">
        <v>7.7372263879213543</v>
      </c>
      <c r="O37">
        <v>8.5896058209690125</v>
      </c>
      <c r="P37">
        <v>9.0949602188128242</v>
      </c>
      <c r="Q37">
        <v>8.8402297160593477</v>
      </c>
      <c r="R37">
        <v>8.801750278101462</v>
      </c>
      <c r="S37">
        <v>9.3381091891122932</v>
      </c>
      <c r="T37">
        <v>9.4164090700374778</v>
      </c>
      <c r="U37">
        <v>8.6189567019225972</v>
      </c>
      <c r="V37">
        <v>9.3031747308108343</v>
      </c>
      <c r="W37">
        <v>9.1902724735768402</v>
      </c>
      <c r="X37">
        <v>9.7512478130728404</v>
      </c>
      <c r="Y37">
        <v>9.6497941723939018</v>
      </c>
      <c r="Z37">
        <v>9.7315465234347887</v>
      </c>
      <c r="AA37">
        <v>9.733939855191915</v>
      </c>
      <c r="AB37">
        <v>9.5524244420541446</v>
      </c>
      <c r="AC37">
        <v>8.7713782936402822</v>
      </c>
      <c r="AD37">
        <v>8.7558412995384067</v>
      </c>
      <c r="AE37">
        <v>8.304233724049233</v>
      </c>
      <c r="AF37">
        <v>8.1901343955263499</v>
      </c>
      <c r="AG37">
        <v>8.2813188537562858</v>
      </c>
      <c r="AH37">
        <v>8.455080009603682</v>
      </c>
      <c r="AI37">
        <v>8.3634698978839879</v>
      </c>
      <c r="AJ37">
        <v>7.548657496616106</v>
      </c>
      <c r="AK37">
        <v>7.0711786883160759</v>
      </c>
      <c r="AL37">
        <v>6.67982012614927</v>
      </c>
      <c r="AM37">
        <v>6.616381497325234</v>
      </c>
      <c r="AN37">
        <v>7.1275775069874943</v>
      </c>
      <c r="AO37">
        <v>7.0064711700659519</v>
      </c>
      <c r="AP37">
        <v>7.5397796915174551</v>
      </c>
      <c r="AQ37">
        <v>8.0273956121133274</v>
      </c>
      <c r="AR37">
        <v>8.4280381745613955</v>
      </c>
      <c r="AS37">
        <v>8.1277694182542977</v>
      </c>
      <c r="AT37">
        <v>7.7768807461415186</v>
      </c>
      <c r="AU37">
        <v>7.5108783103151646</v>
      </c>
      <c r="AV37">
        <v>7.6007238316136272</v>
      </c>
      <c r="AW37">
        <v>7.6078905921578164</v>
      </c>
      <c r="AX37">
        <v>7.815689715241029</v>
      </c>
      <c r="AY37">
        <v>7.889319167799</v>
      </c>
      <c r="AZ37">
        <v>7.9355359492067903</v>
      </c>
      <c r="BA37">
        <v>7.9392998072787462</v>
      </c>
      <c r="BB37">
        <v>8.1100311073362228</v>
      </c>
      <c r="BC37">
        <v>7.9992989096386724</v>
      </c>
      <c r="BD37">
        <v>7.7916441428858176</v>
      </c>
      <c r="BE37">
        <v>6.9518413535618659</v>
      </c>
      <c r="BF37">
        <v>6.5614022217461532</v>
      </c>
      <c r="BG37">
        <v>7.2567894558550519</v>
      </c>
      <c r="BH37">
        <v>8.8425547614945863</v>
      </c>
      <c r="BI37">
        <v>9.0339420119700709</v>
      </c>
      <c r="BJ37">
        <v>9.6415694017071267</v>
      </c>
      <c r="BK37">
        <v>9.5150043285197015</v>
      </c>
      <c r="BL37">
        <v>8.9105554596537395</v>
      </c>
      <c r="BM37">
        <v>8.3915794064517719</v>
      </c>
      <c r="BN37">
        <v>8.1900612514626179</v>
      </c>
      <c r="BO37">
        <v>8.6239634488985359</v>
      </c>
      <c r="BP37">
        <v>8.5614453545380833</v>
      </c>
      <c r="BQ37">
        <v>8.6793424671321215</v>
      </c>
      <c r="BR37">
        <v>8.6785963842515006</v>
      </c>
      <c r="BS37">
        <v>8.7942482239954991</v>
      </c>
      <c r="BT37">
        <v>8.4826213339545902</v>
      </c>
      <c r="BU37">
        <v>7.8207913413201808</v>
      </c>
      <c r="BV37">
        <v>7.2450025456854057</v>
      </c>
      <c r="BW37">
        <v>7.2457782874447254</v>
      </c>
      <c r="BX37">
        <v>7.055247071232654</v>
      </c>
      <c r="BY37">
        <v>6.8184641917316258</v>
      </c>
      <c r="BZ37">
        <v>6.7391199064946896</v>
      </c>
      <c r="CA37">
        <v>6.4063794032105754</v>
      </c>
      <c r="CB37">
        <v>6.1940566922149474</v>
      </c>
    </row>
    <row r="38" spans="1:80" x14ac:dyDescent="0.35">
      <c r="A38" t="s">
        <v>31</v>
      </c>
      <c r="B38">
        <v>-0.31155351250062241</v>
      </c>
      <c r="C38">
        <v>0.32300883186223017</v>
      </c>
      <c r="D38">
        <v>1.0784461356883199</v>
      </c>
      <c r="E38">
        <v>0.84093036017916845</v>
      </c>
      <c r="F38">
        <v>1.2564453045523269</v>
      </c>
      <c r="G38">
        <v>1.6360614001206639</v>
      </c>
      <c r="H38">
        <v>3.3810505732311511</v>
      </c>
      <c r="I38">
        <v>4.0796862857558072</v>
      </c>
      <c r="J38">
        <v>4.3106246679667892</v>
      </c>
      <c r="K38">
        <v>3.265841423890079</v>
      </c>
      <c r="L38">
        <v>2.214560491619241</v>
      </c>
      <c r="M38">
        <v>3.4565120457970502</v>
      </c>
      <c r="N38">
        <v>1.205692451215566</v>
      </c>
      <c r="O38">
        <v>2.56324894871396</v>
      </c>
      <c r="P38">
        <v>1.9775355740794089</v>
      </c>
      <c r="Q38">
        <v>3.6451606730487391</v>
      </c>
      <c r="R38">
        <v>4.0382143680232243</v>
      </c>
      <c r="S38">
        <v>3.3322545186023671</v>
      </c>
      <c r="T38">
        <v>3.3706275152445242</v>
      </c>
      <c r="U38">
        <v>2.599612516501737</v>
      </c>
      <c r="V38">
        <v>2.5372280661231681</v>
      </c>
      <c r="W38">
        <v>1.389481021520597</v>
      </c>
      <c r="X38">
        <v>2.0963433606251409</v>
      </c>
      <c r="Y38">
        <v>2.2029384049060812</v>
      </c>
      <c r="Z38">
        <v>0.95878835314533584</v>
      </c>
      <c r="AA38">
        <v>1.6701025871142221</v>
      </c>
      <c r="AB38">
        <v>2.082643067356218</v>
      </c>
      <c r="AC38">
        <v>1.7478602544422659</v>
      </c>
      <c r="AD38">
        <v>1.790697664111595</v>
      </c>
      <c r="AE38">
        <v>1.276261132877093</v>
      </c>
      <c r="AF38">
        <v>1.778788724866988</v>
      </c>
      <c r="AG38">
        <v>3.063335554795418</v>
      </c>
      <c r="AH38">
        <v>1.5636994369702439</v>
      </c>
      <c r="AI38">
        <v>0.55090294416668417</v>
      </c>
      <c r="AJ38">
        <v>2.4646855037183051</v>
      </c>
      <c r="AK38">
        <v>3.4035603272510371</v>
      </c>
      <c r="AL38">
        <v>4.0871934046254941</v>
      </c>
      <c r="AM38">
        <v>2.8242058288498741</v>
      </c>
      <c r="AN38">
        <v>1.169762381165965</v>
      </c>
      <c r="AO38">
        <v>-3.0303681046303761</v>
      </c>
      <c r="AP38">
        <v>2.3018078038544689</v>
      </c>
      <c r="AQ38">
        <v>3.1879964446635389</v>
      </c>
      <c r="AR38">
        <v>3.154321512736963</v>
      </c>
      <c r="AS38">
        <v>3.2998138043108152</v>
      </c>
      <c r="AT38">
        <v>2.371612320332527</v>
      </c>
      <c r="AU38">
        <v>2.3707663933992089</v>
      </c>
      <c r="AV38">
        <v>3.0079539971168141</v>
      </c>
      <c r="AW38">
        <v>2.2399694284973402</v>
      </c>
      <c r="AX38">
        <v>1.271143380631151</v>
      </c>
      <c r="AY38">
        <v>1.165783916292553</v>
      </c>
      <c r="AZ38">
        <v>0.89555163600100762</v>
      </c>
      <c r="BA38">
        <v>0.68313190436589277</v>
      </c>
      <c r="BB38">
        <v>1.5581647287482101</v>
      </c>
      <c r="BC38">
        <v>1.8257631189973711</v>
      </c>
      <c r="BD38">
        <v>1.9176835086644359</v>
      </c>
      <c r="BE38">
        <v>1.2513293470647431</v>
      </c>
      <c r="BF38">
        <v>1.811817048721611</v>
      </c>
      <c r="BG38">
        <v>2.0043736666402858</v>
      </c>
      <c r="BH38">
        <v>1.3810015724776741</v>
      </c>
      <c r="BI38">
        <v>1.9740504739528959</v>
      </c>
      <c r="BJ38">
        <v>1.4638689900247619</v>
      </c>
      <c r="BK38">
        <v>1.00204901624915</v>
      </c>
      <c r="BL38">
        <v>1.1050854424723231</v>
      </c>
      <c r="BM38">
        <v>0.41003576728772662</v>
      </c>
      <c r="BN38">
        <v>0.51121318810752192</v>
      </c>
      <c r="BO38">
        <v>0.72391830967146165</v>
      </c>
      <c r="BP38">
        <v>0.50308006064251498</v>
      </c>
      <c r="BQ38">
        <v>0.51832261670746371</v>
      </c>
      <c r="BR38">
        <v>0.64467884653984942</v>
      </c>
      <c r="BS38">
        <v>0.82796665190515184</v>
      </c>
      <c r="BT38">
        <v>0.83170023180235342</v>
      </c>
      <c r="BU38">
        <v>0.14544896839526039</v>
      </c>
      <c r="BV38">
        <v>-0.67213045260894777</v>
      </c>
      <c r="BW38">
        <v>-3.4706107834552517E-2</v>
      </c>
      <c r="BX38">
        <v>-0.38633100135414411</v>
      </c>
      <c r="BY38">
        <v>-0.8091819935675284</v>
      </c>
      <c r="BZ38">
        <v>-0.4259348806215979</v>
      </c>
      <c r="CA38">
        <v>-0.40265658686366068</v>
      </c>
      <c r="CB38">
        <v>-1.070985375647826</v>
      </c>
    </row>
    <row r="39" spans="1:80" x14ac:dyDescent="0.35">
      <c r="A39" t="s">
        <v>32</v>
      </c>
      <c r="B39">
        <v>1.211864217225316</v>
      </c>
      <c r="C39">
        <v>0.31441585108865472</v>
      </c>
      <c r="D39">
        <v>0.35921596202716011</v>
      </c>
      <c r="E39">
        <v>-0.17950027976522681</v>
      </c>
      <c r="F39">
        <v>4.0612757206742463E-2</v>
      </c>
      <c r="G39">
        <v>-8.700803474284452E-2</v>
      </c>
      <c r="H39">
        <v>-0.2123576948464376</v>
      </c>
      <c r="I39">
        <v>-0.44236768541080662</v>
      </c>
      <c r="J39">
        <v>-0.45727081300107381</v>
      </c>
      <c r="K39">
        <v>-0.17769738489088691</v>
      </c>
      <c r="L39">
        <v>0.76756834572776111</v>
      </c>
      <c r="M39">
        <v>1.18434188892043</v>
      </c>
      <c r="N39">
        <v>0.13296608948788841</v>
      </c>
      <c r="O39">
        <v>-8.1479286455793387E-2</v>
      </c>
      <c r="P39">
        <v>2.33263017697799E-2</v>
      </c>
      <c r="Q39">
        <v>5.0632627826880938E-2</v>
      </c>
      <c r="R39">
        <v>0.25449552465238612</v>
      </c>
      <c r="S39">
        <v>0.1016426808630272</v>
      </c>
      <c r="T39">
        <v>0.24308215758139631</v>
      </c>
      <c r="U39">
        <v>0.44136123606034328</v>
      </c>
      <c r="V39">
        <v>0.24335323356432589</v>
      </c>
      <c r="W39">
        <v>0.24646967531773731</v>
      </c>
      <c r="X39">
        <v>0.35172290910139647</v>
      </c>
      <c r="Y39">
        <v>4.3596189902354587E-2</v>
      </c>
      <c r="Z39">
        <v>-0.80415522134646211</v>
      </c>
      <c r="AA39">
        <v>-0.70576852241858068</v>
      </c>
      <c r="AB39">
        <v>-0.73851730389358217</v>
      </c>
      <c r="AC39">
        <v>-0.54195723851664268</v>
      </c>
      <c r="AD39">
        <v>-0.56730317767725469</v>
      </c>
      <c r="AE39">
        <v>-0.42773221597885519</v>
      </c>
      <c r="AF39">
        <v>-0.23815030337785029</v>
      </c>
      <c r="AG39">
        <v>-0.13943051415944119</v>
      </c>
      <c r="AH39">
        <v>-0.33588486429995462</v>
      </c>
      <c r="AI39">
        <v>-0.28711651179176478</v>
      </c>
      <c r="AJ39">
        <v>0.13852322250823471</v>
      </c>
      <c r="AK39">
        <v>-0.12732858021271529</v>
      </c>
      <c r="AL39">
        <v>-0.49740441623761089</v>
      </c>
      <c r="AM39">
        <v>-0.56154383408599351</v>
      </c>
      <c r="AN39">
        <v>-0.32264404192298402</v>
      </c>
      <c r="AO39">
        <v>1.393512786231899E-3</v>
      </c>
      <c r="AP39">
        <v>-0.90530157183673121</v>
      </c>
      <c r="AQ39">
        <v>-0.24405502344218011</v>
      </c>
      <c r="AR39">
        <v>-9.1861107485627091E-2</v>
      </c>
      <c r="AS39">
        <v>0.30275382516632948</v>
      </c>
      <c r="AT39">
        <v>0.36282351876899649</v>
      </c>
      <c r="AU39">
        <v>0.42166949195169529</v>
      </c>
      <c r="AV39">
        <v>3.8852692146750523E-2</v>
      </c>
      <c r="AW39">
        <v>0.15438664801854429</v>
      </c>
      <c r="AX39">
        <v>-9.2109088540340278E-3</v>
      </c>
      <c r="AY39">
        <v>-0.1502171512512526</v>
      </c>
      <c r="AZ39">
        <v>3.1075160793475051E-2</v>
      </c>
      <c r="BA39">
        <v>9.6446982652076685E-2</v>
      </c>
      <c r="BB39">
        <v>0.1202885803833403</v>
      </c>
      <c r="BC39">
        <v>0.33685123737096512</v>
      </c>
      <c r="BD39">
        <v>0.31250979592064693</v>
      </c>
      <c r="BE39">
        <v>-7.9868673229226417E-2</v>
      </c>
      <c r="BF39">
        <v>5.7019699213750323E-2</v>
      </c>
      <c r="BG39">
        <v>-0.36064223513167848</v>
      </c>
      <c r="BH39">
        <v>-0.2554735402048014</v>
      </c>
      <c r="BI39">
        <v>-0.1695739543513983</v>
      </c>
      <c r="BJ39">
        <v>-0.46572001518278999</v>
      </c>
      <c r="BK39">
        <v>-0.3007441008732617</v>
      </c>
      <c r="BL39">
        <v>-0.51036508209646614</v>
      </c>
      <c r="BM39">
        <v>-0.47089861333617972</v>
      </c>
      <c r="BN39">
        <v>-0.51269777589642351</v>
      </c>
      <c r="BO39">
        <v>-0.56290353167152996</v>
      </c>
      <c r="BP39">
        <v>-0.65552912577760414</v>
      </c>
      <c r="BQ39">
        <v>-0.45399754123740688</v>
      </c>
      <c r="BR39">
        <v>-0.46232863930665191</v>
      </c>
      <c r="BS39">
        <v>-0.50882924884749126</v>
      </c>
      <c r="BT39">
        <v>-0.39948752989919573</v>
      </c>
      <c r="BU39">
        <v>-0.54753879871231481</v>
      </c>
      <c r="BV39">
        <v>-0.57912927211368947</v>
      </c>
      <c r="BW39">
        <v>-0.48232709439872867</v>
      </c>
      <c r="BX39">
        <v>-0.31730556535230242</v>
      </c>
      <c r="BY39">
        <v>-0.2031308563190759</v>
      </c>
      <c r="BZ39">
        <v>-0.44047773754927022</v>
      </c>
      <c r="CA39">
        <v>-0.29349783849776773</v>
      </c>
      <c r="CB39">
        <v>-0.4178894577982506</v>
      </c>
    </row>
    <row r="40" spans="1:80" x14ac:dyDescent="0.35">
      <c r="A40" t="s">
        <v>33</v>
      </c>
      <c r="B40">
        <v>141.23314811495399</v>
      </c>
      <c r="C40">
        <v>141.88607581102531</v>
      </c>
      <c r="D40">
        <v>141.73061657662501</v>
      </c>
      <c r="E40">
        <v>141.94251264637191</v>
      </c>
      <c r="F40">
        <v>144.91902891491961</v>
      </c>
      <c r="G40">
        <v>145.9962045212898</v>
      </c>
      <c r="H40">
        <v>148.42561803961999</v>
      </c>
      <c r="I40">
        <v>148.66893173187029</v>
      </c>
      <c r="J40">
        <v>149.6427632477392</v>
      </c>
      <c r="K40">
        <v>149.37380559436039</v>
      </c>
      <c r="L40">
        <v>151.875878281403</v>
      </c>
      <c r="M40">
        <v>154.62559719666149</v>
      </c>
      <c r="N40">
        <v>149.9512892012533</v>
      </c>
      <c r="O40">
        <v>149.675994404519</v>
      </c>
      <c r="P40">
        <v>148.71560549759349</v>
      </c>
      <c r="Q40">
        <v>148.68776656067141</v>
      </c>
      <c r="R40">
        <v>149.64809369337831</v>
      </c>
      <c r="S40">
        <v>147.27074123483041</v>
      </c>
      <c r="T40">
        <v>147.0365932996697</v>
      </c>
      <c r="U40">
        <v>148.59298212261169</v>
      </c>
      <c r="V40">
        <v>146.68438743830961</v>
      </c>
      <c r="W40">
        <v>146.93132769919291</v>
      </c>
      <c r="X40">
        <v>146.8225599221673</v>
      </c>
      <c r="Y40">
        <v>146.1983940380567</v>
      </c>
      <c r="Z40">
        <v>143.3945935485572</v>
      </c>
      <c r="AA40">
        <v>144.77267682754569</v>
      </c>
      <c r="AB40">
        <v>144.83527903449311</v>
      </c>
      <c r="AC40">
        <v>145.86696099213319</v>
      </c>
      <c r="AD40">
        <v>145.93802766741419</v>
      </c>
      <c r="AE40">
        <v>146.16827754103929</v>
      </c>
      <c r="AF40">
        <v>147.41222842517561</v>
      </c>
      <c r="AG40">
        <v>149.21393492051979</v>
      </c>
      <c r="AH40">
        <v>146.72789009153999</v>
      </c>
      <c r="AI40">
        <v>146.0102362145015</v>
      </c>
      <c r="AJ40">
        <v>150.3557209678039</v>
      </c>
      <c r="AK40">
        <v>152.16100307515691</v>
      </c>
      <c r="AL40">
        <v>152.5187120581335</v>
      </c>
      <c r="AM40">
        <v>151.832713280962</v>
      </c>
      <c r="AN40">
        <v>149.6343157178398</v>
      </c>
      <c r="AO40">
        <v>143.94337431257591</v>
      </c>
      <c r="AP40">
        <v>149.79686113244699</v>
      </c>
      <c r="AQ40">
        <v>149.30876378714669</v>
      </c>
      <c r="AR40">
        <v>150.47797618206761</v>
      </c>
      <c r="AS40">
        <v>151.08307748196151</v>
      </c>
      <c r="AT40">
        <v>150.20113167380171</v>
      </c>
      <c r="AU40">
        <v>151.3772810458205</v>
      </c>
      <c r="AV40">
        <v>151.887250558066</v>
      </c>
      <c r="AW40">
        <v>150.86646427894161</v>
      </c>
      <c r="AX40">
        <v>149.05730595325551</v>
      </c>
      <c r="AY40">
        <v>148.71642703134569</v>
      </c>
      <c r="AZ40">
        <v>148.48568936753111</v>
      </c>
      <c r="BA40">
        <v>149.00324011007959</v>
      </c>
      <c r="BB40">
        <v>149.82817518801349</v>
      </c>
      <c r="BC40">
        <v>150.93762295841219</v>
      </c>
      <c r="BD40">
        <v>151.40114800504199</v>
      </c>
      <c r="BE40">
        <v>151.3722139655917</v>
      </c>
      <c r="BF40">
        <v>152.59417679457849</v>
      </c>
      <c r="BG40">
        <v>151.70053819306091</v>
      </c>
      <c r="BH40">
        <v>150.1087734504608</v>
      </c>
      <c r="BI40">
        <v>150.32856020773329</v>
      </c>
      <c r="BJ40">
        <v>149.2234738421879</v>
      </c>
      <c r="BK40">
        <v>149.02324956358299</v>
      </c>
      <c r="BL40">
        <v>148.09947937988929</v>
      </c>
      <c r="BM40">
        <v>147.9957808637034</v>
      </c>
      <c r="BN40">
        <v>148.8810051197479</v>
      </c>
      <c r="BO40">
        <v>149.18731116202761</v>
      </c>
      <c r="BP40">
        <v>149.1652778171883</v>
      </c>
      <c r="BQ40">
        <v>148.7694573966387</v>
      </c>
      <c r="BR40">
        <v>149.42590634662631</v>
      </c>
      <c r="BS40">
        <v>148.4141822514537</v>
      </c>
      <c r="BT40">
        <v>148.6564517290841</v>
      </c>
      <c r="BU40">
        <v>149.24357155880111</v>
      </c>
      <c r="BV40">
        <v>148.71240396723499</v>
      </c>
      <c r="BW40">
        <v>149.1936108434659</v>
      </c>
      <c r="BX40">
        <v>148.88849461534201</v>
      </c>
      <c r="BY40">
        <v>148.92535011762891</v>
      </c>
      <c r="BZ40">
        <v>149.1037841009985</v>
      </c>
      <c r="CA40">
        <v>149.7888424928359</v>
      </c>
      <c r="CB40">
        <v>148.7679191568391</v>
      </c>
    </row>
    <row r="41" spans="1:80" x14ac:dyDescent="0.35">
      <c r="A41" t="s">
        <v>34</v>
      </c>
      <c r="B41">
        <v>8681620.9400000013</v>
      </c>
      <c r="C41">
        <v>7850393.5399999991</v>
      </c>
      <c r="D41">
        <v>12595458.960000001</v>
      </c>
      <c r="E41">
        <v>5460560.6699999999</v>
      </c>
      <c r="F41">
        <v>6439998.79</v>
      </c>
      <c r="G41">
        <v>8230644.8300000001</v>
      </c>
      <c r="H41">
        <v>7775421.25</v>
      </c>
      <c r="I41">
        <v>6002278.1299999999</v>
      </c>
      <c r="J41">
        <v>4716723.92</v>
      </c>
      <c r="K41">
        <v>4049517.83</v>
      </c>
      <c r="L41">
        <v>2189684.27</v>
      </c>
      <c r="M41">
        <v>2652411.7799999998</v>
      </c>
      <c r="N41">
        <v>2445132.64</v>
      </c>
      <c r="O41">
        <v>2795827.91</v>
      </c>
      <c r="P41">
        <v>9726897.3200000003</v>
      </c>
      <c r="Q41">
        <v>11139644.859999999</v>
      </c>
      <c r="R41">
        <v>9930169.4199999999</v>
      </c>
      <c r="S41">
        <v>9273157.8500000015</v>
      </c>
      <c r="T41">
        <v>8610087.870000001</v>
      </c>
      <c r="U41">
        <v>8211850.5199999996</v>
      </c>
      <c r="V41">
        <v>8603071.1600000001</v>
      </c>
      <c r="W41">
        <v>6400471.0199999996</v>
      </c>
      <c r="X41">
        <v>5986123.1399999997</v>
      </c>
      <c r="Y41">
        <v>6049145.7599999998</v>
      </c>
      <c r="Z41">
        <v>5108127.51</v>
      </c>
      <c r="AA41">
        <v>5537259.7300000004</v>
      </c>
      <c r="AB41">
        <v>8186925.3499999996</v>
      </c>
      <c r="AC41">
        <v>5947998.7599999998</v>
      </c>
      <c r="AD41">
        <v>6092975.9299999997</v>
      </c>
      <c r="AE41">
        <v>5187168.540000001</v>
      </c>
      <c r="AF41">
        <v>4911630.8</v>
      </c>
      <c r="AG41">
        <v>5543700.0099999998</v>
      </c>
      <c r="AH41">
        <v>4950736.3900000006</v>
      </c>
      <c r="AI41">
        <v>3631452.35</v>
      </c>
      <c r="AJ41">
        <v>3042588.22</v>
      </c>
      <c r="AK41">
        <v>2376751.52</v>
      </c>
      <c r="AL41">
        <v>1903075.59</v>
      </c>
      <c r="AM41">
        <v>2098759.9700000002</v>
      </c>
      <c r="AN41">
        <v>2103109.94</v>
      </c>
      <c r="AO41">
        <v>910438.32</v>
      </c>
      <c r="AP41">
        <v>3439832.45</v>
      </c>
      <c r="AQ41">
        <v>4486914.49</v>
      </c>
      <c r="AR41">
        <v>4623214.3099999996</v>
      </c>
      <c r="AS41">
        <v>5409186.3499999996</v>
      </c>
      <c r="AT41">
        <v>4363858.67</v>
      </c>
      <c r="AU41">
        <v>4505953.63</v>
      </c>
      <c r="AV41">
        <v>5232604.8000000007</v>
      </c>
      <c r="AW41">
        <v>4336766.3599999994</v>
      </c>
      <c r="AX41">
        <v>5560463.6200000001</v>
      </c>
      <c r="AY41">
        <v>7359094.6899999985</v>
      </c>
      <c r="AZ41">
        <v>13973656.23</v>
      </c>
      <c r="BA41">
        <v>13443294.75</v>
      </c>
      <c r="BB41">
        <v>11632195.720000001</v>
      </c>
      <c r="BC41">
        <v>9815645.6999999993</v>
      </c>
      <c r="BD41">
        <v>9492781.5700000003</v>
      </c>
      <c r="BE41">
        <v>6276242.8800000008</v>
      </c>
      <c r="BF41">
        <v>5799571.0599999996</v>
      </c>
      <c r="BG41">
        <v>6241432.3699999992</v>
      </c>
      <c r="BH41">
        <v>6432681.2699999996</v>
      </c>
      <c r="BI41">
        <v>8384948.7999999998</v>
      </c>
      <c r="BJ41">
        <v>10338839.33</v>
      </c>
      <c r="BK41">
        <v>11557613.609999999</v>
      </c>
      <c r="BL41">
        <v>21544150.359999999</v>
      </c>
      <c r="BM41">
        <v>14690857.789999999</v>
      </c>
      <c r="BN41">
        <v>13097759.619999999</v>
      </c>
      <c r="BO41">
        <v>12174617.5</v>
      </c>
      <c r="BP41">
        <v>12341720.619999999</v>
      </c>
      <c r="BQ41">
        <v>14023960.710000001</v>
      </c>
      <c r="BR41">
        <v>16268241.57</v>
      </c>
      <c r="BS41">
        <v>16171908.59</v>
      </c>
      <c r="BT41">
        <v>13413464.140000001</v>
      </c>
      <c r="BU41">
        <v>13394315.92</v>
      </c>
      <c r="BV41">
        <v>12243336.98</v>
      </c>
      <c r="BW41">
        <v>19125484.43</v>
      </c>
      <c r="BX41">
        <v>29292835.239999998</v>
      </c>
      <c r="BY41">
        <v>20688803.789999999</v>
      </c>
      <c r="BZ41">
        <v>17281542.120000001</v>
      </c>
      <c r="CA41">
        <v>14943408.119999999</v>
      </c>
      <c r="CB41">
        <v>5067729.7100000009</v>
      </c>
    </row>
    <row r="42" spans="1:80" x14ac:dyDescent="0.35">
      <c r="A42" t="s">
        <v>35</v>
      </c>
      <c r="B42">
        <v>1.4683266772059189</v>
      </c>
      <c r="C42">
        <v>1.4309994804786921</v>
      </c>
      <c r="D42">
        <v>1.3865619920183341</v>
      </c>
      <c r="E42">
        <v>1.400533508224755</v>
      </c>
      <c r="F42">
        <v>1.3760914526733929</v>
      </c>
      <c r="G42">
        <v>1.3537610941105489</v>
      </c>
      <c r="H42">
        <v>1.251114672162873</v>
      </c>
      <c r="I42">
        <v>1.2100184537790699</v>
      </c>
      <c r="J42">
        <v>1.196433843060777</v>
      </c>
      <c r="K42">
        <v>1.2578916809476419</v>
      </c>
      <c r="L42">
        <v>1.319731735787103</v>
      </c>
      <c r="M42">
        <v>1.246675762011938</v>
      </c>
      <c r="N42">
        <v>1.379076914634378</v>
      </c>
      <c r="O42">
        <v>1.2992206500756489</v>
      </c>
      <c r="P42">
        <v>1.3336743779953291</v>
      </c>
      <c r="Q42">
        <v>1.235578783938309</v>
      </c>
      <c r="R42">
        <v>1.212457978351575</v>
      </c>
      <c r="S42">
        <v>1.253985028317508</v>
      </c>
      <c r="T42">
        <v>1.2517277932209101</v>
      </c>
      <c r="U42">
        <v>1.2970816166763679</v>
      </c>
      <c r="V42">
        <v>1.3007512902280489</v>
      </c>
      <c r="W42">
        <v>1.368265822263494</v>
      </c>
      <c r="X42">
        <v>1.3266856846691091</v>
      </c>
      <c r="Y42">
        <v>1.3204153879467011</v>
      </c>
      <c r="Z42">
        <v>1.3936006851090981</v>
      </c>
      <c r="AA42">
        <v>1.351758671346222</v>
      </c>
      <c r="AB42">
        <v>1.327491584273164</v>
      </c>
      <c r="AC42">
        <v>1.347184690915161</v>
      </c>
      <c r="AD42">
        <v>1.344664843287553</v>
      </c>
      <c r="AE42">
        <v>1.3749258157131119</v>
      </c>
      <c r="AF42">
        <v>1.345365369125471</v>
      </c>
      <c r="AG42">
        <v>1.2698037908943871</v>
      </c>
      <c r="AH42">
        <v>1.3580176801782211</v>
      </c>
      <c r="AI42">
        <v>1.417593944460783</v>
      </c>
      <c r="AJ42">
        <v>1.3050184997812759</v>
      </c>
      <c r="AK42">
        <v>1.2497905689852331</v>
      </c>
      <c r="AL42">
        <v>1.209576858551441</v>
      </c>
      <c r="AM42">
        <v>1.2838702453617721</v>
      </c>
      <c r="AN42">
        <v>1.3811904481667081</v>
      </c>
      <c r="AO42">
        <v>1.628256947331199</v>
      </c>
      <c r="AP42">
        <v>1.3145995409497371</v>
      </c>
      <c r="AQ42">
        <v>1.2624707973727329</v>
      </c>
      <c r="AR42">
        <v>1.2644516757213551</v>
      </c>
      <c r="AS42">
        <v>1.255893305628776</v>
      </c>
      <c r="AT42">
        <v>1.310493392921616</v>
      </c>
      <c r="AU42">
        <v>1.310543153329458</v>
      </c>
      <c r="AV42">
        <v>1.2730615295813641</v>
      </c>
      <c r="AW42">
        <v>1.3182370924413329</v>
      </c>
      <c r="AX42">
        <v>1.375226859962873</v>
      </c>
      <c r="AY42">
        <v>1.3814244755122029</v>
      </c>
      <c r="AZ42">
        <v>1.3973204919999409</v>
      </c>
      <c r="BA42">
        <v>1.409815770331418</v>
      </c>
      <c r="BB42">
        <v>1.358343251250105</v>
      </c>
      <c r="BC42">
        <v>1.3426021694707431</v>
      </c>
      <c r="BD42">
        <v>1.3371950877256209</v>
      </c>
      <c r="BE42">
        <v>1.3763923913491329</v>
      </c>
      <c r="BF42">
        <v>1.343422526545788</v>
      </c>
      <c r="BG42">
        <v>1.332095666668218</v>
      </c>
      <c r="BH42">
        <v>1.368764613383666</v>
      </c>
      <c r="BI42">
        <v>1.3338793838851239</v>
      </c>
      <c r="BJ42">
        <v>1.3638900594103081</v>
      </c>
      <c r="BK42">
        <v>1.3910559402206379</v>
      </c>
      <c r="BL42">
        <v>1.384994973972216</v>
      </c>
      <c r="BM42">
        <v>1.4258802489830751</v>
      </c>
      <c r="BN42">
        <v>1.4199286359936749</v>
      </c>
      <c r="BO42">
        <v>1.407416570019326</v>
      </c>
      <c r="BP42">
        <v>1.420407055256323</v>
      </c>
      <c r="BQ42">
        <v>1.4195104343113261</v>
      </c>
      <c r="BR42">
        <v>1.412077714909421</v>
      </c>
      <c r="BS42">
        <v>1.4012960792996969</v>
      </c>
      <c r="BT42">
        <v>1.4010764569528029</v>
      </c>
      <c r="BU42">
        <v>1.441444178329691</v>
      </c>
      <c r="BV42">
        <v>1.4895370854475849</v>
      </c>
      <c r="BW42">
        <v>1.4520415357549741</v>
      </c>
      <c r="BX42">
        <v>1.472725353020832</v>
      </c>
      <c r="BY42">
        <v>1.4975989407980901</v>
      </c>
      <c r="BZ42">
        <v>1.475054992977741</v>
      </c>
      <c r="CA42">
        <v>1.4736856815802151</v>
      </c>
      <c r="CB42">
        <v>1.5129991397439899</v>
      </c>
    </row>
    <row r="43" spans="1:80" x14ac:dyDescent="0.35">
      <c r="A43" t="s">
        <v>36</v>
      </c>
      <c r="B43">
        <v>0.2176876540396383</v>
      </c>
      <c r="C43">
        <v>0.2305083449844478</v>
      </c>
      <c r="D43">
        <v>0.22986834339961201</v>
      </c>
      <c r="E43">
        <v>0.2375642897109318</v>
      </c>
      <c r="F43">
        <v>0.23441981775418941</v>
      </c>
      <c r="G43">
        <v>0.23624297192489779</v>
      </c>
      <c r="H43">
        <v>0.23803368135494909</v>
      </c>
      <c r="I43">
        <v>0.24131953836301151</v>
      </c>
      <c r="J43">
        <v>0.24153244018572961</v>
      </c>
      <c r="K43">
        <v>0.2375385340698698</v>
      </c>
      <c r="L43">
        <v>0.2240347379181748</v>
      </c>
      <c r="M43">
        <v>0.21808083015827959</v>
      </c>
      <c r="N43">
        <v>0.2331004844358873</v>
      </c>
      <c r="O43">
        <v>0.23616398980651129</v>
      </c>
      <c r="P43">
        <v>0.23466676711757459</v>
      </c>
      <c r="Q43">
        <v>0.23427667674533029</v>
      </c>
      <c r="R43">
        <v>0.23136434964782299</v>
      </c>
      <c r="S43">
        <v>0.23354796170195671</v>
      </c>
      <c r="T43">
        <v>0.23152739774883721</v>
      </c>
      <c r="U43">
        <v>0.2286948394848522</v>
      </c>
      <c r="V43">
        <v>0.2315235252347953</v>
      </c>
      <c r="W43">
        <v>0.231479004638318</v>
      </c>
      <c r="X43">
        <v>0.22997538701283721</v>
      </c>
      <c r="Y43">
        <v>0.23437719728710921</v>
      </c>
      <c r="Z43">
        <v>0.2464879317335209</v>
      </c>
      <c r="AA43">
        <v>0.2450824074631226</v>
      </c>
      <c r="AB43">
        <v>0.2455502471984797</v>
      </c>
      <c r="AC43">
        <v>0.24274224626452351</v>
      </c>
      <c r="AD43">
        <v>0.24310433110967511</v>
      </c>
      <c r="AE43">
        <v>0.24111046022826929</v>
      </c>
      <c r="AF43">
        <v>0.23840214719111211</v>
      </c>
      <c r="AG43">
        <v>0.236991864487992</v>
      </c>
      <c r="AH43">
        <v>0.23979835520428511</v>
      </c>
      <c r="AI43">
        <v>0.23910166445416811</v>
      </c>
      <c r="AJ43">
        <v>0.23302109682131089</v>
      </c>
      <c r="AK43">
        <v>0.23681897971732449</v>
      </c>
      <c r="AL43">
        <v>0.242105777374823</v>
      </c>
      <c r="AM43">
        <v>0.24302205477265701</v>
      </c>
      <c r="AN43">
        <v>0.23960920059889981</v>
      </c>
      <c r="AO43">
        <v>0.23498009267448239</v>
      </c>
      <c r="AP43">
        <v>0.2479328795976676</v>
      </c>
      <c r="AQ43">
        <v>0.2384865003348883</v>
      </c>
      <c r="AR43">
        <v>0.23631230153550889</v>
      </c>
      <c r="AS43">
        <v>0.23067494535476671</v>
      </c>
      <c r="AT43">
        <v>0.22981680687472861</v>
      </c>
      <c r="AU43">
        <v>0.2289761501149758</v>
      </c>
      <c r="AV43">
        <v>0.23444496154076069</v>
      </c>
      <c r="AW43">
        <v>0.2327944764568779</v>
      </c>
      <c r="AX43">
        <v>0.2351315844122005</v>
      </c>
      <c r="AY43">
        <v>0.23714595930358931</v>
      </c>
      <c r="AZ43">
        <v>0.2345560691315218</v>
      </c>
      <c r="BA43">
        <v>0.2336221859621132</v>
      </c>
      <c r="BB43">
        <v>0.23328159170880941</v>
      </c>
      <c r="BC43">
        <v>0.23018783946612911</v>
      </c>
      <c r="BD43">
        <v>0.23053557434399069</v>
      </c>
      <c r="BE43">
        <v>0.23614098104613179</v>
      </c>
      <c r="BF43">
        <v>0.23418543286837501</v>
      </c>
      <c r="BG43">
        <v>0.24015203193045251</v>
      </c>
      <c r="BH43">
        <v>0.23864962200292569</v>
      </c>
      <c r="BI43">
        <v>0.23742248506216279</v>
      </c>
      <c r="BJ43">
        <v>0.24165314307403979</v>
      </c>
      <c r="BK43">
        <v>0.23929634429818941</v>
      </c>
      <c r="BL43">
        <v>0.24229092974423519</v>
      </c>
      <c r="BM43">
        <v>0.2417271230476597</v>
      </c>
      <c r="BN43">
        <v>0.24232425394137749</v>
      </c>
      <c r="BO43">
        <v>0.24304147902387899</v>
      </c>
      <c r="BP43">
        <v>0.2443647017968229</v>
      </c>
      <c r="BQ43">
        <v>0.2414856791605344</v>
      </c>
      <c r="BR43">
        <v>0.2416046948472379</v>
      </c>
      <c r="BS43">
        <v>0.24226898926924989</v>
      </c>
      <c r="BT43">
        <v>0.24070696471284561</v>
      </c>
      <c r="BU43">
        <v>0.24282198283874731</v>
      </c>
      <c r="BV43">
        <v>0.24327327531590981</v>
      </c>
      <c r="BW43">
        <v>0.241890387062839</v>
      </c>
      <c r="BX43">
        <v>0.23953293664788999</v>
      </c>
      <c r="BY43">
        <v>0.23790186937598681</v>
      </c>
      <c r="BZ43">
        <v>0.2412925391078467</v>
      </c>
      <c r="CA43">
        <v>0.23919282626425381</v>
      </c>
      <c r="CB43">
        <v>0.24096984939711791</v>
      </c>
    </row>
    <row r="45" spans="1:80" x14ac:dyDescent="0.35">
      <c r="A45" t="s">
        <v>40</v>
      </c>
      <c r="B45" t="s">
        <v>45</v>
      </c>
      <c r="C45" t="s">
        <v>46</v>
      </c>
      <c r="D45" t="s">
        <v>47</v>
      </c>
      <c r="E45" t="s">
        <v>48</v>
      </c>
      <c r="F45" t="s">
        <v>49</v>
      </c>
      <c r="G45" t="s">
        <v>50</v>
      </c>
      <c r="H45" t="s">
        <v>51</v>
      </c>
      <c r="I45" t="s">
        <v>52</v>
      </c>
      <c r="J45" t="s">
        <v>53</v>
      </c>
      <c r="K45" t="s">
        <v>54</v>
      </c>
      <c r="L45" t="s">
        <v>55</v>
      </c>
      <c r="M45" t="s">
        <v>56</v>
      </c>
      <c r="N45" t="s">
        <v>57</v>
      </c>
      <c r="O45" t="s">
        <v>58</v>
      </c>
      <c r="P45" t="s">
        <v>59</v>
      </c>
      <c r="Q45" t="s">
        <v>60</v>
      </c>
      <c r="R45" t="s">
        <v>61</v>
      </c>
      <c r="S45" t="s">
        <v>62</v>
      </c>
      <c r="T45" t="s">
        <v>63</v>
      </c>
      <c r="U45" t="s">
        <v>64</v>
      </c>
      <c r="V45" t="s">
        <v>65</v>
      </c>
      <c r="W45" t="s">
        <v>66</v>
      </c>
      <c r="X45" t="s">
        <v>67</v>
      </c>
      <c r="Y45" t="s">
        <v>68</v>
      </c>
      <c r="Z45" t="s">
        <v>69</v>
      </c>
      <c r="AA45" t="s">
        <v>70</v>
      </c>
      <c r="AB45" t="s">
        <v>71</v>
      </c>
      <c r="AC45" t="s">
        <v>72</v>
      </c>
      <c r="AD45" t="s">
        <v>73</v>
      </c>
      <c r="AE45" t="s">
        <v>74</v>
      </c>
      <c r="AF45" t="s">
        <v>75</v>
      </c>
      <c r="AG45" t="s">
        <v>76</v>
      </c>
      <c r="AH45" t="s">
        <v>77</v>
      </c>
      <c r="AI45" t="s">
        <v>78</v>
      </c>
      <c r="AJ45" t="s">
        <v>79</v>
      </c>
      <c r="AK45" t="s">
        <v>80</v>
      </c>
      <c r="AL45" t="s">
        <v>81</v>
      </c>
      <c r="AM45" t="s">
        <v>82</v>
      </c>
      <c r="AN45" t="s">
        <v>83</v>
      </c>
      <c r="AO45" t="s">
        <v>84</v>
      </c>
      <c r="AP45" t="s">
        <v>85</v>
      </c>
      <c r="AQ45" t="s">
        <v>86</v>
      </c>
      <c r="AR45" t="s">
        <v>87</v>
      </c>
      <c r="AS45" t="s">
        <v>88</v>
      </c>
      <c r="AT45" t="s">
        <v>89</v>
      </c>
      <c r="AU45" t="s">
        <v>90</v>
      </c>
      <c r="AV45" t="s">
        <v>91</v>
      </c>
      <c r="AW45" t="s">
        <v>92</v>
      </c>
      <c r="AX45" t="s">
        <v>93</v>
      </c>
      <c r="AY45" t="s">
        <v>94</v>
      </c>
      <c r="AZ45" t="s">
        <v>95</v>
      </c>
      <c r="BA45" t="s">
        <v>96</v>
      </c>
      <c r="BB45" t="s">
        <v>97</v>
      </c>
      <c r="BC45" t="s">
        <v>98</v>
      </c>
      <c r="BD45" t="s">
        <v>99</v>
      </c>
      <c r="BE45" t="s">
        <v>100</v>
      </c>
      <c r="BF45" t="s">
        <v>101</v>
      </c>
      <c r="BG45" t="s">
        <v>102</v>
      </c>
      <c r="BH45" t="s">
        <v>103</v>
      </c>
      <c r="BI45" t="s">
        <v>104</v>
      </c>
      <c r="BJ45" t="s">
        <v>105</v>
      </c>
      <c r="BK45" t="s">
        <v>106</v>
      </c>
      <c r="BL45" t="s">
        <v>107</v>
      </c>
      <c r="BM45" t="s">
        <v>108</v>
      </c>
      <c r="BN45" t="s">
        <v>109</v>
      </c>
      <c r="BO45" t="s">
        <v>110</v>
      </c>
      <c r="BP45" t="s">
        <v>111</v>
      </c>
      <c r="BQ45" t="s">
        <v>112</v>
      </c>
      <c r="BR45" t="s">
        <v>113</v>
      </c>
      <c r="BS45" t="s">
        <v>114</v>
      </c>
      <c r="BT45" t="s">
        <v>115</v>
      </c>
      <c r="BU45" t="s">
        <v>116</v>
      </c>
      <c r="BV45" t="s">
        <v>117</v>
      </c>
      <c r="BW45" t="s">
        <v>118</v>
      </c>
      <c r="BX45" t="s">
        <v>119</v>
      </c>
      <c r="BY45" t="s">
        <v>120</v>
      </c>
      <c r="BZ45" t="s">
        <v>121</v>
      </c>
      <c r="CA45" t="s">
        <v>122</v>
      </c>
      <c r="CB45" t="s">
        <v>123</v>
      </c>
    </row>
    <row r="46" spans="1:80" x14ac:dyDescent="0.35">
      <c r="A46" t="s">
        <v>28</v>
      </c>
      <c r="B46">
        <v>129.50896574207951</v>
      </c>
      <c r="C46">
        <v>133.54080522686431</v>
      </c>
      <c r="D46">
        <v>133.15809205910679</v>
      </c>
      <c r="E46">
        <v>130.5821544513594</v>
      </c>
      <c r="F46">
        <v>133.63313200608499</v>
      </c>
      <c r="G46">
        <v>135.91160075831601</v>
      </c>
      <c r="H46">
        <v>136.50886546790491</v>
      </c>
      <c r="I46">
        <v>136.3207549062773</v>
      </c>
      <c r="J46">
        <v>136.1617216587853</v>
      </c>
      <c r="K46">
        <v>135.84763024625681</v>
      </c>
      <c r="L46">
        <v>135.80792530192389</v>
      </c>
      <c r="M46">
        <v>134.5790214664159</v>
      </c>
      <c r="N46">
        <v>134.65321931575821</v>
      </c>
      <c r="O46">
        <v>134.13136954259659</v>
      </c>
      <c r="P46">
        <v>133.38701226486921</v>
      </c>
      <c r="Q46">
        <v>132.19120302218431</v>
      </c>
      <c r="R46">
        <v>131.85768877296829</v>
      </c>
      <c r="S46">
        <v>131.46314719682849</v>
      </c>
      <c r="T46">
        <v>130.43291903967969</v>
      </c>
      <c r="U46">
        <v>132.16013807550411</v>
      </c>
      <c r="V46">
        <v>130.86696330641959</v>
      </c>
      <c r="W46">
        <v>129.98039310991371</v>
      </c>
      <c r="X46">
        <v>129.80978474257839</v>
      </c>
      <c r="Y46">
        <v>128.63716568475019</v>
      </c>
      <c r="Z46">
        <v>128.74015408953321</v>
      </c>
      <c r="AA46">
        <v>129.14211888729849</v>
      </c>
      <c r="AB46">
        <v>129.860220706821</v>
      </c>
      <c r="AC46">
        <v>130.64658420208801</v>
      </c>
      <c r="AD46">
        <v>131.73724619491881</v>
      </c>
      <c r="AE46">
        <v>132.02679572063431</v>
      </c>
      <c r="AF46">
        <v>132.27698549545019</v>
      </c>
      <c r="AG46">
        <v>131.79070254337901</v>
      </c>
      <c r="AH46">
        <v>131.17239876904861</v>
      </c>
      <c r="AI46">
        <v>130.56410185563109</v>
      </c>
      <c r="AJ46">
        <v>131.32262437252271</v>
      </c>
      <c r="AK46">
        <v>131.94604540729401</v>
      </c>
      <c r="AL46">
        <v>132.1000291223117</v>
      </c>
      <c r="AM46">
        <v>132.61410530369861</v>
      </c>
      <c r="AN46">
        <v>133.12916075839809</v>
      </c>
      <c r="AO46">
        <v>133.9007103571725</v>
      </c>
      <c r="AP46">
        <v>134.0931024757532</v>
      </c>
      <c r="AQ46">
        <v>132.52809175919339</v>
      </c>
      <c r="AR46">
        <v>132.38075358636169</v>
      </c>
      <c r="AS46">
        <v>134.18724078176481</v>
      </c>
      <c r="AT46">
        <v>135.02737166772451</v>
      </c>
      <c r="AU46">
        <v>135.0028726527822</v>
      </c>
      <c r="AV46">
        <v>135.0494805455387</v>
      </c>
      <c r="AW46">
        <v>135.92368527485871</v>
      </c>
      <c r="AX46">
        <v>136.1299152716972</v>
      </c>
      <c r="AY46">
        <v>136.13704076577989</v>
      </c>
      <c r="AZ46">
        <v>136.20047353296621</v>
      </c>
      <c r="BA46">
        <v>136.56576793604319</v>
      </c>
      <c r="BB46">
        <v>136.83518203409369</v>
      </c>
      <c r="BC46">
        <v>137.2268802870293</v>
      </c>
      <c r="BD46">
        <v>136.77277112137861</v>
      </c>
      <c r="BE46">
        <v>136.60186141074189</v>
      </c>
      <c r="BF46">
        <v>136.67643022975631</v>
      </c>
      <c r="BG46">
        <v>135.50214550040329</v>
      </c>
      <c r="BH46">
        <v>134.74418460240781</v>
      </c>
      <c r="BI46">
        <v>134.58053724836091</v>
      </c>
      <c r="BJ46">
        <v>134.34082471566001</v>
      </c>
      <c r="BK46">
        <v>133.99741836727529</v>
      </c>
      <c r="BL46">
        <v>134.99803428422979</v>
      </c>
      <c r="BM46">
        <v>136.07606571553319</v>
      </c>
      <c r="BN46">
        <v>136.36307177954589</v>
      </c>
      <c r="BO46">
        <v>136.8806260149297</v>
      </c>
      <c r="BP46">
        <v>137.1667749596904</v>
      </c>
      <c r="BQ46">
        <v>137.01824385104359</v>
      </c>
      <c r="BR46">
        <v>136.77667087771701</v>
      </c>
      <c r="BS46">
        <v>136.93121550787799</v>
      </c>
      <c r="BT46">
        <v>136.82224721792241</v>
      </c>
      <c r="BU46">
        <v>137.9247439790214</v>
      </c>
      <c r="BV46">
        <v>139.54543784807981</v>
      </c>
      <c r="BW46">
        <v>139.6385310363093</v>
      </c>
      <c r="BX46">
        <v>140.13310281101229</v>
      </c>
      <c r="BY46">
        <v>140.49329555747951</v>
      </c>
      <c r="BZ46">
        <v>141.8914668568255</v>
      </c>
      <c r="CA46">
        <v>144.0745300312725</v>
      </c>
      <c r="CB46">
        <v>144.5921927317147</v>
      </c>
    </row>
    <row r="47" spans="1:80" x14ac:dyDescent="0.35">
      <c r="A47" t="s">
        <v>29</v>
      </c>
      <c r="B47">
        <v>0.29908437991587522</v>
      </c>
      <c r="C47">
        <v>0.46075691995242152</v>
      </c>
      <c r="D47">
        <v>0.70455106454510386</v>
      </c>
      <c r="E47">
        <v>0.60435113805056973</v>
      </c>
      <c r="F47">
        <v>0.62466708578141028</v>
      </c>
      <c r="G47">
        <v>0.6105120205203951</v>
      </c>
      <c r="H47">
        <v>0.25825236448896699</v>
      </c>
      <c r="I47">
        <v>0.40934306399841908</v>
      </c>
      <c r="J47">
        <v>0.18304922678799751</v>
      </c>
      <c r="K47">
        <v>-0.68255439074457891</v>
      </c>
      <c r="L47">
        <v>-0.71390990492159778</v>
      </c>
      <c r="M47">
        <v>-1.0324744302338349</v>
      </c>
      <c r="N47">
        <v>-0.42024196951146719</v>
      </c>
      <c r="O47">
        <v>-0.51390756477479416</v>
      </c>
      <c r="P47">
        <v>-0.28563535020862951</v>
      </c>
      <c r="Q47">
        <v>-0.44618232321913193</v>
      </c>
      <c r="R47">
        <v>-0.58548646428529372</v>
      </c>
      <c r="S47">
        <v>-0.90468639475868939</v>
      </c>
      <c r="T47">
        <v>-0.98178248744285501</v>
      </c>
      <c r="U47">
        <v>-1.2210740244224561</v>
      </c>
      <c r="V47">
        <v>-1.489971573537231</v>
      </c>
      <c r="W47">
        <v>-1.156742254071975</v>
      </c>
      <c r="X47">
        <v>-1.5638428729851961</v>
      </c>
      <c r="Y47">
        <v>-1.651321981563407</v>
      </c>
      <c r="Z47">
        <v>-1.3155992921974711</v>
      </c>
      <c r="AA47">
        <v>-1.1290301329697681</v>
      </c>
      <c r="AB47">
        <v>-1.0192533690152139</v>
      </c>
      <c r="AC47">
        <v>-1.0271066638355191</v>
      </c>
      <c r="AD47">
        <v>-0.92345304200231093</v>
      </c>
      <c r="AE47">
        <v>-1.1449389164538339</v>
      </c>
      <c r="AF47">
        <v>-1.555631290468201</v>
      </c>
      <c r="AG47">
        <v>-1.8509481392950931</v>
      </c>
      <c r="AH47">
        <v>-1.8376388554670131</v>
      </c>
      <c r="AI47">
        <v>-1.6993738943783141</v>
      </c>
      <c r="AJ47">
        <v>-1.6139680637000009</v>
      </c>
      <c r="AK47">
        <v>-1.5535525334023901</v>
      </c>
      <c r="AL47">
        <v>-2.2904179547809789</v>
      </c>
      <c r="AM47">
        <v>-1.658608143988429</v>
      </c>
      <c r="AN47">
        <v>-1.737650721773168</v>
      </c>
      <c r="AO47">
        <v>-1.282036873090838</v>
      </c>
      <c r="AP47">
        <v>-0.79448351543321849</v>
      </c>
      <c r="AQ47">
        <v>-1.3871402257617069</v>
      </c>
      <c r="AR47">
        <v>-1.2691563468059761</v>
      </c>
      <c r="AS47">
        <v>-0.7262257405904502</v>
      </c>
      <c r="AT47">
        <v>-0.31683350952514672</v>
      </c>
      <c r="AU47">
        <v>0.20798342568399089</v>
      </c>
      <c r="AV47">
        <v>0.47396706704747882</v>
      </c>
      <c r="AW47">
        <v>0.2468677277358661</v>
      </c>
      <c r="AX47">
        <v>-0.42608342696149099</v>
      </c>
      <c r="AY47">
        <v>-0.28492335511406408</v>
      </c>
      <c r="AZ47">
        <v>-0.91221887747233799</v>
      </c>
      <c r="BA47">
        <v>-0.56195343105336037</v>
      </c>
      <c r="BB47">
        <v>-0.25864356076815243</v>
      </c>
      <c r="BC47">
        <v>-0.246756788484434</v>
      </c>
      <c r="BD47">
        <v>-0.74675702697858248</v>
      </c>
      <c r="BE47">
        <v>-0.54307164288484844</v>
      </c>
      <c r="BF47">
        <v>-0.38154772872068637</v>
      </c>
      <c r="BG47">
        <v>-0.25666403953471489</v>
      </c>
      <c r="BH47">
        <v>-0.35108851528022639</v>
      </c>
      <c r="BI47">
        <v>-0.62181241255419473</v>
      </c>
      <c r="BJ47">
        <v>-0.72191459615331111</v>
      </c>
      <c r="BK47">
        <v>-0.94985333761406276</v>
      </c>
      <c r="BL47">
        <v>-1.303237353891687</v>
      </c>
      <c r="BM47">
        <v>-0.40079288555790099</v>
      </c>
      <c r="BN47">
        <v>0.31512324349802978</v>
      </c>
      <c r="BO47">
        <v>0.69703074565809631</v>
      </c>
      <c r="BP47">
        <v>0.3826161713794185</v>
      </c>
      <c r="BQ47">
        <v>-0.15321985060596649</v>
      </c>
      <c r="BR47">
        <v>-9.3495203848939695E-2</v>
      </c>
      <c r="BS47">
        <v>0.70189209429592792</v>
      </c>
      <c r="BT47">
        <v>0.82981933154295828</v>
      </c>
      <c r="BU47">
        <v>1.104617776649603</v>
      </c>
      <c r="BV47">
        <v>1.1023329513913021</v>
      </c>
      <c r="BW47">
        <v>0.92334229083615582</v>
      </c>
      <c r="BX47">
        <v>0.409740761448455</v>
      </c>
      <c r="BY47">
        <v>0.43013341496197682</v>
      </c>
      <c r="BZ47">
        <v>0.29774114917030042</v>
      </c>
      <c r="CA47">
        <v>0.23605008820793369</v>
      </c>
      <c r="CB47">
        <v>0.32271239116060491</v>
      </c>
    </row>
    <row r="48" spans="1:80" x14ac:dyDescent="0.35">
      <c r="A48" t="s">
        <v>30</v>
      </c>
      <c r="B48">
        <v>11.62894449019837</v>
      </c>
      <c r="C48">
        <v>9.8599742999011983</v>
      </c>
      <c r="D48">
        <v>9.9761693176626238</v>
      </c>
      <c r="E48">
        <v>11.042929731716789</v>
      </c>
      <c r="F48">
        <v>9.9339114548843046</v>
      </c>
      <c r="G48">
        <v>9.0711656522353081</v>
      </c>
      <c r="H48">
        <v>8.7783274600289456</v>
      </c>
      <c r="I48">
        <v>8.9613074287728836</v>
      </c>
      <c r="J48">
        <v>9.0408777073562785</v>
      </c>
      <c r="K48">
        <v>9.0660738793723024</v>
      </c>
      <c r="L48">
        <v>9.0717468700249704</v>
      </c>
      <c r="M48">
        <v>9.5816787479867376</v>
      </c>
      <c r="N48">
        <v>9.5061777523745157</v>
      </c>
      <c r="O48">
        <v>9.7915185456787128</v>
      </c>
      <c r="P48">
        <v>10.07691019293136</v>
      </c>
      <c r="Q48">
        <v>10.66860670758275</v>
      </c>
      <c r="R48">
        <v>10.9264246673294</v>
      </c>
      <c r="S48">
        <v>10.917455073639211</v>
      </c>
      <c r="T48">
        <v>11.266154333539699</v>
      </c>
      <c r="U48">
        <v>10.49368690976347</v>
      </c>
      <c r="V48">
        <v>11.009717526510199</v>
      </c>
      <c r="W48">
        <v>11.452564446201251</v>
      </c>
      <c r="X48">
        <v>11.467118027017341</v>
      </c>
      <c r="Y48">
        <v>11.865918370882889</v>
      </c>
      <c r="Z48">
        <v>11.67224667298326</v>
      </c>
      <c r="AA48">
        <v>11.40119785855264</v>
      </c>
      <c r="AB48">
        <v>11.095079107097151</v>
      </c>
      <c r="AC48">
        <v>10.71690139249746</v>
      </c>
      <c r="AD48">
        <v>10.388492258847389</v>
      </c>
      <c r="AE48">
        <v>10.12869268932401</v>
      </c>
      <c r="AF48">
        <v>9.9496429414305858</v>
      </c>
      <c r="AG48">
        <v>10.0879532643026</v>
      </c>
      <c r="AH48">
        <v>10.153544652156009</v>
      </c>
      <c r="AI48">
        <v>10.4563404071182</v>
      </c>
      <c r="AJ48">
        <v>10.147664094261989</v>
      </c>
      <c r="AK48">
        <v>9.8977024869599894</v>
      </c>
      <c r="AL48">
        <v>9.8236135133864035</v>
      </c>
      <c r="AM48">
        <v>9.8013638084820549</v>
      </c>
      <c r="AN48">
        <v>9.6441796924737364</v>
      </c>
      <c r="AO48">
        <v>9.3744739659840572</v>
      </c>
      <c r="AP48">
        <v>9.347872002937418</v>
      </c>
      <c r="AQ48">
        <v>9.9857634164493678</v>
      </c>
      <c r="AR48">
        <v>10.062772923428801</v>
      </c>
      <c r="AS48">
        <v>9.4027412127792545</v>
      </c>
      <c r="AT48">
        <v>9.0506326527662342</v>
      </c>
      <c r="AU48">
        <v>9.2386316072347707</v>
      </c>
      <c r="AV48">
        <v>9.2998063378926243</v>
      </c>
      <c r="AW48">
        <v>8.8417316712911624</v>
      </c>
      <c r="AX48">
        <v>8.6062952856582395</v>
      </c>
      <c r="AY48">
        <v>8.6952608380136613</v>
      </c>
      <c r="AZ48">
        <v>8.6274747645811143</v>
      </c>
      <c r="BA48">
        <v>8.5330356938002261</v>
      </c>
      <c r="BB48">
        <v>8.5504824457500224</v>
      </c>
      <c r="BC48">
        <v>8.4193459762930445</v>
      </c>
      <c r="BD48">
        <v>8.7124119364397021</v>
      </c>
      <c r="BE48">
        <v>8.81229194156208</v>
      </c>
      <c r="BF48">
        <v>8.89290368773373</v>
      </c>
      <c r="BG48">
        <v>9.6998998051735104</v>
      </c>
      <c r="BH48">
        <v>10.293269671675469</v>
      </c>
      <c r="BI48">
        <v>10.584589838782611</v>
      </c>
      <c r="BJ48">
        <v>10.78824225552771</v>
      </c>
      <c r="BK48">
        <v>11.12450690209187</v>
      </c>
      <c r="BL48">
        <v>10.4124895472122</v>
      </c>
      <c r="BM48">
        <v>9.7132356216812017</v>
      </c>
      <c r="BN48">
        <v>9.6985663185732829</v>
      </c>
      <c r="BO48">
        <v>9.4959474478908295</v>
      </c>
      <c r="BP48">
        <v>9.3540696627061184</v>
      </c>
      <c r="BQ48">
        <v>9.3949293760701913</v>
      </c>
      <c r="BR48">
        <v>9.5319090450882857</v>
      </c>
      <c r="BS48">
        <v>9.5781580998051155</v>
      </c>
      <c r="BT48">
        <v>9.6810676197748435</v>
      </c>
      <c r="BU48">
        <v>9.2986507929493154</v>
      </c>
      <c r="BV48">
        <v>8.3155669005415085</v>
      </c>
      <c r="BW48">
        <v>8.2688480247114065</v>
      </c>
      <c r="BX48">
        <v>7.9903795037474161</v>
      </c>
      <c r="BY48">
        <v>7.7171717480505224</v>
      </c>
      <c r="BZ48">
        <v>6.9272160286777513</v>
      </c>
      <c r="CA48">
        <v>5.9214608428168942</v>
      </c>
      <c r="CB48">
        <v>5.7142747915828336</v>
      </c>
    </row>
    <row r="49" spans="1:80" x14ac:dyDescent="0.35">
      <c r="A49" t="s">
        <v>31</v>
      </c>
      <c r="B49">
        <v>-1.7792239110535339</v>
      </c>
      <c r="C49">
        <v>-0.59997439670926767</v>
      </c>
      <c r="D49">
        <v>0.40846950008964339</v>
      </c>
      <c r="E49">
        <v>0.25522110126813469</v>
      </c>
      <c r="F49">
        <v>-0.54057321108107836</v>
      </c>
      <c r="G49">
        <v>0.43858971556492943</v>
      </c>
      <c r="H49">
        <v>2.7650599175965</v>
      </c>
      <c r="I49">
        <v>3.7024704987930228</v>
      </c>
      <c r="J49">
        <v>2.7556912426012081</v>
      </c>
      <c r="K49">
        <v>1.8472404903832731</v>
      </c>
      <c r="L49">
        <v>1.2253005575915339</v>
      </c>
      <c r="M49">
        <v>1.1139380943260591</v>
      </c>
      <c r="N49">
        <v>0.90960944597725879</v>
      </c>
      <c r="O49">
        <v>0.69251394955553902</v>
      </c>
      <c r="P49">
        <v>2.2448485673946621</v>
      </c>
      <c r="Q49">
        <v>3.1876397124130702</v>
      </c>
      <c r="R49">
        <v>3.1232977029773972</v>
      </c>
      <c r="S49">
        <v>3.2368311708557149</v>
      </c>
      <c r="T49">
        <v>2.6208577786692939</v>
      </c>
      <c r="U49">
        <v>1.6962966260538039</v>
      </c>
      <c r="V49">
        <v>1.237023481296468</v>
      </c>
      <c r="W49">
        <v>1.3763623985313269</v>
      </c>
      <c r="X49">
        <v>1.673564422869553</v>
      </c>
      <c r="Y49">
        <v>0.76660001393842925</v>
      </c>
      <c r="Z49">
        <v>1.038041201952715</v>
      </c>
      <c r="AA49">
        <v>0.86407619189452722</v>
      </c>
      <c r="AB49">
        <v>0.99204108614239561</v>
      </c>
      <c r="AC49">
        <v>1.2885078550580931</v>
      </c>
      <c r="AD49">
        <v>1.369577341490831</v>
      </c>
      <c r="AE49">
        <v>2.6812186410229502</v>
      </c>
      <c r="AF49">
        <v>2.664874317676007</v>
      </c>
      <c r="AG49">
        <v>2.442573463507614</v>
      </c>
      <c r="AH49">
        <v>2.8911407074564131</v>
      </c>
      <c r="AI49">
        <v>2.3600556647564832</v>
      </c>
      <c r="AJ49">
        <v>1.5111842203487069</v>
      </c>
      <c r="AK49">
        <v>1.31808635800638</v>
      </c>
      <c r="AL49">
        <v>1.7162382582938149</v>
      </c>
      <c r="AM49">
        <v>2.3077886877182698</v>
      </c>
      <c r="AN49">
        <v>-0.44933970589043543</v>
      </c>
      <c r="AO49">
        <v>-4.8698835839425589</v>
      </c>
      <c r="AP49">
        <v>2.7099294956724709</v>
      </c>
      <c r="AQ49">
        <v>3.218292664093966</v>
      </c>
      <c r="AR49">
        <v>3.4261895832002418</v>
      </c>
      <c r="AS49">
        <v>3.4792265283947361</v>
      </c>
      <c r="AT49">
        <v>2.8545708994048882</v>
      </c>
      <c r="AU49">
        <v>2.8654421747657222</v>
      </c>
      <c r="AV49">
        <v>2.4260784711907122</v>
      </c>
      <c r="AW49">
        <v>1.9398540808745239</v>
      </c>
      <c r="AX49">
        <v>1.7898593997841981</v>
      </c>
      <c r="AY49">
        <v>2.065191353740242</v>
      </c>
      <c r="AZ49">
        <v>2.6131045818316778</v>
      </c>
      <c r="BA49">
        <v>2.6495273349006521</v>
      </c>
      <c r="BB49">
        <v>2.4699585784330189</v>
      </c>
      <c r="BC49">
        <v>2.4905942629257538</v>
      </c>
      <c r="BD49">
        <v>2.226835026583879</v>
      </c>
      <c r="BE49">
        <v>2.3245359250808679</v>
      </c>
      <c r="BF49">
        <v>2.3665459530654092</v>
      </c>
      <c r="BG49">
        <v>1.8342938823906161</v>
      </c>
      <c r="BH49">
        <v>1.709056787612993</v>
      </c>
      <c r="BI49">
        <v>1.80164870112547</v>
      </c>
      <c r="BJ49">
        <v>1.6511862679594691</v>
      </c>
      <c r="BK49">
        <v>1.876645692449054</v>
      </c>
      <c r="BL49">
        <v>2.306894023706775</v>
      </c>
      <c r="BM49">
        <v>2.3516288631299358</v>
      </c>
      <c r="BN49">
        <v>2.651158651586885</v>
      </c>
      <c r="BO49">
        <v>2.5838799228560401</v>
      </c>
      <c r="BP49">
        <v>2.4493831835201409</v>
      </c>
      <c r="BQ49">
        <v>2.395624979360429</v>
      </c>
      <c r="BR49">
        <v>2.4138582721219368</v>
      </c>
      <c r="BS49">
        <v>2.4909809201424191</v>
      </c>
      <c r="BT49">
        <v>2.3723629084636348</v>
      </c>
      <c r="BU49">
        <v>1.7089265374130149</v>
      </c>
      <c r="BV49">
        <v>1.6766999990272351</v>
      </c>
      <c r="BW49">
        <v>1.8330032767610089</v>
      </c>
      <c r="BX49">
        <v>2.3306338208076158</v>
      </c>
      <c r="BY49">
        <v>2.4435300341300961</v>
      </c>
      <c r="BZ49">
        <v>2.5494628699209372</v>
      </c>
      <c r="CA49">
        <v>1.9662226608788871</v>
      </c>
      <c r="CB49">
        <v>1.890718188508324</v>
      </c>
    </row>
    <row r="50" spans="1:80" x14ac:dyDescent="0.35">
      <c r="A50" t="s">
        <v>32</v>
      </c>
      <c r="B50">
        <v>1.839126774900397</v>
      </c>
      <c r="C50">
        <v>0.68723584533831705</v>
      </c>
      <c r="D50">
        <v>0.53586248601324238</v>
      </c>
      <c r="E50">
        <v>0.30210080672908918</v>
      </c>
      <c r="F50">
        <v>0.24896382821799901</v>
      </c>
      <c r="G50">
        <v>0.21860030856202439</v>
      </c>
      <c r="H50">
        <v>0.38730229990471182</v>
      </c>
      <c r="I50">
        <v>0.29581607944077659</v>
      </c>
      <c r="J50">
        <v>5.1868547374961098E-2</v>
      </c>
      <c r="K50">
        <v>5.7128210560792307E-2</v>
      </c>
      <c r="L50">
        <v>7.0703462892999502E-2</v>
      </c>
      <c r="M50">
        <v>4.5688306738280449E-2</v>
      </c>
      <c r="N50">
        <v>-1.8019560895420339E-2</v>
      </c>
      <c r="O50">
        <v>9.2895998931900314E-2</v>
      </c>
      <c r="P50">
        <v>0.3123041577605945</v>
      </c>
      <c r="Q50">
        <v>0.35757857518859743</v>
      </c>
      <c r="R50">
        <v>0.36485668746096928</v>
      </c>
      <c r="S50">
        <v>0.38401144263993331</v>
      </c>
      <c r="T50">
        <v>0.17757640342043141</v>
      </c>
      <c r="U50">
        <v>0.36222664995497889</v>
      </c>
      <c r="V50">
        <v>0.50278574317087732</v>
      </c>
      <c r="W50">
        <v>0.36280048952919752</v>
      </c>
      <c r="X50">
        <v>0.46245222088545329</v>
      </c>
      <c r="Y50">
        <v>0.39511177363383582</v>
      </c>
      <c r="Z50">
        <v>3.1708361748025722E-2</v>
      </c>
      <c r="AA50">
        <v>3.2512595701479352E-2</v>
      </c>
      <c r="AB50">
        <v>-2.7746440615661339E-2</v>
      </c>
      <c r="AC50">
        <v>-4.9883643930824229E-2</v>
      </c>
      <c r="AD50">
        <v>3.5502166389342329E-3</v>
      </c>
      <c r="AE50">
        <v>2.6203815405352049E-2</v>
      </c>
      <c r="AF50">
        <v>8.6035505018594027E-2</v>
      </c>
      <c r="AG50">
        <v>2.5584912833250258E-2</v>
      </c>
      <c r="AH50">
        <v>-9.308085790350501E-2</v>
      </c>
      <c r="AI50">
        <v>-1.0369214807223619</v>
      </c>
      <c r="AJ50">
        <v>-1.1185112041115011</v>
      </c>
      <c r="AK50">
        <v>-0.28521433382684791</v>
      </c>
      <c r="AL50">
        <v>-0.19065727734676241</v>
      </c>
      <c r="AM50">
        <v>-0.21080898742517479</v>
      </c>
      <c r="AN50">
        <v>-0.13712715469821449</v>
      </c>
      <c r="AO50">
        <v>-0.2177230326874133</v>
      </c>
      <c r="AP50">
        <v>-0.22943349634487989</v>
      </c>
      <c r="AQ50">
        <v>1.0099572318443001E-2</v>
      </c>
      <c r="AR50">
        <v>2.8177193893613169E-2</v>
      </c>
      <c r="AS50">
        <v>4.6474769578570267E-2</v>
      </c>
      <c r="AT50">
        <v>9.6615793231934755E-2</v>
      </c>
      <c r="AU50">
        <v>-3.082555630865013E-2</v>
      </c>
      <c r="AV50">
        <v>-4.1267889821135488E-2</v>
      </c>
      <c r="AW50">
        <v>-0.10242039264923759</v>
      </c>
      <c r="AX50">
        <v>-0.1742592413942681</v>
      </c>
      <c r="AY50">
        <v>-0.30242677410225238</v>
      </c>
      <c r="AZ50">
        <v>-0.22423201810172319</v>
      </c>
      <c r="BA50">
        <v>-0.24407812851072569</v>
      </c>
      <c r="BB50">
        <v>-0.24730435871373629</v>
      </c>
      <c r="BC50">
        <v>-0.14953471557119319</v>
      </c>
      <c r="BD50">
        <v>-9.6635265963540828E-2</v>
      </c>
      <c r="BE50">
        <v>-0.27244385392373138</v>
      </c>
      <c r="BF50">
        <v>-0.18584815368561081</v>
      </c>
      <c r="BG50">
        <v>-0.25363846906604071</v>
      </c>
      <c r="BH50">
        <v>-0.22126191120462521</v>
      </c>
      <c r="BI50">
        <v>-0.1980372623841517</v>
      </c>
      <c r="BJ50">
        <v>-0.19157208768097289</v>
      </c>
      <c r="BK50">
        <v>-0.21915980175881419</v>
      </c>
      <c r="BL50">
        <v>-0.26016234600327148</v>
      </c>
      <c r="BM50">
        <v>-0.1436191557361555</v>
      </c>
      <c r="BN50">
        <v>-0.17703763858216429</v>
      </c>
      <c r="BO50">
        <v>-0.23404375152464879</v>
      </c>
      <c r="BP50">
        <v>-0.24190845877709169</v>
      </c>
      <c r="BQ50">
        <v>-0.17073501170256361</v>
      </c>
      <c r="BR50">
        <v>-0.15981690816025071</v>
      </c>
      <c r="BS50">
        <v>-0.1735839123335875</v>
      </c>
      <c r="BT50">
        <v>-0.1081127515810654</v>
      </c>
      <c r="BU50">
        <v>-0.26644132432140838</v>
      </c>
      <c r="BV50">
        <v>-0.1032224392426703</v>
      </c>
      <c r="BW50">
        <v>-0.20228814841119441</v>
      </c>
      <c r="BX50">
        <v>-0.16929173560862021</v>
      </c>
      <c r="BY50">
        <v>-9.9333996440815475E-2</v>
      </c>
      <c r="BZ50">
        <v>-7.0917937077019377E-2</v>
      </c>
      <c r="CA50">
        <v>-0.1130727821776789</v>
      </c>
      <c r="CB50">
        <v>-0.29735342974993217</v>
      </c>
    </row>
    <row r="51" spans="1:80" x14ac:dyDescent="0.35">
      <c r="A51" t="s">
        <v>33</v>
      </c>
      <c r="B51">
        <v>141.49689747604069</v>
      </c>
      <c r="C51">
        <v>143.94879789534701</v>
      </c>
      <c r="D51">
        <v>144.7831444274174</v>
      </c>
      <c r="E51">
        <v>142.78675722912399</v>
      </c>
      <c r="F51">
        <v>143.9001011638876</v>
      </c>
      <c r="G51">
        <v>146.25046845519859</v>
      </c>
      <c r="H51">
        <v>148.69780750992399</v>
      </c>
      <c r="I51">
        <v>149.68969197728239</v>
      </c>
      <c r="J51">
        <v>148.19320838290579</v>
      </c>
      <c r="K51">
        <v>146.1355184358286</v>
      </c>
      <c r="L51">
        <v>145.46176628751189</v>
      </c>
      <c r="M51">
        <v>144.28785218523311</v>
      </c>
      <c r="N51">
        <v>144.6307449837031</v>
      </c>
      <c r="O51">
        <v>144.19439047198799</v>
      </c>
      <c r="P51">
        <v>145.73543983274709</v>
      </c>
      <c r="Q51">
        <v>145.9588456941496</v>
      </c>
      <c r="R51">
        <v>145.68678136645079</v>
      </c>
      <c r="S51">
        <v>145.09675848920469</v>
      </c>
      <c r="T51">
        <v>143.51572506786621</v>
      </c>
      <c r="U51">
        <v>143.49127423685391</v>
      </c>
      <c r="V51">
        <v>142.12651848385991</v>
      </c>
      <c r="W51">
        <v>142.01537819010349</v>
      </c>
      <c r="X51">
        <v>141.84907654036559</v>
      </c>
      <c r="Y51">
        <v>140.0134738616419</v>
      </c>
      <c r="Z51">
        <v>140.16655103401979</v>
      </c>
      <c r="AA51">
        <v>140.31087540047741</v>
      </c>
      <c r="AB51">
        <v>140.90034109042961</v>
      </c>
      <c r="AC51">
        <v>141.57500314187729</v>
      </c>
      <c r="AD51">
        <v>142.5754129698937</v>
      </c>
      <c r="AE51">
        <v>143.71797194993269</v>
      </c>
      <c r="AF51">
        <v>143.4219069691072</v>
      </c>
      <c r="AG51">
        <v>142.49586604472739</v>
      </c>
      <c r="AH51">
        <v>142.28636441529051</v>
      </c>
      <c r="AI51">
        <v>140.64420255240509</v>
      </c>
      <c r="AJ51">
        <v>140.24899341932189</v>
      </c>
      <c r="AK51">
        <v>141.3230673850311</v>
      </c>
      <c r="AL51">
        <v>141.15880566186419</v>
      </c>
      <c r="AM51">
        <v>142.8538406684853</v>
      </c>
      <c r="AN51">
        <v>140.44922286850999</v>
      </c>
      <c r="AO51">
        <v>136.90554083343571</v>
      </c>
      <c r="AP51">
        <v>145.12698696258499</v>
      </c>
      <c r="AQ51">
        <v>144.35510718629351</v>
      </c>
      <c r="AR51">
        <v>144.6287369400784</v>
      </c>
      <c r="AS51">
        <v>146.38945755192691</v>
      </c>
      <c r="AT51">
        <v>146.71235750360239</v>
      </c>
      <c r="AU51">
        <v>147.28410430415801</v>
      </c>
      <c r="AV51">
        <v>147.20806453184841</v>
      </c>
      <c r="AW51">
        <v>146.84971836211099</v>
      </c>
      <c r="AX51">
        <v>145.9257272887838</v>
      </c>
      <c r="AY51">
        <v>146.3101428283174</v>
      </c>
      <c r="AZ51">
        <v>146.3046019838049</v>
      </c>
      <c r="BA51">
        <v>146.94229940517999</v>
      </c>
      <c r="BB51">
        <v>147.34967513879491</v>
      </c>
      <c r="BC51">
        <v>147.74052902219239</v>
      </c>
      <c r="BD51">
        <v>146.86862579146009</v>
      </c>
      <c r="BE51">
        <v>146.92317378057629</v>
      </c>
      <c r="BF51">
        <v>147.36848398814919</v>
      </c>
      <c r="BG51">
        <v>146.52603667936671</v>
      </c>
      <c r="BH51">
        <v>146.17416063521139</v>
      </c>
      <c r="BI51">
        <v>146.14692611333061</v>
      </c>
      <c r="BJ51">
        <v>145.86676655531289</v>
      </c>
      <c r="BK51">
        <v>145.82955782244329</v>
      </c>
      <c r="BL51">
        <v>146.15401815525379</v>
      </c>
      <c r="BM51">
        <v>147.59651815905031</v>
      </c>
      <c r="BN51">
        <v>148.85088235462189</v>
      </c>
      <c r="BO51">
        <v>149.42344037980999</v>
      </c>
      <c r="BP51">
        <v>149.110935518519</v>
      </c>
      <c r="BQ51">
        <v>148.48484334416571</v>
      </c>
      <c r="BR51">
        <v>148.46912608291811</v>
      </c>
      <c r="BS51">
        <v>149.52866270978791</v>
      </c>
      <c r="BT51">
        <v>149.59738432612269</v>
      </c>
      <c r="BU51">
        <v>149.77049776171191</v>
      </c>
      <c r="BV51">
        <v>150.53681525979721</v>
      </c>
      <c r="BW51">
        <v>150.46143648020669</v>
      </c>
      <c r="BX51">
        <v>150.69456516140721</v>
      </c>
      <c r="BY51">
        <v>150.98479675818129</v>
      </c>
      <c r="BZ51">
        <v>151.5949689675175</v>
      </c>
      <c r="CA51">
        <v>152.08519084099859</v>
      </c>
      <c r="CB51">
        <v>152.2225446732165</v>
      </c>
    </row>
    <row r="52" spans="1:80" x14ac:dyDescent="0.35">
      <c r="A52" t="s">
        <v>34</v>
      </c>
      <c r="B52">
        <v>9993100.8900000006</v>
      </c>
      <c r="C52">
        <v>11037771.23</v>
      </c>
      <c r="D52">
        <v>21642434.199999999</v>
      </c>
      <c r="E52">
        <v>17052874.600000001</v>
      </c>
      <c r="F52">
        <v>15902194.699999999</v>
      </c>
      <c r="G52">
        <v>14118198.699999999</v>
      </c>
      <c r="H52">
        <v>15656192.529999999</v>
      </c>
      <c r="I52">
        <v>16599513.359999999</v>
      </c>
      <c r="J52">
        <v>15164548.060000001</v>
      </c>
      <c r="K52">
        <v>15710924.26</v>
      </c>
      <c r="L52">
        <v>15109476.67</v>
      </c>
      <c r="M52">
        <v>18791818.43</v>
      </c>
      <c r="N52">
        <v>19846908.93</v>
      </c>
      <c r="O52">
        <v>23154940.079999998</v>
      </c>
      <c r="P52">
        <v>47425072.310000002</v>
      </c>
      <c r="Q52">
        <v>50874332.549999997</v>
      </c>
      <c r="R52">
        <v>37937030.75</v>
      </c>
      <c r="S52">
        <v>39097359.130000003</v>
      </c>
      <c r="T52">
        <v>34464023.469999999</v>
      </c>
      <c r="U52">
        <v>31807088.030000001</v>
      </c>
      <c r="V52">
        <v>30374071.559999999</v>
      </c>
      <c r="W52">
        <v>26329812.460000001</v>
      </c>
      <c r="X52">
        <v>23854233.399999999</v>
      </c>
      <c r="Y52">
        <v>23579805.09</v>
      </c>
      <c r="Z52">
        <v>21413966.129999999</v>
      </c>
      <c r="AA52">
        <v>21465467.829999998</v>
      </c>
      <c r="AB52">
        <v>32987794.050000001</v>
      </c>
      <c r="AC52">
        <v>24029138.829999998</v>
      </c>
      <c r="AD52">
        <v>22099159.73</v>
      </c>
      <c r="AE52">
        <v>22340241.760000002</v>
      </c>
      <c r="AF52">
        <v>16069226.34</v>
      </c>
      <c r="AG52">
        <v>20219383.739999998</v>
      </c>
      <c r="AH52">
        <v>20992869.670000002</v>
      </c>
      <c r="AI52">
        <v>22836637.370000001</v>
      </c>
      <c r="AJ52">
        <v>20277505.260000002</v>
      </c>
      <c r="AK52">
        <v>21738738.809999999</v>
      </c>
      <c r="AL52">
        <v>23427554.449999999</v>
      </c>
      <c r="AM52">
        <v>21935612.949999999</v>
      </c>
      <c r="AN52">
        <v>23113297.120000001</v>
      </c>
      <c r="AO52">
        <v>7665036.8600000003</v>
      </c>
      <c r="AP52">
        <v>22423618.18</v>
      </c>
      <c r="AQ52">
        <v>30543973.140000001</v>
      </c>
      <c r="AR52">
        <v>26987044.77</v>
      </c>
      <c r="AS52">
        <v>26268887.02</v>
      </c>
      <c r="AT52">
        <v>21025892.57</v>
      </c>
      <c r="AU52">
        <v>25193003.059999999</v>
      </c>
      <c r="AV52">
        <v>27070990.190000001</v>
      </c>
      <c r="AW52">
        <v>25437709.34</v>
      </c>
      <c r="AX52">
        <v>28605562.629999999</v>
      </c>
      <c r="AY52">
        <v>30945596.02</v>
      </c>
      <c r="AZ52">
        <v>55980120.229999997</v>
      </c>
      <c r="BA52">
        <v>43143733.43</v>
      </c>
      <c r="BB52">
        <v>33170856.539999999</v>
      </c>
      <c r="BC52">
        <v>25532228.899999999</v>
      </c>
      <c r="BD52">
        <v>29641227.550000001</v>
      </c>
      <c r="BE52">
        <v>24873117.460000001</v>
      </c>
      <c r="BF52">
        <v>26538139.870000001</v>
      </c>
      <c r="BG52">
        <v>31791622.100000001</v>
      </c>
      <c r="BH52">
        <v>28146951.18</v>
      </c>
      <c r="BI52">
        <v>32146019.300000001</v>
      </c>
      <c r="BJ52">
        <v>38452559.130000003</v>
      </c>
      <c r="BK52">
        <v>41691974.539999999</v>
      </c>
      <c r="BL52">
        <v>70978039.359999999</v>
      </c>
      <c r="BM52">
        <v>53091558.989999987</v>
      </c>
      <c r="BN52">
        <v>39675697.229999997</v>
      </c>
      <c r="BO52">
        <v>37422826.590000004</v>
      </c>
      <c r="BP52">
        <v>39053427.369999997</v>
      </c>
      <c r="BQ52">
        <v>33437034.600000001</v>
      </c>
      <c r="BR52">
        <v>36171977.130000003</v>
      </c>
      <c r="BS52">
        <v>38482419.890000001</v>
      </c>
      <c r="BT52">
        <v>27220312.309999999</v>
      </c>
      <c r="BU52">
        <v>25710349.010000002</v>
      </c>
      <c r="BV52">
        <v>27067424.379999999</v>
      </c>
      <c r="BW52">
        <v>26545115.27</v>
      </c>
      <c r="BX52">
        <v>42003808.509999998</v>
      </c>
      <c r="BY52">
        <v>26254954.359999999</v>
      </c>
      <c r="BZ52">
        <v>17392589.59</v>
      </c>
      <c r="CA52">
        <v>16770443.52</v>
      </c>
      <c r="CB52">
        <v>5792230.3100000015</v>
      </c>
    </row>
    <row r="53" spans="1:80" x14ac:dyDescent="0.35">
      <c r="A53" t="s">
        <v>35</v>
      </c>
      <c r="B53">
        <v>1.554660230061973</v>
      </c>
      <c r="C53">
        <v>1.4852926115711329</v>
      </c>
      <c r="D53">
        <v>1.425972382347668</v>
      </c>
      <c r="E53">
        <v>1.4349869940430511</v>
      </c>
      <c r="F53">
        <v>1.4817984241812401</v>
      </c>
      <c r="G53">
        <v>1.424200604966769</v>
      </c>
      <c r="H53">
        <v>1.287349416611971</v>
      </c>
      <c r="I53">
        <v>1.232207617718057</v>
      </c>
      <c r="J53">
        <v>1.2879005151411049</v>
      </c>
      <c r="K53">
        <v>1.3413387946833371</v>
      </c>
      <c r="L53">
        <v>1.3779234966122631</v>
      </c>
      <c r="M53">
        <v>1.3844742297455259</v>
      </c>
      <c r="N53">
        <v>1.3964935620013379</v>
      </c>
      <c r="O53">
        <v>1.4092638853202619</v>
      </c>
      <c r="P53">
        <v>1.317950084270902</v>
      </c>
      <c r="Q53">
        <v>1.262491781622761</v>
      </c>
      <c r="R53">
        <v>1.2662766057072119</v>
      </c>
      <c r="S53">
        <v>1.259598166420252</v>
      </c>
      <c r="T53">
        <v>1.295831895372394</v>
      </c>
      <c r="U53">
        <v>1.350217845526247</v>
      </c>
      <c r="V53">
        <v>1.377233912864914</v>
      </c>
      <c r="W53">
        <v>1.369037505968745</v>
      </c>
      <c r="X53">
        <v>1.35155503394885</v>
      </c>
      <c r="Y53">
        <v>1.404905881533034</v>
      </c>
      <c r="Z53">
        <v>1.3889387528263111</v>
      </c>
      <c r="AA53">
        <v>1.399171988712087</v>
      </c>
      <c r="AB53">
        <v>1.391644641991624</v>
      </c>
      <c r="AC53">
        <v>1.3742054202906999</v>
      </c>
      <c r="AD53">
        <v>1.369436626971128</v>
      </c>
      <c r="AE53">
        <v>1.2922812564104149</v>
      </c>
      <c r="AF53">
        <v>1.2932426871955289</v>
      </c>
      <c r="AG53">
        <v>1.3063192080289641</v>
      </c>
      <c r="AH53">
        <v>1.279932899561387</v>
      </c>
      <c r="AI53">
        <v>1.3111731961907951</v>
      </c>
      <c r="AJ53">
        <v>1.3611068105677231</v>
      </c>
      <c r="AK53">
        <v>1.3724655083525661</v>
      </c>
      <c r="AL53">
        <v>1.3490448083356581</v>
      </c>
      <c r="AM53">
        <v>1.314247724251866</v>
      </c>
      <c r="AN53">
        <v>1.4764317474053199</v>
      </c>
      <c r="AO53">
        <v>1.736463740231915</v>
      </c>
      <c r="AP53">
        <v>1.2905923826075021</v>
      </c>
      <c r="AQ53">
        <v>1.260688666818002</v>
      </c>
      <c r="AR53">
        <v>1.2484594362823389</v>
      </c>
      <c r="AS53">
        <v>1.24533961597678</v>
      </c>
      <c r="AT53">
        <v>1.2820840647408891</v>
      </c>
      <c r="AU53">
        <v>1.281444577954957</v>
      </c>
      <c r="AV53">
        <v>1.307289501694664</v>
      </c>
      <c r="AW53">
        <v>1.335890936419146</v>
      </c>
      <c r="AX53">
        <v>1.3447141529538711</v>
      </c>
      <c r="AY53">
        <v>1.3285181556623391</v>
      </c>
      <c r="AZ53">
        <v>1.2962879657746069</v>
      </c>
      <c r="BA53">
        <v>1.2941454508881971</v>
      </c>
      <c r="BB53">
        <v>1.3047083189157049</v>
      </c>
      <c r="BC53">
        <v>1.303494455122014</v>
      </c>
      <c r="BD53">
        <v>1.3190097043185951</v>
      </c>
      <c r="BE53">
        <v>1.3132625926423021</v>
      </c>
      <c r="BF53">
        <v>1.3107914145255639</v>
      </c>
      <c r="BG53">
        <v>1.342100359859375</v>
      </c>
      <c r="BH53">
        <v>1.349467247787471</v>
      </c>
      <c r="BI53">
        <v>1.344020664639678</v>
      </c>
      <c r="BJ53">
        <v>1.3528713960023839</v>
      </c>
      <c r="BK53">
        <v>1.3396090769147611</v>
      </c>
      <c r="BL53">
        <v>1.31430035154666</v>
      </c>
      <c r="BM53">
        <v>1.3116688904041209</v>
      </c>
      <c r="BN53">
        <v>1.2940494910831239</v>
      </c>
      <c r="BO53">
        <v>1.2980070633614089</v>
      </c>
      <c r="BP53">
        <v>1.3059186362635209</v>
      </c>
      <c r="BQ53">
        <v>1.309080883567034</v>
      </c>
      <c r="BR53">
        <v>1.3080083369340041</v>
      </c>
      <c r="BS53">
        <v>1.3034717105798579</v>
      </c>
      <c r="BT53">
        <v>1.3104492406786099</v>
      </c>
      <c r="BU53">
        <v>1.34947490956394</v>
      </c>
      <c r="BV53">
        <v>1.351370588292516</v>
      </c>
      <c r="BW53">
        <v>1.3421762778375881</v>
      </c>
      <c r="BX53">
        <v>1.31290389289367</v>
      </c>
      <c r="BY53">
        <v>1.3062629391688181</v>
      </c>
      <c r="BZ53">
        <v>1.3000315958870039</v>
      </c>
      <c r="CA53">
        <v>1.334339843477713</v>
      </c>
      <c r="CB53">
        <v>1.3387812830289221</v>
      </c>
    </row>
    <row r="54" spans="1:80" x14ac:dyDescent="0.35">
      <c r="A54" t="s">
        <v>36</v>
      </c>
      <c r="B54">
        <v>0.20872676035856569</v>
      </c>
      <c r="C54">
        <v>0.22518234506659551</v>
      </c>
      <c r="D54">
        <v>0.22734482162838221</v>
      </c>
      <c r="E54">
        <v>0.2306842741895844</v>
      </c>
      <c r="F54">
        <v>0.2314433738826</v>
      </c>
      <c r="G54">
        <v>0.2318771384491139</v>
      </c>
      <c r="H54">
        <v>0.22946711000136119</v>
      </c>
      <c r="I54">
        <v>0.23077405600798889</v>
      </c>
      <c r="J54">
        <v>0.23425902075178631</v>
      </c>
      <c r="K54">
        <v>0.23418388270627441</v>
      </c>
      <c r="L54">
        <v>0.23398995053009999</v>
      </c>
      <c r="M54">
        <v>0.23434730990373881</v>
      </c>
      <c r="N54">
        <v>0.23525742229850599</v>
      </c>
      <c r="O54">
        <v>0.23367291430097281</v>
      </c>
      <c r="P54">
        <v>0.23053851203199149</v>
      </c>
      <c r="Q54">
        <v>0.22989173464016291</v>
      </c>
      <c r="R54">
        <v>0.2297877616077004</v>
      </c>
      <c r="S54">
        <v>0.22951412224800091</v>
      </c>
      <c r="T54">
        <v>0.232463194236851</v>
      </c>
      <c r="U54">
        <v>0.22982533357207169</v>
      </c>
      <c r="V54">
        <v>0.22781734652613031</v>
      </c>
      <c r="W54">
        <v>0.22981713586386859</v>
      </c>
      <c r="X54">
        <v>0.22839353970163639</v>
      </c>
      <c r="Y54">
        <v>0.22935554609094519</v>
      </c>
      <c r="Z54">
        <v>0.23454702340359959</v>
      </c>
      <c r="AA54">
        <v>0.23453553434712171</v>
      </c>
      <c r="AB54">
        <v>0.23539637772308089</v>
      </c>
      <c r="AC54">
        <v>0.23571262348472599</v>
      </c>
      <c r="AD54">
        <v>0.23494928261944381</v>
      </c>
      <c r="AE54">
        <v>0.2346256597799235</v>
      </c>
      <c r="AF54">
        <v>0.23377092135687719</v>
      </c>
      <c r="AG54">
        <v>0.2346345012452393</v>
      </c>
      <c r="AH54">
        <v>0.2363297265414786</v>
      </c>
      <c r="AI54">
        <v>0.24981316401031939</v>
      </c>
      <c r="AJ54">
        <v>0.25097873148730709</v>
      </c>
      <c r="AK54">
        <v>0.2390744904832407</v>
      </c>
      <c r="AL54">
        <v>0.23772367539066799</v>
      </c>
      <c r="AM54">
        <v>0.2380115569632168</v>
      </c>
      <c r="AN54">
        <v>0.23695895935283159</v>
      </c>
      <c r="AO54">
        <v>0.2381103290383916</v>
      </c>
      <c r="AP54">
        <v>0.23827762137635539</v>
      </c>
      <c r="AQ54">
        <v>0.2348557203954508</v>
      </c>
      <c r="AR54">
        <v>0.23459746865866271</v>
      </c>
      <c r="AS54">
        <v>0.2343360747203061</v>
      </c>
      <c r="AT54">
        <v>0.23361977438240089</v>
      </c>
      <c r="AU54">
        <v>0.23544036509012359</v>
      </c>
      <c r="AV54">
        <v>0.23558954128315909</v>
      </c>
      <c r="AW54">
        <v>0.23646314846641769</v>
      </c>
      <c r="AX54">
        <v>0.23748941773420379</v>
      </c>
      <c r="AY54">
        <v>0.23932038248717499</v>
      </c>
      <c r="AZ54">
        <v>0.23820331454431029</v>
      </c>
      <c r="BA54">
        <v>0.2384868304072961</v>
      </c>
      <c r="BB54">
        <v>0.23853291941019619</v>
      </c>
      <c r="BC54">
        <v>0.2371362102224456</v>
      </c>
      <c r="BD54">
        <v>0.23638050379947911</v>
      </c>
      <c r="BE54">
        <v>0.23889205505605329</v>
      </c>
      <c r="BF54">
        <v>0.23765497362408011</v>
      </c>
      <c r="BG54">
        <v>0.2386234067009434</v>
      </c>
      <c r="BH54">
        <v>0.23816088444578029</v>
      </c>
      <c r="BI54">
        <v>0.23782910374834501</v>
      </c>
      <c r="BJ54">
        <v>0.2377367441097282</v>
      </c>
      <c r="BK54">
        <v>0.23813085431084019</v>
      </c>
      <c r="BL54">
        <v>0.23871660494290389</v>
      </c>
      <c r="BM54">
        <v>0.23705170222480221</v>
      </c>
      <c r="BN54">
        <v>0.23752910912260231</v>
      </c>
      <c r="BO54">
        <v>0.2383434821646378</v>
      </c>
      <c r="BP54">
        <v>0.23845583512538701</v>
      </c>
      <c r="BQ54">
        <v>0.23743907159575089</v>
      </c>
      <c r="BR54">
        <v>0.2372830986880036</v>
      </c>
      <c r="BS54">
        <v>0.23747977017619409</v>
      </c>
      <c r="BT54">
        <v>0.23654446787972949</v>
      </c>
      <c r="BU54">
        <v>0.23880630463316299</v>
      </c>
      <c r="BV54">
        <v>0.2364746062748953</v>
      </c>
      <c r="BW54">
        <v>0.23788983069158851</v>
      </c>
      <c r="BX54">
        <v>0.23741845336583739</v>
      </c>
      <c r="BY54">
        <v>0.23641905709201161</v>
      </c>
      <c r="BZ54">
        <v>0.23601311338681449</v>
      </c>
      <c r="CA54">
        <v>0.23661532545968109</v>
      </c>
      <c r="CB54">
        <v>0.23924790613928471</v>
      </c>
    </row>
    <row r="56" spans="1:80" x14ac:dyDescent="0.35">
      <c r="A56" t="s">
        <v>41</v>
      </c>
      <c r="B56" t="s">
        <v>45</v>
      </c>
      <c r="C56" t="s">
        <v>46</v>
      </c>
      <c r="D56" t="s">
        <v>47</v>
      </c>
      <c r="E56" t="s">
        <v>48</v>
      </c>
      <c r="F56" t="s">
        <v>49</v>
      </c>
      <c r="G56" t="s">
        <v>50</v>
      </c>
      <c r="H56" t="s">
        <v>51</v>
      </c>
      <c r="I56" t="s">
        <v>52</v>
      </c>
      <c r="J56" t="s">
        <v>53</v>
      </c>
      <c r="K56" t="s">
        <v>54</v>
      </c>
      <c r="L56" t="s">
        <v>55</v>
      </c>
      <c r="M56" t="s">
        <v>56</v>
      </c>
      <c r="N56" t="s">
        <v>57</v>
      </c>
      <c r="O56" t="s">
        <v>58</v>
      </c>
      <c r="P56" t="s">
        <v>59</v>
      </c>
      <c r="Q56" t="s">
        <v>60</v>
      </c>
      <c r="R56" t="s">
        <v>61</v>
      </c>
      <c r="S56" t="s">
        <v>62</v>
      </c>
      <c r="T56" t="s">
        <v>63</v>
      </c>
      <c r="U56" t="s">
        <v>64</v>
      </c>
      <c r="V56" t="s">
        <v>65</v>
      </c>
      <c r="W56" t="s">
        <v>66</v>
      </c>
      <c r="X56" t="s">
        <v>67</v>
      </c>
      <c r="Y56" t="s">
        <v>68</v>
      </c>
      <c r="Z56" t="s">
        <v>69</v>
      </c>
      <c r="AA56" t="s">
        <v>70</v>
      </c>
      <c r="AB56" t="s">
        <v>71</v>
      </c>
      <c r="AC56" t="s">
        <v>72</v>
      </c>
      <c r="AD56" t="s">
        <v>73</v>
      </c>
      <c r="AE56" t="s">
        <v>74</v>
      </c>
      <c r="AF56" t="s">
        <v>75</v>
      </c>
      <c r="AG56" t="s">
        <v>76</v>
      </c>
      <c r="AH56" t="s">
        <v>77</v>
      </c>
      <c r="AI56" t="s">
        <v>78</v>
      </c>
      <c r="AJ56" t="s">
        <v>79</v>
      </c>
      <c r="AK56" t="s">
        <v>80</v>
      </c>
      <c r="AL56" t="s">
        <v>81</v>
      </c>
      <c r="AM56" t="s">
        <v>82</v>
      </c>
      <c r="AN56" t="s">
        <v>83</v>
      </c>
      <c r="AO56" t="s">
        <v>84</v>
      </c>
      <c r="AP56" t="s">
        <v>85</v>
      </c>
      <c r="AQ56" t="s">
        <v>86</v>
      </c>
      <c r="AR56" t="s">
        <v>87</v>
      </c>
      <c r="AS56" t="s">
        <v>88</v>
      </c>
      <c r="AT56" t="s">
        <v>89</v>
      </c>
      <c r="AU56" t="s">
        <v>90</v>
      </c>
      <c r="AV56" t="s">
        <v>91</v>
      </c>
      <c r="AW56" t="s">
        <v>92</v>
      </c>
      <c r="AX56" t="s">
        <v>93</v>
      </c>
      <c r="AY56" t="s">
        <v>94</v>
      </c>
      <c r="AZ56" t="s">
        <v>95</v>
      </c>
      <c r="BA56" t="s">
        <v>96</v>
      </c>
      <c r="BB56" t="s">
        <v>97</v>
      </c>
      <c r="BC56" t="s">
        <v>98</v>
      </c>
      <c r="BD56" t="s">
        <v>99</v>
      </c>
      <c r="BE56" t="s">
        <v>100</v>
      </c>
      <c r="BF56" t="s">
        <v>101</v>
      </c>
      <c r="BG56" t="s">
        <v>102</v>
      </c>
      <c r="BH56" t="s">
        <v>103</v>
      </c>
      <c r="BI56" t="s">
        <v>104</v>
      </c>
      <c r="BJ56" t="s">
        <v>105</v>
      </c>
      <c r="BK56" t="s">
        <v>106</v>
      </c>
      <c r="BL56" t="s">
        <v>107</v>
      </c>
      <c r="BM56" t="s">
        <v>108</v>
      </c>
      <c r="BN56" t="s">
        <v>109</v>
      </c>
      <c r="BO56" t="s">
        <v>110</v>
      </c>
      <c r="BP56" t="s">
        <v>111</v>
      </c>
      <c r="BQ56" t="s">
        <v>112</v>
      </c>
      <c r="BR56" t="s">
        <v>113</v>
      </c>
      <c r="BS56" t="s">
        <v>114</v>
      </c>
      <c r="BT56" t="s">
        <v>115</v>
      </c>
      <c r="BU56" t="s">
        <v>116</v>
      </c>
      <c r="BV56" t="s">
        <v>117</v>
      </c>
      <c r="BW56" t="s">
        <v>118</v>
      </c>
      <c r="BX56" t="s">
        <v>119</v>
      </c>
      <c r="BY56" t="s">
        <v>120</v>
      </c>
      <c r="BZ56" t="s">
        <v>121</v>
      </c>
      <c r="CA56" t="s">
        <v>122</v>
      </c>
      <c r="CB56" t="s">
        <v>123</v>
      </c>
    </row>
    <row r="57" spans="1:80" x14ac:dyDescent="0.35">
      <c r="A57" t="s">
        <v>28</v>
      </c>
      <c r="B57">
        <v>138.4460812560217</v>
      </c>
      <c r="C57">
        <v>138.44665063844721</v>
      </c>
      <c r="D57">
        <v>138.12961916523361</v>
      </c>
      <c r="E57">
        <v>138.69712186570109</v>
      </c>
      <c r="F57">
        <v>139.9590660457836</v>
      </c>
      <c r="G57">
        <v>140.49601876925081</v>
      </c>
      <c r="H57">
        <v>140.55892187062901</v>
      </c>
      <c r="I57">
        <v>140.11362133119471</v>
      </c>
      <c r="J57">
        <v>139.88882395924369</v>
      </c>
      <c r="K57">
        <v>139.321577075683</v>
      </c>
      <c r="L57">
        <v>138.75338839919351</v>
      </c>
      <c r="M57">
        <v>138.99907363056809</v>
      </c>
      <c r="N57">
        <v>138.6047384114585</v>
      </c>
      <c r="O57">
        <v>137.92646191347961</v>
      </c>
      <c r="P57">
        <v>137.85772425362271</v>
      </c>
      <c r="Q57">
        <v>138.29189223113229</v>
      </c>
      <c r="R57">
        <v>138.2816751450479</v>
      </c>
      <c r="S57">
        <v>138.094566351597</v>
      </c>
      <c r="T57">
        <v>136.94866934511401</v>
      </c>
      <c r="U57">
        <v>138.40395624937909</v>
      </c>
      <c r="V57">
        <v>136.912482025245</v>
      </c>
      <c r="W57">
        <v>136.9737312036481</v>
      </c>
      <c r="X57">
        <v>136.4811577597238</v>
      </c>
      <c r="Y57">
        <v>136.1947322626155</v>
      </c>
      <c r="Z57">
        <v>135.851402006477</v>
      </c>
      <c r="AA57">
        <v>136.73054755421359</v>
      </c>
      <c r="AB57">
        <v>136.98935970279581</v>
      </c>
      <c r="AC57">
        <v>137.5750405744522</v>
      </c>
      <c r="AD57">
        <v>137.31330308052699</v>
      </c>
      <c r="AE57">
        <v>137.81801152896651</v>
      </c>
      <c r="AF57">
        <v>138.2754784696167</v>
      </c>
      <c r="AG57">
        <v>138.59190845584749</v>
      </c>
      <c r="AH57">
        <v>138.44427763115269</v>
      </c>
      <c r="AI57">
        <v>139.23448604179379</v>
      </c>
      <c r="AJ57">
        <v>140.11200066166501</v>
      </c>
      <c r="AK57">
        <v>140.53494595862171</v>
      </c>
      <c r="AL57">
        <v>141.24289618427741</v>
      </c>
      <c r="AM57">
        <v>140.8879247269812</v>
      </c>
      <c r="AN57">
        <v>141.10198899900789</v>
      </c>
      <c r="AO57">
        <v>141.28536266056821</v>
      </c>
      <c r="AP57">
        <v>141.4818793524872</v>
      </c>
      <c r="AQ57">
        <v>141.50586513489301</v>
      </c>
      <c r="AR57">
        <v>141.42951426163029</v>
      </c>
      <c r="AS57">
        <v>141.40805572157799</v>
      </c>
      <c r="AT57">
        <v>141.12456015497199</v>
      </c>
      <c r="AU57">
        <v>141.0350968791079</v>
      </c>
      <c r="AV57">
        <v>141.62591326034749</v>
      </c>
      <c r="AW57">
        <v>141.56003634286941</v>
      </c>
      <c r="AX57">
        <v>141.2333409828301</v>
      </c>
      <c r="AY57">
        <v>140.0457333624889</v>
      </c>
      <c r="AZ57">
        <v>141.04700864280841</v>
      </c>
      <c r="BA57">
        <v>141.36604337504909</v>
      </c>
      <c r="BB57">
        <v>141.37349670904109</v>
      </c>
      <c r="BC57">
        <v>141.10527517919701</v>
      </c>
      <c r="BD57">
        <v>140.80767419893391</v>
      </c>
      <c r="BE57">
        <v>140.8341391881047</v>
      </c>
      <c r="BF57">
        <v>141.16757164453099</v>
      </c>
      <c r="BG57">
        <v>141.15144869134039</v>
      </c>
      <c r="BH57">
        <v>140.71429509363909</v>
      </c>
      <c r="BI57">
        <v>140.7487288679838</v>
      </c>
      <c r="BJ57">
        <v>141.00121824633661</v>
      </c>
      <c r="BK57">
        <v>140.7285040089682</v>
      </c>
      <c r="BL57">
        <v>140.80008260655171</v>
      </c>
      <c r="BM57">
        <v>140.87770637441739</v>
      </c>
      <c r="BN57">
        <v>140.87478976723051</v>
      </c>
      <c r="BO57">
        <v>140.9937582327089</v>
      </c>
      <c r="BP57">
        <v>141.08977979494219</v>
      </c>
      <c r="BQ57">
        <v>140.83517049878949</v>
      </c>
      <c r="BR57">
        <v>140.90427216115569</v>
      </c>
      <c r="BS57">
        <v>141.1235142880129</v>
      </c>
      <c r="BT57">
        <v>141.48870158760911</v>
      </c>
      <c r="BU57">
        <v>142.21100059793349</v>
      </c>
      <c r="BV57">
        <v>142.1352953706467</v>
      </c>
      <c r="BW57">
        <v>142.34958687909739</v>
      </c>
      <c r="BX57">
        <v>142.59000410441951</v>
      </c>
      <c r="BY57">
        <v>142.8933386867358</v>
      </c>
      <c r="BZ57">
        <v>142.9384355854111</v>
      </c>
      <c r="CA57">
        <v>142.91456423985781</v>
      </c>
    </row>
    <row r="58" spans="1:80" x14ac:dyDescent="0.35">
      <c r="A58" t="s">
        <v>29</v>
      </c>
      <c r="B58">
        <v>2.6008205069980468</v>
      </c>
      <c r="C58">
        <v>2.5543549009106199</v>
      </c>
      <c r="D58">
        <v>2.6117346798732402</v>
      </c>
      <c r="E58">
        <v>2.4554207171207438</v>
      </c>
      <c r="F58">
        <v>2.3148821228186098</v>
      </c>
      <c r="G58">
        <v>2.2869616201472742</v>
      </c>
      <c r="H58">
        <v>2.218246828264439</v>
      </c>
      <c r="I58">
        <v>2.192738836873743</v>
      </c>
      <c r="J58">
        <v>2.2601213582155442</v>
      </c>
      <c r="K58">
        <v>2.3022057615520182</v>
      </c>
      <c r="L58">
        <v>2.2642693884251481</v>
      </c>
      <c r="M58">
        <v>2.1621730295770032</v>
      </c>
      <c r="N58">
        <v>2.1784180823182462</v>
      </c>
      <c r="O58">
        <v>2.3402618510574249</v>
      </c>
      <c r="P58">
        <v>2.3056508387550791</v>
      </c>
      <c r="Q58">
        <v>2.1493129875041759</v>
      </c>
      <c r="R58">
        <v>2.0930468983193822</v>
      </c>
      <c r="S58">
        <v>2.1372318181103731</v>
      </c>
      <c r="T58">
        <v>2.3266030406931888</v>
      </c>
      <c r="U58">
        <v>1.608640812982314</v>
      </c>
      <c r="V58">
        <v>1.6070973426868771</v>
      </c>
      <c r="W58">
        <v>1.6111989038093779</v>
      </c>
      <c r="X58">
        <v>1.45318734037361</v>
      </c>
      <c r="Y58">
        <v>1.531921759927688</v>
      </c>
      <c r="Z58">
        <v>1.37291350296596</v>
      </c>
      <c r="AA58">
        <v>0.87349951142644511</v>
      </c>
      <c r="AB58">
        <v>0.83696627631836651</v>
      </c>
      <c r="AC58">
        <v>0.9421010889925695</v>
      </c>
      <c r="AD58">
        <v>0.84691191712010805</v>
      </c>
      <c r="AE58">
        <v>0.77524717087648676</v>
      </c>
      <c r="AF58">
        <v>0.72437285520230421</v>
      </c>
      <c r="AG58">
        <v>0.68701210374994681</v>
      </c>
      <c r="AH58">
        <v>0.64490052913129881</v>
      </c>
      <c r="AI58">
        <v>0.84694490013171764</v>
      </c>
      <c r="AJ58">
        <v>0.62436093406076187</v>
      </c>
      <c r="AK58">
        <v>0.59604700760857943</v>
      </c>
      <c r="AL58">
        <v>0.76135021015163407</v>
      </c>
      <c r="AM58">
        <v>0.50480620705810608</v>
      </c>
      <c r="AN58">
        <v>0.32801141890354241</v>
      </c>
      <c r="AO58">
        <v>0.46777690098976499</v>
      </c>
      <c r="AP58">
        <v>0.65413994477529913</v>
      </c>
      <c r="AQ58">
        <v>0.64999394941561695</v>
      </c>
      <c r="AR58">
        <v>0.69734590361071191</v>
      </c>
      <c r="AS58">
        <v>0.61504422856269925</v>
      </c>
      <c r="AT58">
        <v>0.72304015019146317</v>
      </c>
      <c r="AU58">
        <v>0.58663137302405888</v>
      </c>
      <c r="AV58">
        <v>0.74039906530853883</v>
      </c>
      <c r="AW58">
        <v>0.95907201729067926</v>
      </c>
      <c r="AX58">
        <v>0.62120616115699934</v>
      </c>
      <c r="AY58">
        <v>0.4719001977992841</v>
      </c>
      <c r="AZ58">
        <v>0.72736055993719706</v>
      </c>
      <c r="BA58">
        <v>0.91982512758448021</v>
      </c>
      <c r="BB58">
        <v>1.040801291230661</v>
      </c>
      <c r="BC58">
        <v>1.0880648998906479</v>
      </c>
      <c r="BD58">
        <v>0.97839338390872299</v>
      </c>
      <c r="BE58">
        <v>0.88977451239120442</v>
      </c>
      <c r="BF58">
        <v>0.82175584823051584</v>
      </c>
      <c r="BG58">
        <v>0.8168338256826897</v>
      </c>
      <c r="BH58">
        <v>0.6459282284877691</v>
      </c>
      <c r="BI58">
        <v>0.41216804865333978</v>
      </c>
      <c r="BJ58">
        <v>0.44541333150659329</v>
      </c>
      <c r="BK58">
        <v>0.26155311033039208</v>
      </c>
      <c r="BL58">
        <v>0.22403666638182601</v>
      </c>
      <c r="BM58">
        <v>0.73142208577214229</v>
      </c>
      <c r="BN58">
        <v>0.92906667037282276</v>
      </c>
      <c r="BO58">
        <v>0.98093468329251465</v>
      </c>
      <c r="BP58">
        <v>0.89008496531100201</v>
      </c>
      <c r="BQ58">
        <v>0.47448937066934738</v>
      </c>
      <c r="BR58">
        <v>0.49227331324937412</v>
      </c>
      <c r="BS58">
        <v>0.71995202808343106</v>
      </c>
      <c r="BT58">
        <v>0.58320279812902065</v>
      </c>
      <c r="BU58">
        <v>0.45425176469337719</v>
      </c>
      <c r="BV58">
        <v>0.43498967574141889</v>
      </c>
      <c r="BW58">
        <v>0.39777852277448028</v>
      </c>
      <c r="BX58">
        <v>0.16501019491873259</v>
      </c>
      <c r="BY58">
        <v>0.47709158789093931</v>
      </c>
      <c r="BZ58">
        <v>0.1136606527674467</v>
      </c>
      <c r="CA58">
        <v>1.2809680219700781E-2</v>
      </c>
    </row>
    <row r="59" spans="1:80" x14ac:dyDescent="0.35">
      <c r="A59" t="s">
        <v>30</v>
      </c>
      <c r="B59">
        <v>6.2432107003752719</v>
      </c>
      <c r="C59">
        <v>6.2234379239967907</v>
      </c>
      <c r="D59">
        <v>6.3610656997697044</v>
      </c>
      <c r="E59">
        <v>6.1601250695839038</v>
      </c>
      <c r="F59">
        <v>5.6232909496878678</v>
      </c>
      <c r="G59">
        <v>5.4108490464343886</v>
      </c>
      <c r="H59">
        <v>5.3508338633182158</v>
      </c>
      <c r="I59">
        <v>5.5169364291728176</v>
      </c>
      <c r="J59">
        <v>5.6405611550583492</v>
      </c>
      <c r="K59">
        <v>5.9069169279775533</v>
      </c>
      <c r="L59">
        <v>6.2187273203029427</v>
      </c>
      <c r="M59">
        <v>6.1318952443699226</v>
      </c>
      <c r="N59">
        <v>6.2816528143755939</v>
      </c>
      <c r="O59">
        <v>6.5993002919586869</v>
      </c>
      <c r="P59">
        <v>6.642688203235517</v>
      </c>
      <c r="Q59">
        <v>6.4818750491655699</v>
      </c>
      <c r="R59">
        <v>6.4793713965816533</v>
      </c>
      <c r="S59">
        <v>6.6675330688147421</v>
      </c>
      <c r="T59">
        <v>7.2585953244306562</v>
      </c>
      <c r="U59">
        <v>6.5717426155105123</v>
      </c>
      <c r="V59">
        <v>7.2293450808351283</v>
      </c>
      <c r="W59">
        <v>7.1114370020528321</v>
      </c>
      <c r="X59">
        <v>7.269192163723166</v>
      </c>
      <c r="Y59">
        <v>7.4115567143743251</v>
      </c>
      <c r="Z59">
        <v>7.5785587963730459</v>
      </c>
      <c r="AA59">
        <v>7.1401381940124944</v>
      </c>
      <c r="AB59">
        <v>7.0414130893094677</v>
      </c>
      <c r="AC59">
        <v>6.7236519329353133</v>
      </c>
      <c r="AD59">
        <v>6.7659982078183889</v>
      </c>
      <c r="AE59">
        <v>6.5368861076757518</v>
      </c>
      <c r="AF59">
        <v>6.3062391350505553</v>
      </c>
      <c r="AG59">
        <v>6.167562361192144</v>
      </c>
      <c r="AH59">
        <v>6.2222965920488216</v>
      </c>
      <c r="AI59">
        <v>5.883260997456655</v>
      </c>
      <c r="AJ59">
        <v>5.5211566965095624</v>
      </c>
      <c r="AK59">
        <v>5.2921337842745899</v>
      </c>
      <c r="AL59">
        <v>4.9754653747547462</v>
      </c>
      <c r="AM59">
        <v>5.1003349349566074</v>
      </c>
      <c r="AN59">
        <v>5.0186584513606878</v>
      </c>
      <c r="AO59">
        <v>5.0037532109145921</v>
      </c>
      <c r="AP59">
        <v>4.9471476600207049</v>
      </c>
      <c r="AQ59">
        <v>4.9402238623541521</v>
      </c>
      <c r="AR59">
        <v>4.9279865520536248</v>
      </c>
      <c r="AS59">
        <v>4.9900190119355212</v>
      </c>
      <c r="AT59">
        <v>5.0917233143043754</v>
      </c>
      <c r="AU59">
        <v>5.1957959007331223</v>
      </c>
      <c r="AV59">
        <v>4.892302062254573</v>
      </c>
      <c r="AW59">
        <v>4.9884779815079057</v>
      </c>
      <c r="AX59">
        <v>5.1138595710507104</v>
      </c>
      <c r="AY59">
        <v>5.5640715223907131</v>
      </c>
      <c r="AZ59">
        <v>5.1186286547630457</v>
      </c>
      <c r="BA59">
        <v>5.0432349805128496</v>
      </c>
      <c r="BB59">
        <v>5.0434675351905991</v>
      </c>
      <c r="BC59">
        <v>5.1506581415040387</v>
      </c>
      <c r="BD59">
        <v>5.240669165249968</v>
      </c>
      <c r="BE59">
        <v>5.1809117135090794</v>
      </c>
      <c r="BF59">
        <v>5.0173878420750606</v>
      </c>
      <c r="BG59">
        <v>5.0435360532929998</v>
      </c>
      <c r="BH59">
        <v>5.2423061407520066</v>
      </c>
      <c r="BI59">
        <v>5.1927512821499544</v>
      </c>
      <c r="BJ59">
        <v>5.0899191742912597</v>
      </c>
      <c r="BK59">
        <v>5.2025662377523867</v>
      </c>
      <c r="BL59">
        <v>5.1974778813935814</v>
      </c>
      <c r="BM59">
        <v>5.1851216308912722</v>
      </c>
      <c r="BN59">
        <v>5.2645878778716044</v>
      </c>
      <c r="BO59">
        <v>5.2375588480471533</v>
      </c>
      <c r="BP59">
        <v>5.2014871942836347</v>
      </c>
      <c r="BQ59">
        <v>5.3478734181486134</v>
      </c>
      <c r="BR59">
        <v>5.2874273785270223</v>
      </c>
      <c r="BS59">
        <v>5.2129983664143653</v>
      </c>
      <c r="BT59">
        <v>5.0428721349077179</v>
      </c>
      <c r="BU59">
        <v>4.8184826579516518</v>
      </c>
      <c r="BV59">
        <v>4.8027602067335007</v>
      </c>
      <c r="BW59">
        <v>4.6663890517425788</v>
      </c>
      <c r="BX59">
        <v>4.5736166503653291</v>
      </c>
      <c r="BY59">
        <v>4.4800037758300846</v>
      </c>
      <c r="BZ59">
        <v>4.4518606715723443</v>
      </c>
      <c r="CA59">
        <v>4.4172890377109892</v>
      </c>
    </row>
    <row r="60" spans="1:80" x14ac:dyDescent="0.35">
      <c r="A60" t="s">
        <v>31</v>
      </c>
      <c r="B60">
        <v>-1.77985945418263</v>
      </c>
      <c r="C60">
        <v>-1.400211879395141</v>
      </c>
      <c r="D60">
        <v>-0.98478489297113325</v>
      </c>
      <c r="E60">
        <v>-1.774211126757574</v>
      </c>
      <c r="F60">
        <v>-1.9691824144741099</v>
      </c>
      <c r="G60">
        <v>-1.322803650775932</v>
      </c>
      <c r="H60">
        <v>-0.199523188538102</v>
      </c>
      <c r="I60">
        <v>0.35053461253111889</v>
      </c>
      <c r="J60">
        <v>-4.9525202456301307E-2</v>
      </c>
      <c r="K60">
        <v>-0.99121685705257967</v>
      </c>
      <c r="L60">
        <v>-1.6406384384925441</v>
      </c>
      <c r="M60">
        <v>-1.8818536179742189</v>
      </c>
      <c r="N60">
        <v>-1.5242398367416889</v>
      </c>
      <c r="O60">
        <v>-0.59337910267005489</v>
      </c>
      <c r="P60">
        <v>1.1705433194752251</v>
      </c>
      <c r="Q60">
        <v>1.7005163060848529</v>
      </c>
      <c r="R60">
        <v>1.7808819981262061</v>
      </c>
      <c r="S60">
        <v>1.7542350491523031</v>
      </c>
      <c r="T60">
        <v>1.443594539136926</v>
      </c>
      <c r="U60">
        <v>0.95270354871937979</v>
      </c>
      <c r="V60">
        <v>1.115547987128408</v>
      </c>
      <c r="W60">
        <v>1.1626426243500629</v>
      </c>
      <c r="X60">
        <v>1.016504199785792</v>
      </c>
      <c r="Y60">
        <v>0.98034055381791663</v>
      </c>
      <c r="Z60">
        <v>-0.1151866686330606</v>
      </c>
      <c r="AA60">
        <v>-15.838027103264469</v>
      </c>
      <c r="AB60">
        <v>0.86951253994186273</v>
      </c>
      <c r="AC60">
        <v>0.29581780524653589</v>
      </c>
      <c r="AD60">
        <v>0.43697867976028087</v>
      </c>
      <c r="AE60">
        <v>0.45298267949863669</v>
      </c>
      <c r="AF60">
        <v>0.22638208023008649</v>
      </c>
      <c r="AG60">
        <v>-0.63857492985178721</v>
      </c>
      <c r="AH60">
        <v>-0.88635155455925752</v>
      </c>
      <c r="AI60">
        <v>-1.247730904945602</v>
      </c>
      <c r="AJ60">
        <v>-1.870962667628387</v>
      </c>
      <c r="AK60">
        <v>-2.1506852784786989</v>
      </c>
      <c r="AL60">
        <v>-2.324503110900114</v>
      </c>
      <c r="AM60">
        <v>-1.661882927884623</v>
      </c>
      <c r="AN60">
        <v>-2.0974566606478962</v>
      </c>
      <c r="AO60">
        <v>-1.1060681702784521</v>
      </c>
      <c r="AP60">
        <v>-0.67145698508837159</v>
      </c>
      <c r="AQ60">
        <v>-1.238381978007757</v>
      </c>
      <c r="AR60">
        <v>-2.9407767603403561</v>
      </c>
      <c r="AS60">
        <v>-2.7624058887340919</v>
      </c>
      <c r="AT60">
        <v>-2.9582205672098199</v>
      </c>
      <c r="AU60">
        <v>-2.529608646861953</v>
      </c>
      <c r="AV60">
        <v>-12.846874399813389</v>
      </c>
      <c r="AW60">
        <v>-3.86574628691318</v>
      </c>
      <c r="AX60">
        <v>-3.2890653081476779</v>
      </c>
      <c r="AY60">
        <v>-4.6964017974876997</v>
      </c>
      <c r="AZ60">
        <v>-1.950311657550243</v>
      </c>
      <c r="BA60">
        <v>-0.96704113181589368</v>
      </c>
      <c r="BB60">
        <v>-0.4954858507194474</v>
      </c>
      <c r="BC60">
        <v>-0.50882647040392415</v>
      </c>
      <c r="BD60">
        <v>-1.22848680575647</v>
      </c>
      <c r="BE60">
        <v>-0.93512598454551599</v>
      </c>
      <c r="BF60">
        <v>-1.1705627561980729</v>
      </c>
      <c r="BG60">
        <v>-1.219926637802079</v>
      </c>
      <c r="BH60">
        <v>-0.97062984977573541</v>
      </c>
      <c r="BI60">
        <v>-0.99107565889791416</v>
      </c>
      <c r="BJ60">
        <v>-1.0333723166435631</v>
      </c>
      <c r="BK60">
        <v>-0.35689691333934093</v>
      </c>
      <c r="BL60">
        <v>-0.3493421153816163</v>
      </c>
      <c r="BM60">
        <v>-0.14732739347172971</v>
      </c>
      <c r="BN60">
        <v>-0.27722983070961071</v>
      </c>
      <c r="BO60">
        <v>-0.21877785360037619</v>
      </c>
      <c r="BP60">
        <v>-0.17762802207709791</v>
      </c>
      <c r="BQ60">
        <v>-0.31776982847528712</v>
      </c>
      <c r="BR60">
        <v>-0.5701083114671367</v>
      </c>
      <c r="BS60">
        <v>-0.45953681842922439</v>
      </c>
      <c r="BT60">
        <v>-0.39255650016050708</v>
      </c>
      <c r="BU60">
        <v>0.36843923029532311</v>
      </c>
      <c r="BV60">
        <v>0.29083018094543678</v>
      </c>
      <c r="BW60">
        <v>0.36926154912225351</v>
      </c>
      <c r="BX60">
        <v>0.29073793131872139</v>
      </c>
      <c r="BY60">
        <v>0.3325854653435017</v>
      </c>
      <c r="BZ60">
        <v>0.80693750497214645</v>
      </c>
      <c r="CA60">
        <v>0.85559872960431194</v>
      </c>
    </row>
    <row r="61" spans="1:80" x14ac:dyDescent="0.35">
      <c r="A61" t="s">
        <v>32</v>
      </c>
      <c r="B61">
        <v>0.23853136906727071</v>
      </c>
      <c r="C61">
        <v>0.1436641583736106</v>
      </c>
      <c r="D61">
        <v>0.1692672728032395</v>
      </c>
      <c r="E61">
        <v>9.7804926754973154E-2</v>
      </c>
      <c r="F61">
        <v>0.1707399416582587</v>
      </c>
      <c r="G61">
        <v>0.14599336689217329</v>
      </c>
      <c r="H61">
        <v>0.1187850046621583</v>
      </c>
      <c r="I61">
        <v>-6.0447250336130333E-2</v>
      </c>
      <c r="J61">
        <v>0.1142294131001349</v>
      </c>
      <c r="K61">
        <v>0.13507372002078971</v>
      </c>
      <c r="L61">
        <v>7.5988490134076755E-2</v>
      </c>
      <c r="M61">
        <v>0.14135987770380271</v>
      </c>
      <c r="N61">
        <v>6.4586654151888329E-2</v>
      </c>
      <c r="O61">
        <v>2.900359807949136E-2</v>
      </c>
      <c r="P61">
        <v>0.15846272672153569</v>
      </c>
      <c r="Q61">
        <v>0.100907951654349</v>
      </c>
      <c r="R61">
        <v>9.1063265106874708E-2</v>
      </c>
      <c r="S61">
        <v>0.15225786221754509</v>
      </c>
      <c r="T61">
        <v>0.36843980552786643</v>
      </c>
      <c r="U61">
        <v>0.3841784318014696</v>
      </c>
      <c r="V61">
        <v>0.43694798143230967</v>
      </c>
      <c r="W61">
        <v>0.37555608352184378</v>
      </c>
      <c r="X61">
        <v>0.36049969012940808</v>
      </c>
      <c r="Y61">
        <v>0.32172116480571539</v>
      </c>
      <c r="Z61">
        <v>0.14328340142966059</v>
      </c>
      <c r="AA61">
        <v>0.1155096165821302</v>
      </c>
      <c r="AB61">
        <v>0.1499679248674908</v>
      </c>
      <c r="AC61">
        <v>0.10556877446733789</v>
      </c>
      <c r="AD61">
        <v>4.8113575474380978E-2</v>
      </c>
      <c r="AE61">
        <v>6.5696424219489152E-2</v>
      </c>
      <c r="AF61">
        <v>5.0754408976584051E-2</v>
      </c>
      <c r="AG61">
        <v>2.8014962006739901E-2</v>
      </c>
      <c r="AH61">
        <v>0.1030493848376469</v>
      </c>
      <c r="AI61">
        <v>0.13208057025283271</v>
      </c>
      <c r="AJ61">
        <v>0.14082151153927269</v>
      </c>
      <c r="AK61">
        <v>9.0659729093147554E-2</v>
      </c>
      <c r="AL61">
        <v>-0.10558962772857899</v>
      </c>
      <c r="AM61">
        <v>-9.6696471964622277E-2</v>
      </c>
      <c r="AN61">
        <v>-0.10990483447689919</v>
      </c>
      <c r="AO61">
        <v>-0.101053465920522</v>
      </c>
      <c r="AP61">
        <v>-6.5357444967509559E-2</v>
      </c>
      <c r="AQ61">
        <v>-4.6576273963392527E-2</v>
      </c>
      <c r="AR61">
        <v>8.6186010093226711E-3</v>
      </c>
      <c r="AS61">
        <v>-3.031642091335635E-3</v>
      </c>
      <c r="AT61">
        <v>-1.7258021276880251E-3</v>
      </c>
      <c r="AU61">
        <v>-4.792446073903564E-2</v>
      </c>
      <c r="AV61">
        <v>-0.1662529637241639</v>
      </c>
      <c r="AW61">
        <v>5.3232346864258158E-2</v>
      </c>
      <c r="AX61">
        <v>-0.1237935481018417</v>
      </c>
      <c r="AY61">
        <v>-0.19356069842144991</v>
      </c>
      <c r="AZ61">
        <v>3.363353795848259E-2</v>
      </c>
      <c r="BA61">
        <v>0.1467701332993635</v>
      </c>
      <c r="BB61">
        <v>0.1445148536894714</v>
      </c>
      <c r="BC61">
        <v>0.13277800862278119</v>
      </c>
      <c r="BD61">
        <v>7.8949104245873342E-2</v>
      </c>
      <c r="BE61">
        <v>7.6290615222939992E-2</v>
      </c>
      <c r="BF61">
        <v>0.1183922368956178</v>
      </c>
      <c r="BG61">
        <v>0.20312158346268899</v>
      </c>
      <c r="BH61">
        <v>0.13307091744455329</v>
      </c>
      <c r="BI61">
        <v>-9.7930980785450594E-3</v>
      </c>
      <c r="BJ61">
        <v>-0.1059877867214646</v>
      </c>
      <c r="BK61">
        <v>-1.1429984152808629E-2</v>
      </c>
      <c r="BL61">
        <v>-2.1783234247815308E-2</v>
      </c>
      <c r="BM61">
        <v>1.983010334357771E-2</v>
      </c>
      <c r="BN61">
        <v>-3.3309422106377162E-2</v>
      </c>
      <c r="BO61">
        <v>-6.0874382334980097E-2</v>
      </c>
      <c r="BP61">
        <v>-4.0556260724503107E-2</v>
      </c>
      <c r="BQ61">
        <v>-5.7328530640516552E-2</v>
      </c>
      <c r="BR61">
        <v>0.12564149298941171</v>
      </c>
      <c r="BS61">
        <v>0.24873139769611469</v>
      </c>
      <c r="BT61">
        <v>0.28176989267733271</v>
      </c>
      <c r="BU61">
        <v>0.35163738246383192</v>
      </c>
      <c r="BV61">
        <v>0.10715269681958819</v>
      </c>
      <c r="BW61">
        <v>0.1921030702144863</v>
      </c>
      <c r="BX61">
        <v>0.25661690283829042</v>
      </c>
      <c r="BY61">
        <v>0.27424599294697971</v>
      </c>
      <c r="BZ61">
        <v>0.30353274058702351</v>
      </c>
      <c r="CA61">
        <v>0.3212969972674018</v>
      </c>
    </row>
    <row r="62" spans="1:80" x14ac:dyDescent="0.35">
      <c r="A62" t="s">
        <v>33</v>
      </c>
      <c r="B62">
        <v>145.74878437827971</v>
      </c>
      <c r="C62">
        <v>145.9678957423331</v>
      </c>
      <c r="D62">
        <v>146.2869019247087</v>
      </c>
      <c r="E62">
        <v>145.63626145240309</v>
      </c>
      <c r="F62">
        <v>146.09879664547421</v>
      </c>
      <c r="G62">
        <v>147.01701915194869</v>
      </c>
      <c r="H62">
        <v>148.04726437833571</v>
      </c>
      <c r="I62">
        <v>148.11338395943631</v>
      </c>
      <c r="J62">
        <v>147.85421068316151</v>
      </c>
      <c r="K62">
        <v>146.67455662818071</v>
      </c>
      <c r="L62">
        <v>145.6717351595631</v>
      </c>
      <c r="M62">
        <v>145.5526481642446</v>
      </c>
      <c r="N62">
        <v>145.6051561255625</v>
      </c>
      <c r="O62">
        <v>146.3016485519052</v>
      </c>
      <c r="P62">
        <v>148.13506934181009</v>
      </c>
      <c r="Q62">
        <v>148.72450452554119</v>
      </c>
      <c r="R62">
        <v>148.72603870318201</v>
      </c>
      <c r="S62">
        <v>148.80582414989189</v>
      </c>
      <c r="T62">
        <v>148.34590205490261</v>
      </c>
      <c r="U62">
        <v>147.9212216583928</v>
      </c>
      <c r="V62">
        <v>147.30142041732771</v>
      </c>
      <c r="W62">
        <v>147.23456581738219</v>
      </c>
      <c r="X62">
        <v>146.58054115373579</v>
      </c>
      <c r="Y62">
        <v>146.44027245554111</v>
      </c>
      <c r="Z62">
        <v>144.8309710386126</v>
      </c>
      <c r="AA62">
        <v>129.0216677729702</v>
      </c>
      <c r="AB62">
        <v>145.88721953323301</v>
      </c>
      <c r="AC62">
        <v>145.642180176094</v>
      </c>
      <c r="AD62">
        <v>145.41130546070019</v>
      </c>
      <c r="AE62">
        <v>145.64882391123689</v>
      </c>
      <c r="AF62">
        <v>145.58322694907619</v>
      </c>
      <c r="AG62">
        <v>144.8359229529446</v>
      </c>
      <c r="AH62">
        <v>144.52817258261109</v>
      </c>
      <c r="AI62">
        <v>144.8490416046894</v>
      </c>
      <c r="AJ62">
        <v>144.52737713614621</v>
      </c>
      <c r="AK62">
        <v>144.36310120111929</v>
      </c>
      <c r="AL62">
        <v>144.54961903055511</v>
      </c>
      <c r="AM62">
        <v>144.73448646914659</v>
      </c>
      <c r="AN62">
        <v>144.24129737414731</v>
      </c>
      <c r="AO62">
        <v>145.54977113627359</v>
      </c>
      <c r="AP62">
        <v>146.34635252722731</v>
      </c>
      <c r="AQ62">
        <v>145.8111246946917</v>
      </c>
      <c r="AR62">
        <v>144.12268855796361</v>
      </c>
      <c r="AS62">
        <v>144.24768143125081</v>
      </c>
      <c r="AT62">
        <v>143.97937725013031</v>
      </c>
      <c r="AU62">
        <v>144.23999104526411</v>
      </c>
      <c r="AV62">
        <v>134.24548702437309</v>
      </c>
      <c r="AW62">
        <v>143.695072401619</v>
      </c>
      <c r="AX62">
        <v>143.55554785878829</v>
      </c>
      <c r="AY62">
        <v>141.19174258676969</v>
      </c>
      <c r="AZ62">
        <v>144.9763197379169</v>
      </c>
      <c r="BA62">
        <v>146.50883248462989</v>
      </c>
      <c r="BB62">
        <v>147.10679453843241</v>
      </c>
      <c r="BC62">
        <v>146.96794975881051</v>
      </c>
      <c r="BD62">
        <v>145.87719904658201</v>
      </c>
      <c r="BE62">
        <v>146.04599004468241</v>
      </c>
      <c r="BF62">
        <v>145.95454481553409</v>
      </c>
      <c r="BG62">
        <v>145.99501351597669</v>
      </c>
      <c r="BH62">
        <v>145.76497053054771</v>
      </c>
      <c r="BI62">
        <v>145.35277944181061</v>
      </c>
      <c r="BJ62">
        <v>145.3971906487694</v>
      </c>
      <c r="BK62">
        <v>145.82429645955889</v>
      </c>
      <c r="BL62">
        <v>145.85047180469769</v>
      </c>
      <c r="BM62">
        <v>146.66675280095259</v>
      </c>
      <c r="BN62">
        <v>146.75790506265889</v>
      </c>
      <c r="BO62">
        <v>146.9325995281132</v>
      </c>
      <c r="BP62">
        <v>146.96316767173519</v>
      </c>
      <c r="BQ62">
        <v>146.28243492849171</v>
      </c>
      <c r="BR62">
        <v>146.23950603445439</v>
      </c>
      <c r="BS62">
        <v>146.84565926177751</v>
      </c>
      <c r="BT62">
        <v>147.0039899131626</v>
      </c>
      <c r="BU62">
        <v>148.20381163333769</v>
      </c>
      <c r="BV62">
        <v>147.77102813088661</v>
      </c>
      <c r="BW62">
        <v>147.9751190729512</v>
      </c>
      <c r="BX62">
        <v>147.87598578386061</v>
      </c>
      <c r="BY62">
        <v>148.4572655087473</v>
      </c>
      <c r="BZ62">
        <v>148.6144271553101</v>
      </c>
      <c r="CA62">
        <v>148.52155868466019</v>
      </c>
    </row>
    <row r="63" spans="1:80" x14ac:dyDescent="0.35">
      <c r="A63" t="s">
        <v>34</v>
      </c>
      <c r="B63">
        <v>61203500.200000003</v>
      </c>
      <c r="C63">
        <v>73401169.179999992</v>
      </c>
      <c r="D63">
        <v>106159466.88</v>
      </c>
      <c r="E63">
        <v>40024674.57</v>
      </c>
      <c r="F63">
        <v>76120751.930000007</v>
      </c>
      <c r="G63">
        <v>94348368.950000003</v>
      </c>
      <c r="H63">
        <v>101360076.45</v>
      </c>
      <c r="I63">
        <v>88270746.200000003</v>
      </c>
      <c r="J63">
        <v>83688877.269999996</v>
      </c>
      <c r="K63">
        <v>79253875.710000008</v>
      </c>
      <c r="L63">
        <v>81946723.210000008</v>
      </c>
      <c r="M63">
        <v>69911570.659999996</v>
      </c>
      <c r="N63">
        <v>82609966.770000011</v>
      </c>
      <c r="O63">
        <v>93984926.489999995</v>
      </c>
      <c r="P63">
        <v>191817785.53</v>
      </c>
      <c r="Q63">
        <v>152001901.03999999</v>
      </c>
      <c r="R63">
        <v>110542142.73</v>
      </c>
      <c r="S63">
        <v>110426702.05</v>
      </c>
      <c r="T63">
        <v>114567435.98</v>
      </c>
      <c r="U63">
        <v>115409710.25</v>
      </c>
      <c r="V63">
        <v>110216605.06</v>
      </c>
      <c r="W63">
        <v>100958160.70999999</v>
      </c>
      <c r="X63">
        <v>103737557.01000001</v>
      </c>
      <c r="Y63">
        <v>82749830.219999999</v>
      </c>
      <c r="Z63">
        <v>53736079.630000003</v>
      </c>
      <c r="AA63">
        <v>10294317.060000001</v>
      </c>
      <c r="AB63">
        <v>157394604.99000001</v>
      </c>
      <c r="AC63">
        <v>117120010.03</v>
      </c>
      <c r="AD63">
        <v>129601163.58</v>
      </c>
      <c r="AE63">
        <v>108783918.88</v>
      </c>
      <c r="AF63">
        <v>99030011.729999989</v>
      </c>
      <c r="AG63">
        <v>102201242.42</v>
      </c>
      <c r="AH63">
        <v>92785553.86999999</v>
      </c>
      <c r="AI63">
        <v>81311943.659999996</v>
      </c>
      <c r="AJ63">
        <v>74181079.539999992</v>
      </c>
      <c r="AK63">
        <v>67215102.700000003</v>
      </c>
      <c r="AL63">
        <v>70885545.659999996</v>
      </c>
      <c r="AM63">
        <v>94656115.949999988</v>
      </c>
      <c r="AN63">
        <v>94294071.090000004</v>
      </c>
      <c r="AO63">
        <v>81637048.609999999</v>
      </c>
      <c r="AP63">
        <v>93657892.909999996</v>
      </c>
      <c r="AQ63">
        <v>82409169.530000001</v>
      </c>
      <c r="AR63">
        <v>46987738.880000003</v>
      </c>
      <c r="AS63">
        <v>50401459.530000001</v>
      </c>
      <c r="AT63">
        <v>48721098.460000001</v>
      </c>
      <c r="AU63">
        <v>50712945.380000003</v>
      </c>
      <c r="AV63">
        <v>8244223.7000000011</v>
      </c>
      <c r="AW63">
        <v>65896528.530000001</v>
      </c>
      <c r="AX63">
        <v>82432378.879999995</v>
      </c>
      <c r="AY63">
        <v>144021456.41999999</v>
      </c>
      <c r="AZ63">
        <v>163294933.53999999</v>
      </c>
      <c r="BA63">
        <v>112378572.81</v>
      </c>
      <c r="BB63">
        <v>110015688.43000001</v>
      </c>
      <c r="BC63">
        <v>103245767.06</v>
      </c>
      <c r="BD63">
        <v>108487142.37</v>
      </c>
      <c r="BE63">
        <v>104304187.29000001</v>
      </c>
      <c r="BF63">
        <v>87567800.229999989</v>
      </c>
      <c r="BG63">
        <v>90323262.839999989</v>
      </c>
      <c r="BH63">
        <v>98957964.159999996</v>
      </c>
      <c r="BI63">
        <v>98366459.189999998</v>
      </c>
      <c r="BJ63">
        <v>97266973.450000003</v>
      </c>
      <c r="BK63">
        <v>140209841.40000001</v>
      </c>
      <c r="BL63">
        <v>203309615.94</v>
      </c>
      <c r="BM63">
        <v>136829594.90000001</v>
      </c>
      <c r="BN63">
        <v>129792336.12</v>
      </c>
      <c r="BO63">
        <v>118326828.31</v>
      </c>
      <c r="BP63">
        <v>119013396.65000001</v>
      </c>
      <c r="BQ63">
        <v>123393314.67</v>
      </c>
      <c r="BR63">
        <v>136181169.62</v>
      </c>
      <c r="BS63">
        <v>120206677.98999999</v>
      </c>
      <c r="BT63">
        <v>104007862.43000001</v>
      </c>
      <c r="BU63">
        <v>116955201.51000001</v>
      </c>
      <c r="BV63">
        <v>134109345.7</v>
      </c>
      <c r="BW63">
        <v>168225192.22999999</v>
      </c>
      <c r="BX63">
        <v>257311736.72999999</v>
      </c>
      <c r="BY63">
        <v>157463836.25</v>
      </c>
      <c r="BZ63">
        <v>158650736.91999999</v>
      </c>
      <c r="CA63">
        <v>141282074.71000001</v>
      </c>
    </row>
    <row r="64" spans="1:80" x14ac:dyDescent="0.35">
      <c r="A64" t="s">
        <v>35</v>
      </c>
      <c r="B64">
        <v>1.751073253772184</v>
      </c>
      <c r="C64">
        <v>1.7167160071850811</v>
      </c>
      <c r="D64">
        <v>1.679120804793768</v>
      </c>
      <c r="E64">
        <v>1.750562092919238</v>
      </c>
      <c r="F64">
        <v>1.7682065533460729</v>
      </c>
      <c r="G64">
        <v>1.7097107376267811</v>
      </c>
      <c r="H64">
        <v>1.608056397152769</v>
      </c>
      <c r="I64">
        <v>1.558277410630668</v>
      </c>
      <c r="J64">
        <v>1.594481918774326</v>
      </c>
      <c r="K64">
        <v>1.679702882991184</v>
      </c>
      <c r="L64">
        <v>1.738474066831905</v>
      </c>
      <c r="M64">
        <v>1.7603034948392959</v>
      </c>
      <c r="N64">
        <v>1.727940256718705</v>
      </c>
      <c r="O64">
        <v>1.643699466304982</v>
      </c>
      <c r="P64">
        <v>1.4840684778755451</v>
      </c>
      <c r="Q64">
        <v>1.43610712162128</v>
      </c>
      <c r="R64">
        <v>1.428834208314371</v>
      </c>
      <c r="S64">
        <v>1.4312456969092939</v>
      </c>
      <c r="T64">
        <v>1.459357960259102</v>
      </c>
      <c r="U64">
        <v>1.503782484278789</v>
      </c>
      <c r="V64">
        <v>1.489045431029103</v>
      </c>
      <c r="W64">
        <v>1.4847834729094971</v>
      </c>
      <c r="X64">
        <v>1.4980086697026429</v>
      </c>
      <c r="Y64">
        <v>1.501281397844533</v>
      </c>
      <c r="Z64">
        <v>1.6004241329079689</v>
      </c>
      <c r="AA64">
        <v>3.0233056202049289</v>
      </c>
      <c r="AB64">
        <v>1.511311082358203</v>
      </c>
      <c r="AC64">
        <v>1.563229157896241</v>
      </c>
      <c r="AD64">
        <v>1.5504544181212421</v>
      </c>
      <c r="AE64">
        <v>1.5490060923530651</v>
      </c>
      <c r="AF64">
        <v>1.5695129339158289</v>
      </c>
      <c r="AG64">
        <v>1.647789586411927</v>
      </c>
      <c r="AH64">
        <v>1.6702128103673539</v>
      </c>
      <c r="AI64">
        <v>1.7029168239769781</v>
      </c>
      <c r="AJ64">
        <v>1.7593178884731571</v>
      </c>
      <c r="AK64">
        <v>1.7846321518985251</v>
      </c>
      <c r="AL64">
        <v>1.800362272479648</v>
      </c>
      <c r="AM64">
        <v>1.740396645057432</v>
      </c>
      <c r="AN64">
        <v>1.7798150824115739</v>
      </c>
      <c r="AO64">
        <v>1.6900966669935249</v>
      </c>
      <c r="AP64">
        <v>1.6507653380170471</v>
      </c>
      <c r="AQ64">
        <v>1.7020707672405211</v>
      </c>
      <c r="AR64">
        <v>1.856133643469716</v>
      </c>
      <c r="AS64">
        <v>1.839991483143357</v>
      </c>
      <c r="AT64">
        <v>1.8577122685257761</v>
      </c>
      <c r="AU64">
        <v>1.818923859444521</v>
      </c>
      <c r="AV64">
        <v>2.7526130678564149</v>
      </c>
      <c r="AW64">
        <v>1.93984129293332</v>
      </c>
      <c r="AX64">
        <v>1.8876529690631381</v>
      </c>
      <c r="AY64">
        <v>2.0150137373292041</v>
      </c>
      <c r="AZ64">
        <v>1.7664987925384841</v>
      </c>
      <c r="BA64">
        <v>1.6775150345534751</v>
      </c>
      <c r="BB64">
        <v>1.634840348481398</v>
      </c>
      <c r="BC64">
        <v>1.6360476443804459</v>
      </c>
      <c r="BD64">
        <v>1.7011752765390471</v>
      </c>
      <c r="BE64">
        <v>1.674626785931721</v>
      </c>
      <c r="BF64">
        <v>1.6959332811038981</v>
      </c>
      <c r="BG64">
        <v>1.700400600706071</v>
      </c>
      <c r="BH64">
        <v>1.6778398054095689</v>
      </c>
      <c r="BI64">
        <v>1.6796901048776389</v>
      </c>
      <c r="BJ64">
        <v>1.683517856709825</v>
      </c>
      <c r="BK64">
        <v>1.62229836319813</v>
      </c>
      <c r="BL64">
        <v>1.621614671075259</v>
      </c>
      <c r="BM64">
        <v>1.6033327957892971</v>
      </c>
      <c r="BN64">
        <v>1.6150886724624081</v>
      </c>
      <c r="BO64">
        <v>1.6097989007783149</v>
      </c>
      <c r="BP64">
        <v>1.6060749341246241</v>
      </c>
      <c r="BQ64">
        <v>1.61875745054075</v>
      </c>
      <c r="BR64">
        <v>1.641593512349967</v>
      </c>
      <c r="BS64">
        <v>1.6315870423917851</v>
      </c>
      <c r="BT64">
        <v>1.625525475127648</v>
      </c>
      <c r="BU64">
        <v>1.556657083231193</v>
      </c>
      <c r="BV64">
        <v>1.563680526611273</v>
      </c>
      <c r="BW64">
        <v>1.556582665237805</v>
      </c>
      <c r="BX64">
        <v>1.563688874993781</v>
      </c>
      <c r="BY64">
        <v>1.5599017678422169</v>
      </c>
      <c r="BZ64">
        <v>1.516973981450485</v>
      </c>
      <c r="CA64">
        <v>1.512570250714542</v>
      </c>
    </row>
    <row r="65" spans="1:80" x14ac:dyDescent="0.35">
      <c r="A65" t="s">
        <v>36</v>
      </c>
      <c r="B65">
        <v>0.24475755232819191</v>
      </c>
      <c r="C65">
        <v>0.24684254596981081</v>
      </c>
      <c r="D65">
        <v>0.24627984015817059</v>
      </c>
      <c r="E65">
        <v>0.2478504411702204</v>
      </c>
      <c r="F65">
        <v>0.2462474738097086</v>
      </c>
      <c r="G65">
        <v>0.24679135457379839</v>
      </c>
      <c r="H65">
        <v>0.24738934055687559</v>
      </c>
      <c r="I65">
        <v>0.25132851099639852</v>
      </c>
      <c r="J65">
        <v>0.24748946344834871</v>
      </c>
      <c r="K65">
        <v>0.2470313468127299</v>
      </c>
      <c r="L65">
        <v>0.24832992329375661</v>
      </c>
      <c r="M65">
        <v>0.2468931895010153</v>
      </c>
      <c r="N65">
        <v>0.24858051309556289</v>
      </c>
      <c r="O65">
        <v>0.2493625582839672</v>
      </c>
      <c r="P65">
        <v>0.2465173027094168</v>
      </c>
      <c r="Q65">
        <v>0.24778224282078351</v>
      </c>
      <c r="R65">
        <v>0.24799860955809069</v>
      </c>
      <c r="S65">
        <v>0.24665367335785621</v>
      </c>
      <c r="T65">
        <v>0.24190242185653041</v>
      </c>
      <c r="U65">
        <v>0.24155651798238531</v>
      </c>
      <c r="V65">
        <v>0.24039674766082841</v>
      </c>
      <c r="W65">
        <v>0.24174602014237709</v>
      </c>
      <c r="X65">
        <v>0.24207692988726581</v>
      </c>
      <c r="Y65">
        <v>0.24292920516910521</v>
      </c>
      <c r="Z65">
        <v>0.2468509142542932</v>
      </c>
      <c r="AA65">
        <v>0.24746132710808499</v>
      </c>
      <c r="AB65">
        <v>0.24670400165126391</v>
      </c>
      <c r="AC65">
        <v>0.247679807154564</v>
      </c>
      <c r="AD65">
        <v>0.24894255878078281</v>
      </c>
      <c r="AE65">
        <v>0.24855612254462661</v>
      </c>
      <c r="AF65">
        <v>0.24888451848403109</v>
      </c>
      <c r="AG65">
        <v>0.24938428654930239</v>
      </c>
      <c r="AH65">
        <v>0.24773517835521661</v>
      </c>
      <c r="AI65">
        <v>0.2470971303241136</v>
      </c>
      <c r="AJ65">
        <v>0.24690502172441159</v>
      </c>
      <c r="AK65">
        <v>0.24800747848146931</v>
      </c>
      <c r="AL65">
        <v>0.25232065115886992</v>
      </c>
      <c r="AM65">
        <v>0.25212519718603571</v>
      </c>
      <c r="AN65">
        <v>0.25241549086762421</v>
      </c>
      <c r="AO65">
        <v>0.25222095529495647</v>
      </c>
      <c r="AP65">
        <v>0.25143642736192329</v>
      </c>
      <c r="AQ65">
        <v>0.25102365437282181</v>
      </c>
      <c r="AR65">
        <v>0.2498105801975973</v>
      </c>
      <c r="AS65">
        <v>0.25006662949651293</v>
      </c>
      <c r="AT65">
        <v>0.25003792971709199</v>
      </c>
      <c r="AU65">
        <v>0.25105328485140738</v>
      </c>
      <c r="AV65">
        <v>0.25365391129064102</v>
      </c>
      <c r="AW65">
        <v>0.24883005831067559</v>
      </c>
      <c r="AX65">
        <v>0.2527207373209196</v>
      </c>
      <c r="AY65">
        <v>0.25425408128398791</v>
      </c>
      <c r="AZ65">
        <v>0.24926080136354981</v>
      </c>
      <c r="BA65">
        <v>0.2467742827846294</v>
      </c>
      <c r="BB65">
        <v>0.24682384936946219</v>
      </c>
      <c r="BC65">
        <v>0.2470818020082905</v>
      </c>
      <c r="BD65">
        <v>0.24826485485173899</v>
      </c>
      <c r="BE65">
        <v>0.24832328318191341</v>
      </c>
      <c r="BF65">
        <v>0.2473979728154809</v>
      </c>
      <c r="BG65">
        <v>0.24553578937444639</v>
      </c>
      <c r="BH65">
        <v>0.24707536445176809</v>
      </c>
      <c r="BI65">
        <v>0.25021523292480319</v>
      </c>
      <c r="BJ65">
        <v>0.25232940190596631</v>
      </c>
      <c r="BK65">
        <v>0.25025120844291893</v>
      </c>
      <c r="BL65">
        <v>0.25047875240105089</v>
      </c>
      <c r="BM65">
        <v>0.2495641735528884</v>
      </c>
      <c r="BN65">
        <v>0.25073207521112922</v>
      </c>
      <c r="BO65">
        <v>0.25133789851285671</v>
      </c>
      <c r="BP65">
        <v>0.25089134638954952</v>
      </c>
      <c r="BQ65">
        <v>0.25125996770638498</v>
      </c>
      <c r="BR65">
        <v>0.24723864850572719</v>
      </c>
      <c r="BS65">
        <v>0.24453337587481069</v>
      </c>
      <c r="BT65">
        <v>0.24380725510599269</v>
      </c>
      <c r="BU65">
        <v>0.24227170587991581</v>
      </c>
      <c r="BV65">
        <v>0.24764499567429479</v>
      </c>
      <c r="BW65">
        <v>0.24577795450078049</v>
      </c>
      <c r="BX65">
        <v>0.2443600680694881</v>
      </c>
      <c r="BY65">
        <v>0.24397261553962679</v>
      </c>
      <c r="BZ65">
        <v>0.24332895075632921</v>
      </c>
      <c r="CA65">
        <v>0.2429385275325846</v>
      </c>
    </row>
    <row r="67" spans="1:80" x14ac:dyDescent="0.35">
      <c r="A67" t="s">
        <v>42</v>
      </c>
      <c r="B67" t="s">
        <v>45</v>
      </c>
      <c r="C67" t="s">
        <v>46</v>
      </c>
      <c r="D67" t="s">
        <v>47</v>
      </c>
      <c r="E67" t="s">
        <v>48</v>
      </c>
      <c r="F67" t="s">
        <v>49</v>
      </c>
      <c r="G67" t="s">
        <v>50</v>
      </c>
      <c r="H67" t="s">
        <v>51</v>
      </c>
      <c r="I67" t="s">
        <v>52</v>
      </c>
      <c r="J67" t="s">
        <v>53</v>
      </c>
      <c r="K67" t="s">
        <v>54</v>
      </c>
      <c r="L67" t="s">
        <v>55</v>
      </c>
      <c r="M67" t="s">
        <v>56</v>
      </c>
      <c r="N67" t="s">
        <v>57</v>
      </c>
      <c r="O67" t="s">
        <v>58</v>
      </c>
      <c r="P67" t="s">
        <v>59</v>
      </c>
      <c r="Q67" t="s">
        <v>60</v>
      </c>
      <c r="R67" t="s">
        <v>61</v>
      </c>
      <c r="S67" t="s">
        <v>62</v>
      </c>
      <c r="T67" t="s">
        <v>63</v>
      </c>
      <c r="U67" t="s">
        <v>64</v>
      </c>
      <c r="V67" t="s">
        <v>65</v>
      </c>
      <c r="W67" t="s">
        <v>66</v>
      </c>
      <c r="X67" t="s">
        <v>67</v>
      </c>
      <c r="Y67" t="s">
        <v>68</v>
      </c>
      <c r="Z67" t="s">
        <v>69</v>
      </c>
      <c r="AA67" t="s">
        <v>70</v>
      </c>
      <c r="AB67" t="s">
        <v>71</v>
      </c>
      <c r="AC67" t="s">
        <v>72</v>
      </c>
      <c r="AD67" t="s">
        <v>73</v>
      </c>
      <c r="AE67" t="s">
        <v>74</v>
      </c>
      <c r="AF67" t="s">
        <v>75</v>
      </c>
      <c r="AG67" t="s">
        <v>76</v>
      </c>
      <c r="AH67" t="s">
        <v>77</v>
      </c>
      <c r="AI67" t="s">
        <v>78</v>
      </c>
      <c r="AJ67" t="s">
        <v>79</v>
      </c>
      <c r="AK67" t="s">
        <v>80</v>
      </c>
      <c r="AL67" t="s">
        <v>81</v>
      </c>
      <c r="AM67" t="s">
        <v>82</v>
      </c>
      <c r="AN67" t="s">
        <v>83</v>
      </c>
      <c r="AO67" t="s">
        <v>84</v>
      </c>
      <c r="AP67" t="s">
        <v>85</v>
      </c>
      <c r="AQ67" t="s">
        <v>86</v>
      </c>
      <c r="AR67" t="s">
        <v>87</v>
      </c>
      <c r="AS67" t="s">
        <v>88</v>
      </c>
      <c r="AT67" t="s">
        <v>89</v>
      </c>
      <c r="AU67" t="s">
        <v>90</v>
      </c>
      <c r="AV67" t="s">
        <v>91</v>
      </c>
      <c r="AW67" t="s">
        <v>92</v>
      </c>
      <c r="AX67" t="s">
        <v>93</v>
      </c>
      <c r="AY67" t="s">
        <v>94</v>
      </c>
      <c r="AZ67" t="s">
        <v>95</v>
      </c>
      <c r="BA67" t="s">
        <v>96</v>
      </c>
      <c r="BB67" t="s">
        <v>97</v>
      </c>
      <c r="BC67" t="s">
        <v>98</v>
      </c>
      <c r="BD67" t="s">
        <v>99</v>
      </c>
      <c r="BE67" t="s">
        <v>100</v>
      </c>
      <c r="BF67" t="s">
        <v>101</v>
      </c>
      <c r="BG67" t="s">
        <v>102</v>
      </c>
      <c r="BH67" t="s">
        <v>103</v>
      </c>
      <c r="BI67" t="s">
        <v>104</v>
      </c>
      <c r="BJ67" t="s">
        <v>105</v>
      </c>
      <c r="BK67" t="s">
        <v>106</v>
      </c>
      <c r="BL67" t="s">
        <v>107</v>
      </c>
      <c r="BM67" t="s">
        <v>108</v>
      </c>
      <c r="BN67" t="s">
        <v>109</v>
      </c>
      <c r="BO67" t="s">
        <v>110</v>
      </c>
      <c r="BP67" t="s">
        <v>111</v>
      </c>
      <c r="BQ67" t="s">
        <v>112</v>
      </c>
      <c r="BR67" t="s">
        <v>113</v>
      </c>
      <c r="BS67" t="s">
        <v>114</v>
      </c>
      <c r="BT67" t="s">
        <v>115</v>
      </c>
      <c r="BU67" t="s">
        <v>116</v>
      </c>
      <c r="BV67" t="s">
        <v>117</v>
      </c>
      <c r="BW67" t="s">
        <v>118</v>
      </c>
      <c r="BX67" t="s">
        <v>119</v>
      </c>
      <c r="BY67" t="s">
        <v>120</v>
      </c>
      <c r="BZ67" t="s">
        <v>121</v>
      </c>
      <c r="CA67" t="s">
        <v>122</v>
      </c>
      <c r="CB67" t="s">
        <v>123</v>
      </c>
    </row>
    <row r="68" spans="1:80" x14ac:dyDescent="0.35">
      <c r="A68" t="s">
        <v>28</v>
      </c>
      <c r="B68">
        <v>130.81207244165091</v>
      </c>
      <c r="C68">
        <v>131.1881869968841</v>
      </c>
      <c r="D68">
        <v>130.75966717711569</v>
      </c>
      <c r="E68">
        <v>131.20081699463361</v>
      </c>
      <c r="F68">
        <v>133.81594714010649</v>
      </c>
      <c r="G68">
        <v>134.8691121868932</v>
      </c>
      <c r="H68">
        <v>135.22456044126449</v>
      </c>
      <c r="I68">
        <v>135.540926407526</v>
      </c>
      <c r="J68">
        <v>135.27758057492929</v>
      </c>
      <c r="K68">
        <v>134.9556706652412</v>
      </c>
      <c r="L68">
        <v>134.51505034526889</v>
      </c>
      <c r="M68">
        <v>135.64757312659549</v>
      </c>
      <c r="N68">
        <v>135.77302213493499</v>
      </c>
      <c r="O68">
        <v>135.3620250014753</v>
      </c>
      <c r="P68">
        <v>135.09279030515509</v>
      </c>
      <c r="Q68">
        <v>135.3811369096538</v>
      </c>
      <c r="R68">
        <v>135.54366903936099</v>
      </c>
      <c r="S68">
        <v>135.19864854664559</v>
      </c>
      <c r="T68">
        <v>134.71967022671029</v>
      </c>
      <c r="U68">
        <v>136.01490556722661</v>
      </c>
      <c r="V68">
        <v>134.60110142928141</v>
      </c>
      <c r="W68">
        <v>134.67270406283299</v>
      </c>
      <c r="X68">
        <v>132.72204063136979</v>
      </c>
      <c r="Y68">
        <v>133.28129116496649</v>
      </c>
      <c r="Z68">
        <v>134.09308389496539</v>
      </c>
      <c r="AA68">
        <v>133.90720218646089</v>
      </c>
      <c r="AB68">
        <v>134.31664890042089</v>
      </c>
      <c r="AC68">
        <v>135.77156278609581</v>
      </c>
      <c r="AD68">
        <v>136.6495924006496</v>
      </c>
      <c r="AE68">
        <v>137.02487785222979</v>
      </c>
      <c r="AF68">
        <v>137.19792671514941</v>
      </c>
      <c r="AG68">
        <v>137.3306862406053</v>
      </c>
      <c r="AH68">
        <v>137.17419113481901</v>
      </c>
      <c r="AI68">
        <v>137.53874198361609</v>
      </c>
      <c r="AJ68">
        <v>139.4749472638421</v>
      </c>
      <c r="AK68">
        <v>139.11624278178849</v>
      </c>
      <c r="AL68">
        <v>139.73984294559901</v>
      </c>
      <c r="AM68">
        <v>139.54120136920841</v>
      </c>
      <c r="AN68">
        <v>138.99031298625249</v>
      </c>
      <c r="AO68">
        <v>138.9990780395606</v>
      </c>
      <c r="AP68">
        <v>138.7580845329241</v>
      </c>
      <c r="AQ68">
        <v>138.53607376736329</v>
      </c>
      <c r="AR68">
        <v>137.65697221712969</v>
      </c>
      <c r="AS68">
        <v>139.04697190493511</v>
      </c>
      <c r="AT68">
        <v>139.44685893748019</v>
      </c>
      <c r="AU68">
        <v>139.01876178250879</v>
      </c>
      <c r="AV68">
        <v>137.94430194719439</v>
      </c>
      <c r="AW68">
        <v>137.9014680096451</v>
      </c>
      <c r="AX68">
        <v>138.01790131268831</v>
      </c>
      <c r="AY68">
        <v>137.6979770700047</v>
      </c>
      <c r="AZ68">
        <v>137.1196227330359</v>
      </c>
      <c r="BA68">
        <v>138.28157196180541</v>
      </c>
      <c r="BB68">
        <v>138.7606301369504</v>
      </c>
      <c r="BC68">
        <v>139.16580949259</v>
      </c>
      <c r="BD68">
        <v>139.60063580679159</v>
      </c>
      <c r="BE68">
        <v>140.41326339923029</v>
      </c>
      <c r="BF68">
        <v>140.22118320348491</v>
      </c>
      <c r="BG68">
        <v>139.29336343013941</v>
      </c>
      <c r="BH68">
        <v>138.38549846105349</v>
      </c>
      <c r="BI68">
        <v>137.92196471256869</v>
      </c>
      <c r="BJ68">
        <v>138.06466626275241</v>
      </c>
      <c r="BK68">
        <v>138.12836194832749</v>
      </c>
      <c r="BL68">
        <v>138.0391503080894</v>
      </c>
      <c r="BM68">
        <v>138.77237170313401</v>
      </c>
      <c r="BN68">
        <v>139.3599150324041</v>
      </c>
      <c r="BO68">
        <v>139.3457834733475</v>
      </c>
      <c r="BP68">
        <v>139.5719853979671</v>
      </c>
      <c r="BQ68">
        <v>139.2142279068417</v>
      </c>
      <c r="BR68">
        <v>139.76680334715559</v>
      </c>
      <c r="BS68">
        <v>139.8692562857878</v>
      </c>
      <c r="BT68">
        <v>140.08529209250139</v>
      </c>
      <c r="BU68">
        <v>141.37575147646729</v>
      </c>
      <c r="BV68">
        <v>141.7740297318548</v>
      </c>
      <c r="BW68">
        <v>141.5590630284826</v>
      </c>
      <c r="BX68">
        <v>141.61038128709191</v>
      </c>
      <c r="BY68">
        <v>141.95612219581849</v>
      </c>
      <c r="BZ68">
        <v>141.95372454480619</v>
      </c>
      <c r="CA68">
        <v>142.16157055715379</v>
      </c>
      <c r="CB68">
        <v>142.35006793172781</v>
      </c>
    </row>
    <row r="69" spans="1:80" x14ac:dyDescent="0.35">
      <c r="A69" t="s">
        <v>29</v>
      </c>
      <c r="B69">
        <v>0.41893947850121482</v>
      </c>
      <c r="C69">
        <v>0.43410492014912488</v>
      </c>
      <c r="D69">
        <v>0.63893785501318001</v>
      </c>
      <c r="E69">
        <v>0.52850296724924928</v>
      </c>
      <c r="F69">
        <v>0.72561947561831652</v>
      </c>
      <c r="G69">
        <v>0.66539244085162685</v>
      </c>
      <c r="H69">
        <v>0.48116080193267557</v>
      </c>
      <c r="I69">
        <v>0.49428723496406929</v>
      </c>
      <c r="J69">
        <v>0.47182061957405719</v>
      </c>
      <c r="K69">
        <v>0.43363668065628919</v>
      </c>
      <c r="L69">
        <v>0.48179105205747302</v>
      </c>
      <c r="M69">
        <v>0.62825694442966451</v>
      </c>
      <c r="N69">
        <v>0.99710311702266119</v>
      </c>
      <c r="O69">
        <v>1.16320914836304</v>
      </c>
      <c r="P69">
        <v>1.1908846744710071</v>
      </c>
      <c r="Q69">
        <v>1.1339431982280179</v>
      </c>
      <c r="R69">
        <v>1.0964591030838571</v>
      </c>
      <c r="S69">
        <v>0.8594696463182796</v>
      </c>
      <c r="T69">
        <v>0.73420862561656453</v>
      </c>
      <c r="U69">
        <v>0.75820024262488339</v>
      </c>
      <c r="V69">
        <v>0.58067110678899791</v>
      </c>
      <c r="W69">
        <v>0.29267743043793221</v>
      </c>
      <c r="X69">
        <v>0.12462903031632459</v>
      </c>
      <c r="Y69">
        <v>0.18918011998393089</v>
      </c>
      <c r="Z69">
        <v>-9.9794836307424847E-2</v>
      </c>
      <c r="AA69">
        <v>9.6731187662749699E-2</v>
      </c>
      <c r="AB69">
        <v>4.3907562905568222E-2</v>
      </c>
      <c r="AC69">
        <v>0.45652457368373123</v>
      </c>
      <c r="AD69">
        <v>0.63146528592952367</v>
      </c>
      <c r="AE69">
        <v>0.62330154413473426</v>
      </c>
      <c r="AF69">
        <v>0.57986209858796178</v>
      </c>
      <c r="AG69">
        <v>0.58732080158316358</v>
      </c>
      <c r="AH69">
        <v>0.23690322405005859</v>
      </c>
      <c r="AI69">
        <v>0.43460604366241468</v>
      </c>
      <c r="AJ69">
        <v>0.55702763419932233</v>
      </c>
      <c r="AK69">
        <v>0.76549617577361018</v>
      </c>
      <c r="AL69">
        <v>0.32719406917628852</v>
      </c>
      <c r="AM69">
        <v>0.68966136574969783</v>
      </c>
      <c r="AN69">
        <v>0.75023354050586377</v>
      </c>
      <c r="AO69">
        <v>0.27068002834410448</v>
      </c>
      <c r="AP69">
        <v>0.88352866699125843</v>
      </c>
      <c r="AQ69">
        <v>0.81038647259114194</v>
      </c>
      <c r="AR69">
        <v>0.98518222715106174</v>
      </c>
      <c r="AS69">
        <v>0.97923457386760893</v>
      </c>
      <c r="AT69">
        <v>1.039387415277228</v>
      </c>
      <c r="AU69">
        <v>0.87192878488884518</v>
      </c>
      <c r="AV69">
        <v>0.76573011605752961</v>
      </c>
      <c r="AW69">
        <v>0.7262430664720656</v>
      </c>
      <c r="AX69">
        <v>0.40670316241761861</v>
      </c>
      <c r="AY69">
        <v>0.29184302719391148</v>
      </c>
      <c r="AZ69">
        <v>0.230237279237377</v>
      </c>
      <c r="BA69">
        <v>0.68009195032793901</v>
      </c>
      <c r="BB69">
        <v>1.074331721338353</v>
      </c>
      <c r="BC69">
        <v>0.97396371910620716</v>
      </c>
      <c r="BD69">
        <v>1.02848033586927</v>
      </c>
      <c r="BE69">
        <v>1.0207428825369089</v>
      </c>
      <c r="BF69">
        <v>1.049413074311577</v>
      </c>
      <c r="BG69">
        <v>0.87906225586662567</v>
      </c>
      <c r="BH69">
        <v>0.87298312442182679</v>
      </c>
      <c r="BI69">
        <v>1.0545695930451631</v>
      </c>
      <c r="BJ69">
        <v>1.1743709210419699</v>
      </c>
      <c r="BK69">
        <v>1.085116538722406</v>
      </c>
      <c r="BL69">
        <v>0.85202263716269078</v>
      </c>
      <c r="BM69">
        <v>1.0996097972402381</v>
      </c>
      <c r="BN69">
        <v>1.385059220688398</v>
      </c>
      <c r="BO69">
        <v>1.6182061716174789</v>
      </c>
      <c r="BP69">
        <v>1.413532679318497</v>
      </c>
      <c r="BQ69">
        <v>1.6556918043383999</v>
      </c>
      <c r="BR69">
        <v>1.8618406503580811</v>
      </c>
      <c r="BS69">
        <v>1.802539323007067</v>
      </c>
      <c r="BT69">
        <v>1.725594421541079</v>
      </c>
      <c r="BU69">
        <v>1.924739963942885</v>
      </c>
      <c r="BV69">
        <v>1.9748074558326441</v>
      </c>
      <c r="BW69">
        <v>1.797213581576276</v>
      </c>
      <c r="BX69">
        <v>1.6960494736675431</v>
      </c>
      <c r="BY69">
        <v>1.8643238814083909</v>
      </c>
      <c r="BZ69">
        <v>1.989979016881458</v>
      </c>
      <c r="CA69">
        <v>1.9311153810306281</v>
      </c>
      <c r="CB69">
        <v>1.9866025299936909</v>
      </c>
    </row>
    <row r="70" spans="1:80" x14ac:dyDescent="0.35">
      <c r="A70" t="s">
        <v>30</v>
      </c>
      <c r="B70">
        <v>11.43996537399507</v>
      </c>
      <c r="C70">
        <v>11.26427897591512</v>
      </c>
      <c r="D70">
        <v>11.379250477275511</v>
      </c>
      <c r="E70">
        <v>11.173728559304539</v>
      </c>
      <c r="F70">
        <v>10.047718980740189</v>
      </c>
      <c r="G70">
        <v>9.6666119210620902</v>
      </c>
      <c r="H70">
        <v>9.4853465763587419</v>
      </c>
      <c r="I70">
        <v>9.4220500158164793</v>
      </c>
      <c r="J70">
        <v>9.6289720031708619</v>
      </c>
      <c r="K70">
        <v>9.8075331285334659</v>
      </c>
      <c r="L70">
        <v>9.9740753670515119</v>
      </c>
      <c r="M70">
        <v>9.6537700072639794</v>
      </c>
      <c r="N70">
        <v>9.5562658628024</v>
      </c>
      <c r="O70">
        <v>9.6488630853799435</v>
      </c>
      <c r="P70">
        <v>9.6959616894926253</v>
      </c>
      <c r="Q70">
        <v>9.5350897256031697</v>
      </c>
      <c r="R70">
        <v>9.5016315530432252</v>
      </c>
      <c r="S70">
        <v>9.6372790978553002</v>
      </c>
      <c r="T70">
        <v>9.853442853811611</v>
      </c>
      <c r="U70">
        <v>9.2539903141641364</v>
      </c>
      <c r="V70">
        <v>9.8805227171666949</v>
      </c>
      <c r="W70">
        <v>9.7479903339089908</v>
      </c>
      <c r="X70">
        <v>10.47153333266197</v>
      </c>
      <c r="Y70">
        <v>10.309164633959741</v>
      </c>
      <c r="Z70">
        <v>9.9876362094478921</v>
      </c>
      <c r="AA70">
        <v>9.9307500382453657</v>
      </c>
      <c r="AB70">
        <v>9.5529477903062556</v>
      </c>
      <c r="AC70">
        <v>9.037041686304395</v>
      </c>
      <c r="AD70">
        <v>8.7409009987985371</v>
      </c>
      <c r="AE70">
        <v>8.5744046172710551</v>
      </c>
      <c r="AF70">
        <v>8.4719283644573018</v>
      </c>
      <c r="AG70">
        <v>8.3570198331202441</v>
      </c>
      <c r="AH70">
        <v>8.37102067328928</v>
      </c>
      <c r="AI70">
        <v>8.2864992498151526</v>
      </c>
      <c r="AJ70">
        <v>7.5302035191623062</v>
      </c>
      <c r="AK70">
        <v>7.6851132988834614</v>
      </c>
      <c r="AL70">
        <v>7.3353781964556113</v>
      </c>
      <c r="AM70">
        <v>7.4321655563175799</v>
      </c>
      <c r="AN70">
        <v>7.6102466678084699</v>
      </c>
      <c r="AO70">
        <v>7.5446746714727588</v>
      </c>
      <c r="AP70">
        <v>7.8039428726062239</v>
      </c>
      <c r="AQ70">
        <v>7.9474263162801817</v>
      </c>
      <c r="AR70">
        <v>8.29380293814312</v>
      </c>
      <c r="AS70">
        <v>7.6515869650637089</v>
      </c>
      <c r="AT70">
        <v>7.5022553523773139</v>
      </c>
      <c r="AU70">
        <v>7.622282775098717</v>
      </c>
      <c r="AV70">
        <v>8.1722605735582654</v>
      </c>
      <c r="AW70">
        <v>8.2401747164997907</v>
      </c>
      <c r="AX70">
        <v>8.1847486014053423</v>
      </c>
      <c r="AY70">
        <v>8.3135357780834198</v>
      </c>
      <c r="AZ70">
        <v>8.4890130030514008</v>
      </c>
      <c r="BA70">
        <v>8.167023357313715</v>
      </c>
      <c r="BB70">
        <v>8.1335232968334061</v>
      </c>
      <c r="BC70">
        <v>7.9691616448547986</v>
      </c>
      <c r="BD70">
        <v>7.8844414319086642</v>
      </c>
      <c r="BE70">
        <v>7.4338820711045566</v>
      </c>
      <c r="BF70">
        <v>7.5059873027545816</v>
      </c>
      <c r="BG70">
        <v>8.0508787527218058</v>
      </c>
      <c r="BH70">
        <v>8.6159668177817075</v>
      </c>
      <c r="BI70">
        <v>8.9982791868125567</v>
      </c>
      <c r="BJ70">
        <v>8.8911599866774296</v>
      </c>
      <c r="BK70">
        <v>8.7394040818525749</v>
      </c>
      <c r="BL70">
        <v>8.7139689045867996</v>
      </c>
      <c r="BM70">
        <v>8.4629915700308302</v>
      </c>
      <c r="BN70">
        <v>8.2267157555104404</v>
      </c>
      <c r="BO70">
        <v>8.3261889788259662</v>
      </c>
      <c r="BP70">
        <v>8.2609309390840444</v>
      </c>
      <c r="BQ70">
        <v>8.3679645404630492</v>
      </c>
      <c r="BR70">
        <v>8.2086202364857748</v>
      </c>
      <c r="BS70">
        <v>8.3109181025394943</v>
      </c>
      <c r="BT70">
        <v>8.1475129219582616</v>
      </c>
      <c r="BU70">
        <v>7.6176335048125141</v>
      </c>
      <c r="BV70">
        <v>7.4140869719323241</v>
      </c>
      <c r="BW70">
        <v>7.3253085627416796</v>
      </c>
      <c r="BX70">
        <v>7.2615583007805862</v>
      </c>
      <c r="BY70">
        <v>7.1843620210947181</v>
      </c>
      <c r="BZ70">
        <v>7.3097310103354722</v>
      </c>
      <c r="CA70">
        <v>7.178385939802479</v>
      </c>
      <c r="CB70">
        <v>7.0642335159851823</v>
      </c>
    </row>
    <row r="71" spans="1:80" x14ac:dyDescent="0.35">
      <c r="A71" t="s">
        <v>31</v>
      </c>
      <c r="B71">
        <v>-1.3230501209749499</v>
      </c>
      <c r="C71">
        <v>-1.1619188135896661</v>
      </c>
      <c r="D71">
        <v>-0.12702240353085831</v>
      </c>
      <c r="E71">
        <v>-1.0971395629342311</v>
      </c>
      <c r="F71">
        <v>-1.710877858950222</v>
      </c>
      <c r="G71">
        <v>-0.31081995372974119</v>
      </c>
      <c r="H71">
        <v>1.9824662179238131</v>
      </c>
      <c r="I71">
        <v>2.708102701132951</v>
      </c>
      <c r="J71">
        <v>2.8883092791005649</v>
      </c>
      <c r="K71">
        <v>2.0465399639185851</v>
      </c>
      <c r="L71">
        <v>0.51407420295058914</v>
      </c>
      <c r="M71">
        <v>2.4432168568882791</v>
      </c>
      <c r="N71">
        <v>2.2535478083632219</v>
      </c>
      <c r="O71">
        <v>3.35269787921766</v>
      </c>
      <c r="P71">
        <v>4.6203142775304293</v>
      </c>
      <c r="Q71">
        <v>5.8658715558721122</v>
      </c>
      <c r="R71">
        <v>7.053400920010918</v>
      </c>
      <c r="S71">
        <v>6.6916922248248154</v>
      </c>
      <c r="T71">
        <v>6.2624925668946974</v>
      </c>
      <c r="U71">
        <v>5.4632944641673093</v>
      </c>
      <c r="V71">
        <v>4.5252917017613674</v>
      </c>
      <c r="W71">
        <v>5.1261618737115482</v>
      </c>
      <c r="X71">
        <v>4.4991343859961743</v>
      </c>
      <c r="Y71">
        <v>4.9008175472123794</v>
      </c>
      <c r="Z71">
        <v>4.9376927323932218</v>
      </c>
      <c r="AA71">
        <v>5.2485499691510897</v>
      </c>
      <c r="AB71">
        <v>5.064335848992557</v>
      </c>
      <c r="AC71">
        <v>5.3167288311028722</v>
      </c>
      <c r="AD71">
        <v>4.7531006018068798</v>
      </c>
      <c r="AE71">
        <v>5.1202225092620282</v>
      </c>
      <c r="AF71">
        <v>5.0808120141924524</v>
      </c>
      <c r="AG71">
        <v>4.5413031414391716</v>
      </c>
      <c r="AH71">
        <v>4.4679021297407928</v>
      </c>
      <c r="AI71">
        <v>4.4373976699209514</v>
      </c>
      <c r="AJ71">
        <v>4.7579202552768773</v>
      </c>
      <c r="AK71">
        <v>4.3610153503135196</v>
      </c>
      <c r="AL71">
        <v>4.2141063987853737</v>
      </c>
      <c r="AM71">
        <v>4.9826022357843494</v>
      </c>
      <c r="AN71">
        <v>3.0887723221624408</v>
      </c>
      <c r="AO71">
        <v>-1.0718117386001089</v>
      </c>
      <c r="AP71">
        <v>5.4059011734374938</v>
      </c>
      <c r="AQ71">
        <v>7.4492387471764241</v>
      </c>
      <c r="AR71">
        <v>7.3283328470428399</v>
      </c>
      <c r="AS71">
        <v>6.5603555049337814</v>
      </c>
      <c r="AT71">
        <v>5.7003093833215956</v>
      </c>
      <c r="AU71">
        <v>6.5173082430903309</v>
      </c>
      <c r="AV71">
        <v>7.5951105440405753</v>
      </c>
      <c r="AW71">
        <v>6.6972293925664754</v>
      </c>
      <c r="AX71">
        <v>6.051640064486481</v>
      </c>
      <c r="AY71">
        <v>6.2122848884634863</v>
      </c>
      <c r="AZ71">
        <v>6.1245215810714928</v>
      </c>
      <c r="BA71">
        <v>5.9649227682084236</v>
      </c>
      <c r="BB71">
        <v>6.5316193411004724</v>
      </c>
      <c r="BC71">
        <v>7.0941447918664791</v>
      </c>
      <c r="BD71">
        <v>7.3137280520525652</v>
      </c>
      <c r="BE71">
        <v>6.9216657724358406</v>
      </c>
      <c r="BF71">
        <v>6.6273150563200156</v>
      </c>
      <c r="BG71">
        <v>6.66946978224225</v>
      </c>
      <c r="BH71">
        <v>7.0311551044546059</v>
      </c>
      <c r="BI71">
        <v>7.1881324254489014</v>
      </c>
      <c r="BJ71">
        <v>6.7708515965063603</v>
      </c>
      <c r="BK71">
        <v>6.3124013080567174</v>
      </c>
      <c r="BL71">
        <v>6.7015894154163949</v>
      </c>
      <c r="BM71">
        <v>7.1262317176955268</v>
      </c>
      <c r="BN71">
        <v>7.5958045335846984</v>
      </c>
      <c r="BO71">
        <v>7.7829616915892723</v>
      </c>
      <c r="BP71">
        <v>7.2987248043425774</v>
      </c>
      <c r="BQ71">
        <v>7.1838131253836197</v>
      </c>
      <c r="BR71">
        <v>7.2844331284578283</v>
      </c>
      <c r="BS71">
        <v>7.528668813856517</v>
      </c>
      <c r="BT71">
        <v>6.9951904169969872</v>
      </c>
      <c r="BU71">
        <v>6.7418265656296894</v>
      </c>
      <c r="BV71">
        <v>6.3919819137042229</v>
      </c>
      <c r="BW71">
        <v>6.0747014645167816</v>
      </c>
      <c r="BX71">
        <v>6.1783382560583524</v>
      </c>
      <c r="BY71">
        <v>6.2485494648889048</v>
      </c>
      <c r="BZ71">
        <v>6.6800511827340587</v>
      </c>
      <c r="CA71">
        <v>6.3894567476484241</v>
      </c>
      <c r="CB71">
        <v>6.3769739968218566</v>
      </c>
    </row>
    <row r="72" spans="1:80" x14ac:dyDescent="0.35">
      <c r="A72" t="s">
        <v>32</v>
      </c>
      <c r="B72">
        <v>0.51594934035811335</v>
      </c>
      <c r="C72">
        <v>0.1182240115011112</v>
      </c>
      <c r="D72">
        <v>0.17461322784952571</v>
      </c>
      <c r="E72">
        <v>-0.12787928351955341</v>
      </c>
      <c r="F72">
        <v>-0.1415405367029185</v>
      </c>
      <c r="G72">
        <v>-0.1162953019784632</v>
      </c>
      <c r="H72">
        <v>-0.33193687240302561</v>
      </c>
      <c r="I72">
        <v>-0.32082600046743642</v>
      </c>
      <c r="J72">
        <v>-0.21431818023976659</v>
      </c>
      <c r="K72">
        <v>-0.1160805148259496</v>
      </c>
      <c r="L72">
        <v>-0.14575191478157501</v>
      </c>
      <c r="M72">
        <v>-0.14944972438637141</v>
      </c>
      <c r="N72">
        <v>-0.21284451219852479</v>
      </c>
      <c r="O72">
        <v>-0.29912030112801141</v>
      </c>
      <c r="P72">
        <v>-0.30268356420533021</v>
      </c>
      <c r="Q72">
        <v>-0.1470730012153624</v>
      </c>
      <c r="R72">
        <v>-0.16958121499025641</v>
      </c>
      <c r="S72">
        <v>-0.1165977488002324</v>
      </c>
      <c r="T72">
        <v>-8.2746264793028643E-2</v>
      </c>
      <c r="U72">
        <v>-6.5369602340325822E-2</v>
      </c>
      <c r="V72">
        <v>-0.19773718465184059</v>
      </c>
      <c r="W72">
        <v>-0.14871574795475681</v>
      </c>
      <c r="X72">
        <v>-0.19944908671634751</v>
      </c>
      <c r="Y72">
        <v>-0.1003378222293274</v>
      </c>
      <c r="Z72">
        <v>-0.25328070923301182</v>
      </c>
      <c r="AA72">
        <v>-0.4091784688655985</v>
      </c>
      <c r="AB72">
        <v>-0.49596932193242271</v>
      </c>
      <c r="AC72">
        <v>-0.28822290825546898</v>
      </c>
      <c r="AD72">
        <v>-0.13830518546694401</v>
      </c>
      <c r="AE72">
        <v>-0.35915191799796342</v>
      </c>
      <c r="AF72">
        <v>-0.20653967777198079</v>
      </c>
      <c r="AG72">
        <v>-0.27806520062194162</v>
      </c>
      <c r="AH72">
        <v>-0.33046431596530101</v>
      </c>
      <c r="AI72">
        <v>-0.23132832815195439</v>
      </c>
      <c r="AJ72">
        <v>-0.19344113762014839</v>
      </c>
      <c r="AK72">
        <v>-0.27326705782966798</v>
      </c>
      <c r="AL72">
        <v>-0.46532349104216969</v>
      </c>
      <c r="AM72">
        <v>-0.49674451039607181</v>
      </c>
      <c r="AN72">
        <v>-0.53673337042936931</v>
      </c>
      <c r="AO72">
        <v>-0.43605931316966878</v>
      </c>
      <c r="AP72">
        <v>-0.7212549622238541</v>
      </c>
      <c r="AQ72">
        <v>-0.54296659403138825</v>
      </c>
      <c r="AR72">
        <v>-0.42133291543598711</v>
      </c>
      <c r="AS72">
        <v>-0.27781046612511212</v>
      </c>
      <c r="AT72">
        <v>-0.12766069799262789</v>
      </c>
      <c r="AU72">
        <v>-0.22699587789161879</v>
      </c>
      <c r="AV72">
        <v>4.317029538858351E-2</v>
      </c>
      <c r="AW72">
        <v>-2.5378456433862759E-2</v>
      </c>
      <c r="AX72">
        <v>-0.18697075602636731</v>
      </c>
      <c r="AY72">
        <v>-0.1936795494947065</v>
      </c>
      <c r="AZ72">
        <v>-6.1066966693294533E-2</v>
      </c>
      <c r="BA72">
        <v>-4.8161727634532941E-2</v>
      </c>
      <c r="BB72">
        <v>-3.6963279583385293E-2</v>
      </c>
      <c r="BC72">
        <v>0.28902800811796903</v>
      </c>
      <c r="BD72">
        <v>0.32070708907510492</v>
      </c>
      <c r="BE72">
        <v>-0.2241577166917337</v>
      </c>
      <c r="BF72">
        <v>-0.3663585676745868</v>
      </c>
      <c r="BG72">
        <v>-0.35254363667873639</v>
      </c>
      <c r="BH72">
        <v>-0.3148102938252107</v>
      </c>
      <c r="BI72">
        <v>-8.3389479999587748E-2</v>
      </c>
      <c r="BJ72">
        <v>-0.24678989737643051</v>
      </c>
      <c r="BK72">
        <v>-0.3671770276454443</v>
      </c>
      <c r="BL72">
        <v>-0.26090128877358582</v>
      </c>
      <c r="BM72">
        <v>-0.1283276093367122</v>
      </c>
      <c r="BN72">
        <v>-7.2479423561919207E-2</v>
      </c>
      <c r="BO72">
        <v>-4.0039306891809651E-2</v>
      </c>
      <c r="BP72">
        <v>-5.2063859781407193E-2</v>
      </c>
      <c r="BQ72">
        <v>-0.14279278795358211</v>
      </c>
      <c r="BR72">
        <v>-0.12912574328305779</v>
      </c>
      <c r="BS72">
        <v>-0.1185779384461456</v>
      </c>
      <c r="BT72">
        <v>-0.13849255381740971</v>
      </c>
      <c r="BU72">
        <v>-8.4120497073743097E-2</v>
      </c>
      <c r="BV72">
        <v>7.5655257383304947E-2</v>
      </c>
      <c r="BW72">
        <v>-6.0253821219588749E-2</v>
      </c>
      <c r="BX72">
        <v>9.2794028021778205E-2</v>
      </c>
      <c r="BY72">
        <v>0.1934679919363857</v>
      </c>
      <c r="BZ72">
        <v>0.38682261920950189</v>
      </c>
      <c r="CA72">
        <v>0.32697622164416318</v>
      </c>
      <c r="CB72">
        <v>0.43850766130002827</v>
      </c>
    </row>
    <row r="73" spans="1:80" x14ac:dyDescent="0.35">
      <c r="A73" t="s">
        <v>33</v>
      </c>
      <c r="B73">
        <v>141.86387651353041</v>
      </c>
      <c r="C73">
        <v>141.84287609085979</v>
      </c>
      <c r="D73">
        <v>142.82544633372299</v>
      </c>
      <c r="E73">
        <v>141.67802967473361</v>
      </c>
      <c r="F73">
        <v>142.7368672008119</v>
      </c>
      <c r="G73">
        <v>144.77400129309871</v>
      </c>
      <c r="H73">
        <v>146.84159716507671</v>
      </c>
      <c r="I73">
        <v>147.8445403589721</v>
      </c>
      <c r="J73">
        <v>148.05236429653499</v>
      </c>
      <c r="K73">
        <v>147.12729992352359</v>
      </c>
      <c r="L73">
        <v>145.33923905254699</v>
      </c>
      <c r="M73">
        <v>148.223367210791</v>
      </c>
      <c r="N73">
        <v>148.36709441092469</v>
      </c>
      <c r="O73">
        <v>149.227674813308</v>
      </c>
      <c r="P73">
        <v>150.29726738244381</v>
      </c>
      <c r="Q73">
        <v>151.7689683881417</v>
      </c>
      <c r="R73">
        <v>153.0255794005088</v>
      </c>
      <c r="S73">
        <v>152.27049176684369</v>
      </c>
      <c r="T73">
        <v>151.48706800824019</v>
      </c>
      <c r="U73">
        <v>151.42502098584259</v>
      </c>
      <c r="V73">
        <v>149.3898497703467</v>
      </c>
      <c r="W73">
        <v>149.69081795293661</v>
      </c>
      <c r="X73">
        <v>147.61788829362791</v>
      </c>
      <c r="Y73">
        <v>148.58011564389329</v>
      </c>
      <c r="Z73">
        <v>148.6653372912661</v>
      </c>
      <c r="AA73">
        <v>148.77405491265461</v>
      </c>
      <c r="AB73">
        <v>148.48187078069279</v>
      </c>
      <c r="AC73">
        <v>150.29363496893129</v>
      </c>
      <c r="AD73">
        <v>150.6367541017176</v>
      </c>
      <c r="AE73">
        <v>150.9836546048997</v>
      </c>
      <c r="AF73">
        <v>151.12398951461509</v>
      </c>
      <c r="AG73">
        <v>150.538264816126</v>
      </c>
      <c r="AH73">
        <v>149.91955284593371</v>
      </c>
      <c r="AI73">
        <v>150.46591661886259</v>
      </c>
      <c r="AJ73">
        <v>152.12665753486041</v>
      </c>
      <c r="AK73">
        <v>151.65460054892941</v>
      </c>
      <c r="AL73">
        <v>151.15119811897409</v>
      </c>
      <c r="AM73">
        <v>152.14888601666399</v>
      </c>
      <c r="AN73">
        <v>149.90283214629989</v>
      </c>
      <c r="AO73">
        <v>145.30656168760771</v>
      </c>
      <c r="AP73">
        <v>152.13020228373529</v>
      </c>
      <c r="AQ73">
        <v>154.20015870937971</v>
      </c>
      <c r="AR73">
        <v>153.8429573140308</v>
      </c>
      <c r="AS73">
        <v>153.9603384826751</v>
      </c>
      <c r="AT73">
        <v>153.56115039046369</v>
      </c>
      <c r="AU73">
        <v>153.80328570769501</v>
      </c>
      <c r="AV73">
        <v>154.52057347623941</v>
      </c>
      <c r="AW73">
        <v>153.53973672874949</v>
      </c>
      <c r="AX73">
        <v>152.47402238497131</v>
      </c>
      <c r="AY73">
        <v>152.32196121425079</v>
      </c>
      <c r="AZ73">
        <v>151.90232762970291</v>
      </c>
      <c r="BA73">
        <v>153.04544831002099</v>
      </c>
      <c r="BB73">
        <v>154.4631412166392</v>
      </c>
      <c r="BC73">
        <v>155.4921076565355</v>
      </c>
      <c r="BD73">
        <v>156.14799271569709</v>
      </c>
      <c r="BE73">
        <v>155.5653964086159</v>
      </c>
      <c r="BF73">
        <v>155.0375400691965</v>
      </c>
      <c r="BG73">
        <v>154.54023058429129</v>
      </c>
      <c r="BH73">
        <v>154.59079321388651</v>
      </c>
      <c r="BI73">
        <v>155.07955643787571</v>
      </c>
      <c r="BJ73">
        <v>154.6542588696017</v>
      </c>
      <c r="BK73">
        <v>153.89810684931371</v>
      </c>
      <c r="BL73">
        <v>154.04582997648171</v>
      </c>
      <c r="BM73">
        <v>155.33287717876391</v>
      </c>
      <c r="BN73">
        <v>156.4950151186257</v>
      </c>
      <c r="BO73">
        <v>157.03310100848839</v>
      </c>
      <c r="BP73">
        <v>156.49310996093081</v>
      </c>
      <c r="BQ73">
        <v>156.27890458907319</v>
      </c>
      <c r="BR73">
        <v>156.9925716191743</v>
      </c>
      <c r="BS73">
        <v>157.39280458674469</v>
      </c>
      <c r="BT73">
        <v>156.81509729918031</v>
      </c>
      <c r="BU73">
        <v>157.57583101377861</v>
      </c>
      <c r="BV73">
        <v>157.63056133070731</v>
      </c>
      <c r="BW73">
        <v>156.69603281609781</v>
      </c>
      <c r="BX73">
        <v>156.8391213456201</v>
      </c>
      <c r="BY73">
        <v>157.44682555514689</v>
      </c>
      <c r="BZ73">
        <v>158.3203083739667</v>
      </c>
      <c r="CA73">
        <v>157.9875048472795</v>
      </c>
      <c r="CB73">
        <v>158.2163856358286</v>
      </c>
    </row>
    <row r="74" spans="1:80" x14ac:dyDescent="0.35">
      <c r="A74" t="s">
        <v>34</v>
      </c>
      <c r="B74">
        <v>45820077.75</v>
      </c>
      <c r="C74">
        <v>44172356.779999986</v>
      </c>
      <c r="D74">
        <v>69222411.870000005</v>
      </c>
      <c r="E74">
        <v>36839156.869999997</v>
      </c>
      <c r="F74">
        <v>45073721.43</v>
      </c>
      <c r="G74">
        <v>56086540.329999998</v>
      </c>
      <c r="H74">
        <v>55032388.469999999</v>
      </c>
      <c r="I74">
        <v>46005693.130000003</v>
      </c>
      <c r="J74">
        <v>41936708.200000003</v>
      </c>
      <c r="K74">
        <v>40674697.130000003</v>
      </c>
      <c r="L74">
        <v>34752141.359999999</v>
      </c>
      <c r="M74">
        <v>33696094.740000002</v>
      </c>
      <c r="N74">
        <v>37246169.559999987</v>
      </c>
      <c r="O74">
        <v>35981496.840000004</v>
      </c>
      <c r="P74">
        <v>84539200.75</v>
      </c>
      <c r="Q74">
        <v>82414898.029999986</v>
      </c>
      <c r="R74">
        <v>71116286.560000002</v>
      </c>
      <c r="S74">
        <v>71931429.229999989</v>
      </c>
      <c r="T74">
        <v>63869473.450000003</v>
      </c>
      <c r="U74">
        <v>61087530.479999989</v>
      </c>
      <c r="V74">
        <v>57007824.979999989</v>
      </c>
      <c r="W74">
        <v>54353257.5</v>
      </c>
      <c r="X74">
        <v>53854409.560000002</v>
      </c>
      <c r="Y74">
        <v>53377185.32</v>
      </c>
      <c r="Z74">
        <v>41422561.849999987</v>
      </c>
      <c r="AA74">
        <v>45146230.680000007</v>
      </c>
      <c r="AB74">
        <v>69780184.140000001</v>
      </c>
      <c r="AC74">
        <v>56587074.549999997</v>
      </c>
      <c r="AD74">
        <v>50915667.759999998</v>
      </c>
      <c r="AE74">
        <v>48273502.799999997</v>
      </c>
      <c r="AF74">
        <v>42115170.07</v>
      </c>
      <c r="AG74">
        <v>46152385.060000002</v>
      </c>
      <c r="AH74">
        <v>43731332.039999999</v>
      </c>
      <c r="AI74">
        <v>33182217.550000001</v>
      </c>
      <c r="AJ74">
        <v>23828557.620000001</v>
      </c>
      <c r="AK74">
        <v>19748548.120000001</v>
      </c>
      <c r="AL74">
        <v>18397316.5</v>
      </c>
      <c r="AM74">
        <v>18236695.280000001</v>
      </c>
      <c r="AN74">
        <v>17393735.77</v>
      </c>
      <c r="AO74">
        <v>7368905.8000000007</v>
      </c>
      <c r="AP74">
        <v>28328066.530000001</v>
      </c>
      <c r="AQ74">
        <v>30905217.030000001</v>
      </c>
      <c r="AR74">
        <v>30969878.52</v>
      </c>
      <c r="AS74">
        <v>39045848.159999996</v>
      </c>
      <c r="AT74">
        <v>37824677.399999999</v>
      </c>
      <c r="AU74">
        <v>45498621.729999997</v>
      </c>
      <c r="AV74">
        <v>62288255.179999992</v>
      </c>
      <c r="AW74">
        <v>50983819.439999998</v>
      </c>
      <c r="AX74">
        <v>56995201.960000001</v>
      </c>
      <c r="AY74">
        <v>76439005.909999996</v>
      </c>
      <c r="AZ74">
        <v>136762319.88</v>
      </c>
      <c r="BA74">
        <v>113763487.75</v>
      </c>
      <c r="BB74">
        <v>105722337.27</v>
      </c>
      <c r="BC74">
        <v>96889636.13000001</v>
      </c>
      <c r="BD74">
        <v>93874826.430000007</v>
      </c>
      <c r="BE74">
        <v>67373945.010000005</v>
      </c>
      <c r="BF74">
        <v>66390632.400000013</v>
      </c>
      <c r="BG74">
        <v>83904946.590000004</v>
      </c>
      <c r="BH74">
        <v>72300111.49000001</v>
      </c>
      <c r="BI74">
        <v>84703467.609999999</v>
      </c>
      <c r="BJ74">
        <v>100054047.86</v>
      </c>
      <c r="BK74">
        <v>99565685.75</v>
      </c>
      <c r="BL74">
        <v>182242408.22</v>
      </c>
      <c r="BM74">
        <v>143818990.09</v>
      </c>
      <c r="BN74">
        <v>129360126.61</v>
      </c>
      <c r="BO74">
        <v>117750376.51000001</v>
      </c>
      <c r="BP74">
        <v>120680150.17</v>
      </c>
      <c r="BQ74">
        <v>108879642.29000001</v>
      </c>
      <c r="BR74">
        <v>104741790.97</v>
      </c>
      <c r="BS74">
        <v>102078573.44</v>
      </c>
      <c r="BT74">
        <v>77544515.99000001</v>
      </c>
      <c r="BU74">
        <v>89478757.99000001</v>
      </c>
      <c r="BV74">
        <v>83953192.63000001</v>
      </c>
      <c r="BW74">
        <v>110071935.09999999</v>
      </c>
      <c r="BX74">
        <v>179564566.06</v>
      </c>
      <c r="BY74">
        <v>144968935.47999999</v>
      </c>
      <c r="BZ74">
        <v>136919522.56</v>
      </c>
      <c r="CA74">
        <v>127772810.31</v>
      </c>
      <c r="CB74">
        <v>40548316.649999999</v>
      </c>
    </row>
    <row r="75" spans="1:80" x14ac:dyDescent="0.35">
      <c r="A75" t="s">
        <v>35</v>
      </c>
      <c r="B75">
        <v>1.924985206595915</v>
      </c>
      <c r="C75">
        <v>1.921264452635743</v>
      </c>
      <c r="D75">
        <v>1.8583132835619789</v>
      </c>
      <c r="E75">
        <v>1.9319063519163311</v>
      </c>
      <c r="F75">
        <v>1.970630136519564</v>
      </c>
      <c r="G75">
        <v>1.886376506877911</v>
      </c>
      <c r="H75">
        <v>1.7541531742864509</v>
      </c>
      <c r="I75">
        <v>1.7167704427332131</v>
      </c>
      <c r="J75">
        <v>1.7149879582997369</v>
      </c>
      <c r="K75">
        <v>1.7708315590100769</v>
      </c>
      <c r="L75">
        <v>1.8788861200107301</v>
      </c>
      <c r="M75">
        <v>1.7577106669740541</v>
      </c>
      <c r="N75">
        <v>1.775270895511678</v>
      </c>
      <c r="O75">
        <v>1.7047085842696941</v>
      </c>
      <c r="P75">
        <v>1.611838468581108</v>
      </c>
      <c r="Q75">
        <v>1.528717672916567</v>
      </c>
      <c r="R75">
        <v>1.456673969466423</v>
      </c>
      <c r="S75">
        <v>1.4832018941561149</v>
      </c>
      <c r="T75">
        <v>1.5055623799331419</v>
      </c>
      <c r="U75">
        <v>1.5527602101320761</v>
      </c>
      <c r="V75">
        <v>1.599860296066264</v>
      </c>
      <c r="W75">
        <v>1.5807601860465079</v>
      </c>
      <c r="X75">
        <v>1.620879666196174</v>
      </c>
      <c r="Y75">
        <v>1.596185747053767</v>
      </c>
      <c r="Z75">
        <v>1.589121902587215</v>
      </c>
      <c r="AA75">
        <v>1.571162457523239</v>
      </c>
      <c r="AB75">
        <v>1.58460888528167</v>
      </c>
      <c r="AC75">
        <v>1.575746207805462</v>
      </c>
      <c r="AD75">
        <v>1.601768528872511</v>
      </c>
      <c r="AE75">
        <v>1.586158106801004</v>
      </c>
      <c r="AF75">
        <v>1.5839830473664389</v>
      </c>
      <c r="AG75">
        <v>1.614007042732492</v>
      </c>
      <c r="AH75">
        <v>1.621710310436435</v>
      </c>
      <c r="AI75">
        <v>1.6253511485087591</v>
      </c>
      <c r="AJ75">
        <v>1.597555889230208</v>
      </c>
      <c r="AK75">
        <v>1.624497844018111</v>
      </c>
      <c r="AL75">
        <v>1.641424265589688</v>
      </c>
      <c r="AM75">
        <v>1.590514372381379</v>
      </c>
      <c r="AN75">
        <v>1.6990606710110849</v>
      </c>
      <c r="AO75">
        <v>1.942507583813935</v>
      </c>
      <c r="AP75">
        <v>1.56250588597724</v>
      </c>
      <c r="AQ75">
        <v>1.430669777948504</v>
      </c>
      <c r="AR75">
        <v>1.4357739092159469</v>
      </c>
      <c r="AS75">
        <v>1.48621496430605</v>
      </c>
      <c r="AT75">
        <v>1.548156051201717</v>
      </c>
      <c r="AU75">
        <v>1.5081018024335271</v>
      </c>
      <c r="AV75">
        <v>1.45206571279588</v>
      </c>
      <c r="AW75">
        <v>1.5043651352355061</v>
      </c>
      <c r="AX75">
        <v>1.536216671945569</v>
      </c>
      <c r="AY75">
        <v>1.5273971797447421</v>
      </c>
      <c r="AZ75">
        <v>1.5296683957568571</v>
      </c>
      <c r="BA75">
        <v>1.531219478455268</v>
      </c>
      <c r="BB75">
        <v>1.501874404673885</v>
      </c>
      <c r="BC75">
        <v>1.4730566958092559</v>
      </c>
      <c r="BD75">
        <v>1.460231072251815</v>
      </c>
      <c r="BE75">
        <v>1.4871970723443211</v>
      </c>
      <c r="BF75">
        <v>1.507353859687584</v>
      </c>
      <c r="BG75">
        <v>1.511228646672335</v>
      </c>
      <c r="BH75">
        <v>1.4828063897145189</v>
      </c>
      <c r="BI75">
        <v>1.4686626984218241</v>
      </c>
      <c r="BJ75">
        <v>1.4910816652773571</v>
      </c>
      <c r="BK75">
        <v>1.511802934221026</v>
      </c>
      <c r="BL75">
        <v>1.4878625290258991</v>
      </c>
      <c r="BM75">
        <v>1.470757257700827</v>
      </c>
      <c r="BN75">
        <v>1.443575291337317</v>
      </c>
      <c r="BO75">
        <v>1.431515934215642</v>
      </c>
      <c r="BP75">
        <v>1.460551914531409</v>
      </c>
      <c r="BQ75">
        <v>1.4543095747062329</v>
      </c>
      <c r="BR75">
        <v>1.4353983190848261</v>
      </c>
      <c r="BS75">
        <v>1.4195083477266359</v>
      </c>
      <c r="BT75">
        <v>1.4437591875807341</v>
      </c>
      <c r="BU75">
        <v>1.4700725489638029</v>
      </c>
      <c r="BV75">
        <v>1.4925417788831601</v>
      </c>
      <c r="BW75">
        <v>1.4975249575471561</v>
      </c>
      <c r="BX75">
        <v>1.496633361939381</v>
      </c>
      <c r="BY75">
        <v>1.502509396675491</v>
      </c>
      <c r="BZ75">
        <v>1.4852095874906781</v>
      </c>
      <c r="CA75">
        <v>1.5068426536507891</v>
      </c>
      <c r="CB75">
        <v>1.503643669306526</v>
      </c>
    </row>
    <row r="76" spans="1:80" x14ac:dyDescent="0.35">
      <c r="A76" t="s">
        <v>36</v>
      </c>
      <c r="B76">
        <v>0.2397872154099302</v>
      </c>
      <c r="C76">
        <v>0.2456452576049985</v>
      </c>
      <c r="D76">
        <v>0.2447761797288413</v>
      </c>
      <c r="E76">
        <v>0.2496034407002975</v>
      </c>
      <c r="F76">
        <v>0.2498788524364805</v>
      </c>
      <c r="G76">
        <v>0.24946012615646559</v>
      </c>
      <c r="H76">
        <v>0.25262263391691031</v>
      </c>
      <c r="I76">
        <v>0.25262620617882209</v>
      </c>
      <c r="J76">
        <v>0.25137460168084919</v>
      </c>
      <c r="K76">
        <v>0.25016491335781949</v>
      </c>
      <c r="L76">
        <v>0.25113704099711909</v>
      </c>
      <c r="M76">
        <v>0.25095426052025038</v>
      </c>
      <c r="N76">
        <v>0.25205591745888972</v>
      </c>
      <c r="O76">
        <v>0.2531076198092761</v>
      </c>
      <c r="P76">
        <v>0.25259818340835211</v>
      </c>
      <c r="Q76">
        <v>0.25007356147376159</v>
      </c>
      <c r="R76">
        <v>0.25032809611019707</v>
      </c>
      <c r="S76">
        <v>0.2497319325917659</v>
      </c>
      <c r="T76">
        <v>0.2491599760980483</v>
      </c>
      <c r="U76">
        <v>0.2489174373619073</v>
      </c>
      <c r="V76">
        <v>0.25056116158426017</v>
      </c>
      <c r="W76">
        <v>0.25035815720938159</v>
      </c>
      <c r="X76">
        <v>0.25118196542487548</v>
      </c>
      <c r="Y76">
        <v>0.24973347293543649</v>
      </c>
      <c r="Z76">
        <v>0.25176853307855551</v>
      </c>
      <c r="AA76">
        <v>0.25400563193285702</v>
      </c>
      <c r="AB76">
        <v>0.25532540849840007</v>
      </c>
      <c r="AC76">
        <v>0.25254078529883989</v>
      </c>
      <c r="AD76">
        <v>0.25018076842258818</v>
      </c>
      <c r="AE76">
        <v>0.25351893554801253</v>
      </c>
      <c r="AF76">
        <v>0.25120120995752637</v>
      </c>
      <c r="AG76">
        <v>0.25217060046727302</v>
      </c>
      <c r="AH76">
        <v>0.25302279888442658</v>
      </c>
      <c r="AI76">
        <v>0.25166309471412129</v>
      </c>
      <c r="AJ76">
        <v>0.2508481453733078</v>
      </c>
      <c r="AK76">
        <v>0.25209855466519232</v>
      </c>
      <c r="AL76">
        <v>0.25509583182967221</v>
      </c>
      <c r="AM76">
        <v>0.25537008346112239</v>
      </c>
      <c r="AN76">
        <v>0.25585394081889062</v>
      </c>
      <c r="AO76">
        <v>0.25437614838664369</v>
      </c>
      <c r="AP76">
        <v>0.25848221597003568</v>
      </c>
      <c r="AQ76">
        <v>0.25557891948070233</v>
      </c>
      <c r="AR76">
        <v>0.25377982670979488</v>
      </c>
      <c r="AS76">
        <v>0.25189070755593479</v>
      </c>
      <c r="AT76">
        <v>0.25009316408972188</v>
      </c>
      <c r="AU76">
        <v>0.25175727403793602</v>
      </c>
      <c r="AV76">
        <v>0.24812318724757709</v>
      </c>
      <c r="AW76">
        <v>0.2490866250527228</v>
      </c>
      <c r="AX76">
        <v>0.25120760771675332</v>
      </c>
      <c r="AY76">
        <v>0.2513227395620326</v>
      </c>
      <c r="AZ76">
        <v>0.2493397639460472</v>
      </c>
      <c r="BA76">
        <v>0.248915492691204</v>
      </c>
      <c r="BB76">
        <v>0.24887765829276959</v>
      </c>
      <c r="BC76">
        <v>0.24435141612764941</v>
      </c>
      <c r="BD76">
        <v>0.2439016447304998</v>
      </c>
      <c r="BE76">
        <v>0.25180492296766571</v>
      </c>
      <c r="BF76">
        <v>0.2539233649001692</v>
      </c>
      <c r="BG76">
        <v>0.25392053354139837</v>
      </c>
      <c r="BH76">
        <v>0.25316271079342401</v>
      </c>
      <c r="BI76">
        <v>0.24970640127241889</v>
      </c>
      <c r="BJ76">
        <v>0.25197558179845342</v>
      </c>
      <c r="BK76">
        <v>0.25350418176915013</v>
      </c>
      <c r="BL76">
        <v>0.2519539063021497</v>
      </c>
      <c r="BM76">
        <v>0.2503010278499655</v>
      </c>
      <c r="BN76">
        <v>0.24951666490980251</v>
      </c>
      <c r="BO76">
        <v>0.2490210883696222</v>
      </c>
      <c r="BP76">
        <v>0.24920974904977619</v>
      </c>
      <c r="BQ76">
        <v>0.25010786076798558</v>
      </c>
      <c r="BR76">
        <v>0.24951488976520789</v>
      </c>
      <c r="BS76">
        <v>0.24931757929810699</v>
      </c>
      <c r="BT76">
        <v>0.24938380107950939</v>
      </c>
      <c r="BU76">
        <v>0.24895633104705769</v>
      </c>
      <c r="BV76">
        <v>0.24673168147564889</v>
      </c>
      <c r="BW76">
        <v>0.248254452685163</v>
      </c>
      <c r="BX76">
        <v>0.24622738196888669</v>
      </c>
      <c r="BY76">
        <v>0.24509549184695731</v>
      </c>
      <c r="BZ76">
        <v>0.24258071078813959</v>
      </c>
      <c r="CA76">
        <v>0.2435746167491023</v>
      </c>
      <c r="CB76">
        <v>0.241860904433468</v>
      </c>
    </row>
    <row r="78" spans="1:80" x14ac:dyDescent="0.35">
      <c r="A78" t="s">
        <v>43</v>
      </c>
      <c r="B78" t="s">
        <v>45</v>
      </c>
      <c r="C78" t="s">
        <v>46</v>
      </c>
      <c r="D78" t="s">
        <v>47</v>
      </c>
      <c r="E78" t="s">
        <v>48</v>
      </c>
      <c r="F78" t="s">
        <v>49</v>
      </c>
      <c r="G78" t="s">
        <v>50</v>
      </c>
      <c r="H78" t="s">
        <v>51</v>
      </c>
      <c r="I78" t="s">
        <v>52</v>
      </c>
      <c r="J78" t="s">
        <v>53</v>
      </c>
      <c r="K78" t="s">
        <v>54</v>
      </c>
      <c r="L78" t="s">
        <v>55</v>
      </c>
      <c r="M78" t="s">
        <v>56</v>
      </c>
      <c r="N78" t="s">
        <v>57</v>
      </c>
      <c r="O78" t="s">
        <v>58</v>
      </c>
      <c r="P78" t="s">
        <v>59</v>
      </c>
      <c r="Q78" t="s">
        <v>60</v>
      </c>
      <c r="R78" t="s">
        <v>61</v>
      </c>
      <c r="S78" t="s">
        <v>62</v>
      </c>
      <c r="T78" t="s">
        <v>63</v>
      </c>
      <c r="U78" t="s">
        <v>64</v>
      </c>
      <c r="V78" t="s">
        <v>65</v>
      </c>
      <c r="W78" t="s">
        <v>66</v>
      </c>
      <c r="X78" t="s">
        <v>67</v>
      </c>
      <c r="Y78" t="s">
        <v>68</v>
      </c>
      <c r="Z78" t="s">
        <v>69</v>
      </c>
      <c r="AA78" t="s">
        <v>70</v>
      </c>
      <c r="AB78" t="s">
        <v>71</v>
      </c>
      <c r="AC78" t="s">
        <v>72</v>
      </c>
      <c r="AD78" t="s">
        <v>73</v>
      </c>
      <c r="AE78" t="s">
        <v>74</v>
      </c>
      <c r="AF78" t="s">
        <v>75</v>
      </c>
      <c r="AG78" t="s">
        <v>76</v>
      </c>
      <c r="AH78" t="s">
        <v>77</v>
      </c>
      <c r="AI78" t="s">
        <v>78</v>
      </c>
      <c r="AJ78" t="s">
        <v>79</v>
      </c>
      <c r="AK78" t="s">
        <v>80</v>
      </c>
      <c r="AL78" t="s">
        <v>81</v>
      </c>
      <c r="AM78" t="s">
        <v>82</v>
      </c>
      <c r="AN78" t="s">
        <v>83</v>
      </c>
      <c r="AO78" t="s">
        <v>84</v>
      </c>
      <c r="AP78" t="s">
        <v>85</v>
      </c>
      <c r="AQ78" t="s">
        <v>86</v>
      </c>
      <c r="AR78" t="s">
        <v>87</v>
      </c>
      <c r="AS78" t="s">
        <v>88</v>
      </c>
      <c r="AT78" t="s">
        <v>89</v>
      </c>
      <c r="AU78" t="s">
        <v>90</v>
      </c>
      <c r="AV78" t="s">
        <v>91</v>
      </c>
      <c r="AW78" t="s">
        <v>92</v>
      </c>
      <c r="AX78" t="s">
        <v>93</v>
      </c>
      <c r="AY78" t="s">
        <v>94</v>
      </c>
      <c r="AZ78" t="s">
        <v>95</v>
      </c>
      <c r="BA78" t="s">
        <v>96</v>
      </c>
      <c r="BB78" t="s">
        <v>97</v>
      </c>
      <c r="BC78" t="s">
        <v>98</v>
      </c>
      <c r="BD78" t="s">
        <v>99</v>
      </c>
      <c r="BE78" t="s">
        <v>100</v>
      </c>
      <c r="BF78" t="s">
        <v>101</v>
      </c>
      <c r="BG78" t="s">
        <v>102</v>
      </c>
      <c r="BH78" t="s">
        <v>103</v>
      </c>
      <c r="BI78" t="s">
        <v>104</v>
      </c>
      <c r="BJ78" t="s">
        <v>105</v>
      </c>
      <c r="BK78" t="s">
        <v>106</v>
      </c>
      <c r="BL78" t="s">
        <v>107</v>
      </c>
      <c r="BM78" t="s">
        <v>108</v>
      </c>
      <c r="BN78" t="s">
        <v>109</v>
      </c>
      <c r="BO78" t="s">
        <v>110</v>
      </c>
      <c r="BP78" t="s">
        <v>111</v>
      </c>
      <c r="BQ78" t="s">
        <v>112</v>
      </c>
      <c r="BR78" t="s">
        <v>113</v>
      </c>
      <c r="BS78" t="s">
        <v>114</v>
      </c>
      <c r="BT78" t="s">
        <v>115</v>
      </c>
      <c r="BU78" t="s">
        <v>116</v>
      </c>
      <c r="BV78" t="s">
        <v>117</v>
      </c>
      <c r="BW78" t="s">
        <v>118</v>
      </c>
      <c r="BX78" t="s">
        <v>119</v>
      </c>
      <c r="BY78" t="s">
        <v>120</v>
      </c>
      <c r="BZ78" t="s">
        <v>121</v>
      </c>
      <c r="CA78" t="s">
        <v>122</v>
      </c>
      <c r="CB78" t="s">
        <v>123</v>
      </c>
    </row>
    <row r="79" spans="1:80" x14ac:dyDescent="0.35">
      <c r="A79" t="s">
        <v>28</v>
      </c>
      <c r="B79">
        <v>130.57875699471589</v>
      </c>
      <c r="C79">
        <v>131.6585293552526</v>
      </c>
      <c r="D79">
        <v>131.33093048671449</v>
      </c>
      <c r="E79">
        <v>131.00505568294429</v>
      </c>
      <c r="F79">
        <v>133.76826992523499</v>
      </c>
      <c r="G79">
        <v>135.07875701995121</v>
      </c>
      <c r="H79">
        <v>135.50900987397171</v>
      </c>
      <c r="I79">
        <v>135.74769473094969</v>
      </c>
      <c r="J79">
        <v>135.51238451508959</v>
      </c>
      <c r="K79">
        <v>135.20420050449559</v>
      </c>
      <c r="L79">
        <v>134.90682792422859</v>
      </c>
      <c r="M79">
        <v>135.2650083117945</v>
      </c>
      <c r="N79">
        <v>135.38375210151659</v>
      </c>
      <c r="O79">
        <v>134.88016043719651</v>
      </c>
      <c r="P79">
        <v>134.4797710005393</v>
      </c>
      <c r="Q79">
        <v>134.16359100067481</v>
      </c>
      <c r="R79">
        <v>134.26140500412279</v>
      </c>
      <c r="S79">
        <v>133.8832398138145</v>
      </c>
      <c r="T79">
        <v>133.21724533440661</v>
      </c>
      <c r="U79">
        <v>134.695034395882</v>
      </c>
      <c r="V79">
        <v>133.30310970502521</v>
      </c>
      <c r="W79">
        <v>133.1414327880089</v>
      </c>
      <c r="X79">
        <v>131.82806501880489</v>
      </c>
      <c r="Y79">
        <v>131.85832006054071</v>
      </c>
      <c r="Z79">
        <v>132.2688669747327</v>
      </c>
      <c r="AA79">
        <v>132.37166496772321</v>
      </c>
      <c r="AB79">
        <v>132.88616697367419</v>
      </c>
      <c r="AC79">
        <v>134.2439690585733</v>
      </c>
      <c r="AD79">
        <v>135.16278859406151</v>
      </c>
      <c r="AE79">
        <v>135.44362247692109</v>
      </c>
      <c r="AF79">
        <v>135.83887303161589</v>
      </c>
      <c r="AG79">
        <v>135.64299494786459</v>
      </c>
      <c r="AH79">
        <v>135.22754920502669</v>
      </c>
      <c r="AI79">
        <v>134.69546131291139</v>
      </c>
      <c r="AJ79">
        <v>135.72696434458439</v>
      </c>
      <c r="AK79">
        <v>135.35916297555099</v>
      </c>
      <c r="AL79">
        <v>135.46051941709621</v>
      </c>
      <c r="AM79">
        <v>135.75874263443711</v>
      </c>
      <c r="AN79">
        <v>135.6459418180203</v>
      </c>
      <c r="AO79">
        <v>136.39968165398619</v>
      </c>
      <c r="AP79">
        <v>136.69695538885179</v>
      </c>
      <c r="AQ79">
        <v>135.54974244915601</v>
      </c>
      <c r="AR79">
        <v>135.20015532068459</v>
      </c>
      <c r="AS79">
        <v>137.09244009109059</v>
      </c>
      <c r="AT79">
        <v>137.8678824790409</v>
      </c>
      <c r="AU79">
        <v>137.58758365590089</v>
      </c>
      <c r="AV79">
        <v>137.06732854123581</v>
      </c>
      <c r="AW79">
        <v>137.24314223223229</v>
      </c>
      <c r="AX79">
        <v>137.3869851847914</v>
      </c>
      <c r="AY79">
        <v>137.24815369295311</v>
      </c>
      <c r="AZ79">
        <v>136.85266501111511</v>
      </c>
      <c r="BA79">
        <v>137.8097887580185</v>
      </c>
      <c r="BB79">
        <v>138.30078929779131</v>
      </c>
      <c r="BC79">
        <v>138.7614276096221</v>
      </c>
      <c r="BD79">
        <v>138.9220083901927</v>
      </c>
      <c r="BE79">
        <v>139.38557268682661</v>
      </c>
      <c r="BF79">
        <v>139.2088901544808</v>
      </c>
      <c r="BG79">
        <v>138.25159556195081</v>
      </c>
      <c r="BH79">
        <v>137.36514126308271</v>
      </c>
      <c r="BI79">
        <v>137.00271727216949</v>
      </c>
      <c r="BJ79">
        <v>137.03084383079681</v>
      </c>
      <c r="BK79">
        <v>136.90912049796071</v>
      </c>
      <c r="BL79">
        <v>137.18672130836711</v>
      </c>
      <c r="BM79">
        <v>138.0453863330529</v>
      </c>
      <c r="BN79">
        <v>138.65650292220721</v>
      </c>
      <c r="BO79">
        <v>138.7512661324638</v>
      </c>
      <c r="BP79">
        <v>138.9839330134439</v>
      </c>
      <c r="BQ79">
        <v>138.69828559804591</v>
      </c>
      <c r="BR79">
        <v>138.9992488011481</v>
      </c>
      <c r="BS79">
        <v>139.06488719169619</v>
      </c>
      <c r="BT79">
        <v>139.237477973881</v>
      </c>
      <c r="BU79">
        <v>140.60548239889329</v>
      </c>
      <c r="BV79">
        <v>141.23068702747651</v>
      </c>
      <c r="BW79">
        <v>141.18589772463591</v>
      </c>
      <c r="BX79">
        <v>141.33032632732781</v>
      </c>
      <c r="BY79">
        <v>141.73181677522521</v>
      </c>
      <c r="BZ79">
        <v>141.94670745197541</v>
      </c>
      <c r="CA79">
        <v>142.38351919859289</v>
      </c>
      <c r="CB79">
        <v>142.63031717514949</v>
      </c>
    </row>
    <row r="80" spans="1:80" x14ac:dyDescent="0.35">
      <c r="A80" t="s">
        <v>29</v>
      </c>
      <c r="B80">
        <v>0.39747995726395252</v>
      </c>
      <c r="C80">
        <v>0.4394332663648321</v>
      </c>
      <c r="D80">
        <v>0.65456578629093198</v>
      </c>
      <c r="E80">
        <v>0.55250334931007972</v>
      </c>
      <c r="F80">
        <v>0.6992916291421083</v>
      </c>
      <c r="G80">
        <v>0.65435596824762277</v>
      </c>
      <c r="H80">
        <v>0.4317907712458216</v>
      </c>
      <c r="I80">
        <v>0.47176463692705678</v>
      </c>
      <c r="J80">
        <v>0.39513075404258841</v>
      </c>
      <c r="K80">
        <v>0.1226284315643075</v>
      </c>
      <c r="L80">
        <v>0.11945993590913601</v>
      </c>
      <c r="M80">
        <v>3.3678867899882912E-2</v>
      </c>
      <c r="N80">
        <v>0.50440033064632583</v>
      </c>
      <c r="O80">
        <v>0.50653216506072762</v>
      </c>
      <c r="P80">
        <v>0.66025568441278859</v>
      </c>
      <c r="Q80">
        <v>0.53083497336212504</v>
      </c>
      <c r="R80">
        <v>0.51135062327735992</v>
      </c>
      <c r="S80">
        <v>0.23824479717641239</v>
      </c>
      <c r="T80">
        <v>0.13278632449668221</v>
      </c>
      <c r="U80">
        <v>8.0497358892049981E-2</v>
      </c>
      <c r="V80">
        <v>-0.13908723490170621</v>
      </c>
      <c r="W80">
        <v>-0.1803207894847621</v>
      </c>
      <c r="X80">
        <v>-0.39368143472974643</v>
      </c>
      <c r="Y80">
        <v>-0.37475410601696368</v>
      </c>
      <c r="Z80">
        <v>-0.51412701340382938</v>
      </c>
      <c r="AA80">
        <v>-0.29826760059582669</v>
      </c>
      <c r="AB80">
        <v>-0.29735957576838801</v>
      </c>
      <c r="AC80">
        <v>1.4301111626169099E-2</v>
      </c>
      <c r="AD80">
        <v>0.16084322631051881</v>
      </c>
      <c r="AE80">
        <v>6.3879017748288178E-2</v>
      </c>
      <c r="AF80">
        <v>-9.913317736876117E-3</v>
      </c>
      <c r="AG80">
        <v>-0.1554693374818186</v>
      </c>
      <c r="AH80">
        <v>-0.43596087237191428</v>
      </c>
      <c r="AI80">
        <v>-0.43533187401702039</v>
      </c>
      <c r="AJ80">
        <v>-0.44107498047665128</v>
      </c>
      <c r="AK80">
        <v>-0.44965183478454168</v>
      </c>
      <c r="AL80">
        <v>-1.1390208127188479</v>
      </c>
      <c r="AM80">
        <v>-0.59258337789275151</v>
      </c>
      <c r="AN80">
        <v>-0.66935224624829603</v>
      </c>
      <c r="AO80">
        <v>-0.52097074163720269</v>
      </c>
      <c r="AP80">
        <v>0.14213250063579921</v>
      </c>
      <c r="AQ80">
        <v>-0.28191753114317297</v>
      </c>
      <c r="AR80">
        <v>-6.4527325540353064E-2</v>
      </c>
      <c r="AS80">
        <v>0.29331669952995432</v>
      </c>
      <c r="AT80">
        <v>0.55484231264496586</v>
      </c>
      <c r="AU80">
        <v>0.63531267207760234</v>
      </c>
      <c r="AV80">
        <v>0.6773417841635897</v>
      </c>
      <c r="AW80">
        <v>0.56667794488650014</v>
      </c>
      <c r="AX80">
        <v>0.1284074129110637</v>
      </c>
      <c r="AY80">
        <v>0.1256331689457599</v>
      </c>
      <c r="AZ80">
        <v>-0.10157772203382159</v>
      </c>
      <c r="BA80">
        <v>0.33857500522313461</v>
      </c>
      <c r="BB80">
        <v>0.7559868792245884</v>
      </c>
      <c r="BC80">
        <v>0.71937100059885029</v>
      </c>
      <c r="BD80">
        <v>0.6024611024831753</v>
      </c>
      <c r="BE80">
        <v>0.59908238370943345</v>
      </c>
      <c r="BF80">
        <v>0.64076635476789112</v>
      </c>
      <c r="BG80">
        <v>0.56698229013162471</v>
      </c>
      <c r="BH80">
        <v>0.52997772667607068</v>
      </c>
      <c r="BI80">
        <v>0.59338649561593615</v>
      </c>
      <c r="BJ80">
        <v>0.64791927687904072</v>
      </c>
      <c r="BK80">
        <v>0.48449840516626691</v>
      </c>
      <c r="BL80">
        <v>0.2479003005265033</v>
      </c>
      <c r="BM80">
        <v>0.69506713604351256</v>
      </c>
      <c r="BN80">
        <v>1.133926325174661</v>
      </c>
      <c r="BO80">
        <v>1.3960480442091561</v>
      </c>
      <c r="BP80">
        <v>1.161482837404384</v>
      </c>
      <c r="BQ80">
        <v>1.2306914254898409</v>
      </c>
      <c r="BR80">
        <v>1.359914083823768</v>
      </c>
      <c r="BS80">
        <v>1.501207013078186</v>
      </c>
      <c r="BT80">
        <v>1.492851447539878</v>
      </c>
      <c r="BU80">
        <v>1.74168769263606</v>
      </c>
      <c r="BV80">
        <v>1.762093472534237</v>
      </c>
      <c r="BW80">
        <v>1.6274176880108999</v>
      </c>
      <c r="BX80">
        <v>1.452197593011509</v>
      </c>
      <c r="BY80">
        <v>1.6444094449633131</v>
      </c>
      <c r="BZ80">
        <v>1.799246103491309</v>
      </c>
      <c r="CA80">
        <v>1.734447629317851</v>
      </c>
      <c r="CB80">
        <v>1.778628400923137</v>
      </c>
    </row>
    <row r="81" spans="1:80" x14ac:dyDescent="0.35">
      <c r="A81" t="s">
        <v>30</v>
      </c>
      <c r="B81">
        <v>11.473801242518229</v>
      </c>
      <c r="C81">
        <v>10.983526253366581</v>
      </c>
      <c r="D81">
        <v>11.04506082101628</v>
      </c>
      <c r="E81">
        <v>11.132340325388689</v>
      </c>
      <c r="F81">
        <v>10.01803858314473</v>
      </c>
      <c r="G81">
        <v>9.5468674585853073</v>
      </c>
      <c r="H81">
        <v>9.3287551262113713</v>
      </c>
      <c r="I81">
        <v>9.2998860112879935</v>
      </c>
      <c r="J81">
        <v>9.4727900765931903</v>
      </c>
      <c r="K81">
        <v>9.6009377267576248</v>
      </c>
      <c r="L81">
        <v>9.7006443811918928</v>
      </c>
      <c r="M81">
        <v>9.6279597630970937</v>
      </c>
      <c r="N81">
        <v>9.5388540470021344</v>
      </c>
      <c r="O81">
        <v>9.7047199953891052</v>
      </c>
      <c r="P81">
        <v>9.8328662463324452</v>
      </c>
      <c r="Q81">
        <v>9.9677347310651072</v>
      </c>
      <c r="R81">
        <v>9.9972828685865274</v>
      </c>
      <c r="S81">
        <v>10.088076594739929</v>
      </c>
      <c r="T81">
        <v>10.34857140225831</v>
      </c>
      <c r="U81">
        <v>9.6784620368449783</v>
      </c>
      <c r="V81">
        <v>10.27303243945774</v>
      </c>
      <c r="W81">
        <v>10.304254699197481</v>
      </c>
      <c r="X81">
        <v>10.77714811068409</v>
      </c>
      <c r="Y81">
        <v>10.78615768545785</v>
      </c>
      <c r="Z81">
        <v>10.56173208278882</v>
      </c>
      <c r="AA81">
        <v>10.404598492624009</v>
      </c>
      <c r="AB81">
        <v>10.047961034434699</v>
      </c>
      <c r="AC81">
        <v>9.5377546372435003</v>
      </c>
      <c r="AD81">
        <v>9.2395720725685653</v>
      </c>
      <c r="AE81">
        <v>9.0661385071916385</v>
      </c>
      <c r="AF81">
        <v>8.88004001411635</v>
      </c>
      <c r="AG81">
        <v>8.8843284751263454</v>
      </c>
      <c r="AH81">
        <v>8.9491706169481056</v>
      </c>
      <c r="AI81">
        <v>9.1710563463605119</v>
      </c>
      <c r="AJ81">
        <v>8.7335657581322614</v>
      </c>
      <c r="AK81">
        <v>8.8444780588539338</v>
      </c>
      <c r="AL81">
        <v>8.7291247173115014</v>
      </c>
      <c r="AM81">
        <v>8.7258381917995074</v>
      </c>
      <c r="AN81">
        <v>8.7708080559735908</v>
      </c>
      <c r="AO81">
        <v>8.4775955529756484</v>
      </c>
      <c r="AP81">
        <v>8.4860971205558418</v>
      </c>
      <c r="AQ81">
        <v>8.9606034381526261</v>
      </c>
      <c r="AR81">
        <v>9.1175056034971309</v>
      </c>
      <c r="AS81">
        <v>8.355882450011471</v>
      </c>
      <c r="AT81">
        <v>8.0554533042816026</v>
      </c>
      <c r="AU81">
        <v>8.1983153842656158</v>
      </c>
      <c r="AV81">
        <v>8.5138456014833022</v>
      </c>
      <c r="AW81">
        <v>8.4404092735902427</v>
      </c>
      <c r="AX81">
        <v>8.3256186057285717</v>
      </c>
      <c r="AY81">
        <v>8.4235395335847159</v>
      </c>
      <c r="AZ81">
        <v>8.5292278413260796</v>
      </c>
      <c r="BA81">
        <v>8.2676633314252328</v>
      </c>
      <c r="BB81">
        <v>8.2331026335334716</v>
      </c>
      <c r="BC81">
        <v>8.0630518122252948</v>
      </c>
      <c r="BD81">
        <v>8.0831367540039345</v>
      </c>
      <c r="BE81">
        <v>7.8055508234516946</v>
      </c>
      <c r="BF81">
        <v>7.9020560348974414</v>
      </c>
      <c r="BG81">
        <v>8.5040041541756537</v>
      </c>
      <c r="BH81">
        <v>9.0859752011798882</v>
      </c>
      <c r="BI81">
        <v>9.4346830956572862</v>
      </c>
      <c r="BJ81">
        <v>9.4178328270763476</v>
      </c>
      <c r="BK81">
        <v>9.4433633988379366</v>
      </c>
      <c r="BL81">
        <v>9.1900665743373811</v>
      </c>
      <c r="BM81">
        <v>8.8000857792045846</v>
      </c>
      <c r="BN81">
        <v>8.5721851121313293</v>
      </c>
      <c r="BO81">
        <v>8.6082974064762432</v>
      </c>
      <c r="BP81">
        <v>8.5281935547831047</v>
      </c>
      <c r="BQ81">
        <v>8.6092479901020571</v>
      </c>
      <c r="BR81">
        <v>8.5483029599453211</v>
      </c>
      <c r="BS81">
        <v>8.6578597434660605</v>
      </c>
      <c r="BT81">
        <v>8.5459657089899856</v>
      </c>
      <c r="BU81">
        <v>7.9928386114016368</v>
      </c>
      <c r="BV81">
        <v>7.6338726338649989</v>
      </c>
      <c r="BW81">
        <v>7.5086411973721816</v>
      </c>
      <c r="BX81">
        <v>7.3997245273770398</v>
      </c>
      <c r="BY81">
        <v>7.266061456126014</v>
      </c>
      <c r="BZ81">
        <v>7.2666175696903714</v>
      </c>
      <c r="CA81">
        <v>7.0325528359437612</v>
      </c>
      <c r="CB81">
        <v>6.8954985235501196</v>
      </c>
    </row>
    <row r="82" spans="1:80" x14ac:dyDescent="0.35">
      <c r="A82" t="s">
        <v>31</v>
      </c>
      <c r="B82">
        <v>-1.404726005035098</v>
      </c>
      <c r="C82">
        <v>-1.04957323242423</v>
      </c>
      <c r="D82">
        <v>5.2250288775057411E-4</v>
      </c>
      <c r="E82">
        <v>-0.66921661789822218</v>
      </c>
      <c r="F82">
        <v>-1.4056686296365879</v>
      </c>
      <c r="G82">
        <v>-0.16011339509867431</v>
      </c>
      <c r="H82">
        <v>2.1557960183174658</v>
      </c>
      <c r="I82">
        <v>2.9717552384766091</v>
      </c>
      <c r="J82">
        <v>2.8530895182784879</v>
      </c>
      <c r="K82">
        <v>1.9910084497385101</v>
      </c>
      <c r="L82">
        <v>0.72959584940158995</v>
      </c>
      <c r="M82">
        <v>1.967306049232058</v>
      </c>
      <c r="N82">
        <v>1.786362941278512</v>
      </c>
      <c r="O82">
        <v>2.3110997934819029</v>
      </c>
      <c r="P82">
        <v>3.7666238773878629</v>
      </c>
      <c r="Q82">
        <v>4.843633998814898</v>
      </c>
      <c r="R82">
        <v>5.6862123715741371</v>
      </c>
      <c r="S82">
        <v>5.4751073609667156</v>
      </c>
      <c r="T82">
        <v>4.9861687226132858</v>
      </c>
      <c r="U82">
        <v>4.1734755944897532</v>
      </c>
      <c r="V82">
        <v>3.3822849899402931</v>
      </c>
      <c r="W82">
        <v>3.9024662831366048</v>
      </c>
      <c r="X82">
        <v>3.6317687646051731</v>
      </c>
      <c r="Y82">
        <v>3.634083451779341</v>
      </c>
      <c r="Z82">
        <v>3.608736335912583</v>
      </c>
      <c r="AA82">
        <v>3.8356633002568801</v>
      </c>
      <c r="AB82">
        <v>3.7571580362751469</v>
      </c>
      <c r="AC82">
        <v>4.1160437950166733</v>
      </c>
      <c r="AD82">
        <v>3.7290206505101988</v>
      </c>
      <c r="AE82">
        <v>4.3485889355214624</v>
      </c>
      <c r="AF82">
        <v>4.4135841650781034</v>
      </c>
      <c r="AG82">
        <v>3.9019496709524129</v>
      </c>
      <c r="AH82">
        <v>3.9564899197144818</v>
      </c>
      <c r="AI82">
        <v>3.5905487628314079</v>
      </c>
      <c r="AJ82">
        <v>3.2652522924798419</v>
      </c>
      <c r="AK82">
        <v>2.7665645323375698</v>
      </c>
      <c r="AL82">
        <v>2.8149642008275282</v>
      </c>
      <c r="AM82">
        <v>3.5220519888862332</v>
      </c>
      <c r="AN82">
        <v>1.0699269831245291</v>
      </c>
      <c r="AO82">
        <v>-3.0082539181313499</v>
      </c>
      <c r="AP82">
        <v>4.2147399366877458</v>
      </c>
      <c r="AQ82">
        <v>5.3462020243011086</v>
      </c>
      <c r="AR82">
        <v>5.5113400016264924</v>
      </c>
      <c r="AS82">
        <v>5.3211584270355559</v>
      </c>
      <c r="AT82">
        <v>4.6835954980414911</v>
      </c>
      <c r="AU82">
        <v>5.2158602525070608</v>
      </c>
      <c r="AV82">
        <v>6.0291750221310307</v>
      </c>
      <c r="AW82">
        <v>5.1136870016717433</v>
      </c>
      <c r="AX82">
        <v>4.6274631391590413</v>
      </c>
      <c r="AY82">
        <v>5.017194727712547</v>
      </c>
      <c r="AZ82">
        <v>5.1046655198795383</v>
      </c>
      <c r="BA82">
        <v>5.053310570159363</v>
      </c>
      <c r="BB82">
        <v>5.5616022885954211</v>
      </c>
      <c r="BC82">
        <v>6.134031124027592</v>
      </c>
      <c r="BD82">
        <v>6.0929818507948719</v>
      </c>
      <c r="BE82">
        <v>5.682114640828603</v>
      </c>
      <c r="BF82">
        <v>5.4105456569846027</v>
      </c>
      <c r="BG82">
        <v>5.340838460366264</v>
      </c>
      <c r="BH82">
        <v>5.5398139191832794</v>
      </c>
      <c r="BI82">
        <v>5.7062773113173009</v>
      </c>
      <c r="BJ82">
        <v>5.3495169898043597</v>
      </c>
      <c r="BK82">
        <v>5.0031950688205091</v>
      </c>
      <c r="BL82">
        <v>5.469750259183054</v>
      </c>
      <c r="BM82">
        <v>5.8388902812344261</v>
      </c>
      <c r="BN82">
        <v>6.4352086997133719</v>
      </c>
      <c r="BO82">
        <v>6.529109018759228</v>
      </c>
      <c r="BP82">
        <v>6.1131042623267184</v>
      </c>
      <c r="BQ82">
        <v>6.0588373586037747</v>
      </c>
      <c r="BR82">
        <v>6.0341768569179939</v>
      </c>
      <c r="BS82">
        <v>6.1494638423496797</v>
      </c>
      <c r="BT82">
        <v>5.7940734908354514</v>
      </c>
      <c r="BU82">
        <v>5.6184771480681004</v>
      </c>
      <c r="BV82">
        <v>5.2423707865709188</v>
      </c>
      <c r="BW82">
        <v>5.2505263924479424</v>
      </c>
      <c r="BX82">
        <v>5.4489099673190244</v>
      </c>
      <c r="BY82">
        <v>5.6650992723553877</v>
      </c>
      <c r="BZ82">
        <v>6.2144906619877993</v>
      </c>
      <c r="CA82">
        <v>5.8762567506762284</v>
      </c>
      <c r="CB82">
        <v>5.8162247485715666</v>
      </c>
    </row>
    <row r="83" spans="1:80" x14ac:dyDescent="0.35">
      <c r="A83" t="s">
        <v>32</v>
      </c>
      <c r="B83">
        <v>0.75285836293931518</v>
      </c>
      <c r="C83">
        <v>0.23198253145817899</v>
      </c>
      <c r="D83">
        <v>0.26065655084799327</v>
      </c>
      <c r="E83">
        <v>8.177872974695714E-3</v>
      </c>
      <c r="F83">
        <v>-3.9699074756977558E-2</v>
      </c>
      <c r="G83">
        <v>-4.894767219312933E-2</v>
      </c>
      <c r="H83">
        <v>-0.17263890945809421</v>
      </c>
      <c r="I83">
        <v>-0.15732588573800771</v>
      </c>
      <c r="J83">
        <v>-0.14362619046168271</v>
      </c>
      <c r="K83">
        <v>-6.7818757685770961E-2</v>
      </c>
      <c r="L83">
        <v>-8.0159829961899437E-2</v>
      </c>
      <c r="M83">
        <v>-7.9586050481003492E-2</v>
      </c>
      <c r="N83">
        <v>-0.1451187358335026</v>
      </c>
      <c r="O83">
        <v>-0.1456258667144178</v>
      </c>
      <c r="P83">
        <v>-8.1670433092673897E-2</v>
      </c>
      <c r="Q83">
        <v>4.5544301834094407E-2</v>
      </c>
      <c r="R83">
        <v>1.6336899555704922E-2</v>
      </c>
      <c r="S83">
        <v>5.9685336250224708E-2</v>
      </c>
      <c r="T83">
        <v>8.4918872924276464E-3</v>
      </c>
      <c r="U83">
        <v>8.1039219356818681E-2</v>
      </c>
      <c r="V83">
        <v>4.5765581729155042E-2</v>
      </c>
      <c r="W83">
        <v>1.821055529417007E-2</v>
      </c>
      <c r="X83">
        <v>3.7348536778491811E-3</v>
      </c>
      <c r="Y83">
        <v>5.1469113568600983E-2</v>
      </c>
      <c r="Z83">
        <v>-0.1561597111512826</v>
      </c>
      <c r="AA83">
        <v>-0.2668445312939613</v>
      </c>
      <c r="AB83">
        <v>-0.34567308909403183</v>
      </c>
      <c r="AC83">
        <v>-0.21718152549910921</v>
      </c>
      <c r="AD83">
        <v>-9.5370273511827308E-2</v>
      </c>
      <c r="AE83">
        <v>-0.23723598928641881</v>
      </c>
      <c r="AF83">
        <v>-0.12573696907668891</v>
      </c>
      <c r="AG83">
        <v>-0.18556174203330961</v>
      </c>
      <c r="AH83">
        <v>-0.25347055064651991</v>
      </c>
      <c r="AI83">
        <v>-0.55973630291827403</v>
      </c>
      <c r="AJ83">
        <v>-0.61873670730594033</v>
      </c>
      <c r="AK83">
        <v>-0.27952725779964649</v>
      </c>
      <c r="AL83">
        <v>-0.31147346040807661</v>
      </c>
      <c r="AM83">
        <v>-0.34061280582397852</v>
      </c>
      <c r="AN83">
        <v>-0.30871822006585908</v>
      </c>
      <c r="AO83">
        <v>-0.32474083367163759</v>
      </c>
      <c r="AP83">
        <v>-0.50395347111837763</v>
      </c>
      <c r="AQ83">
        <v>-0.26805917730388118</v>
      </c>
      <c r="AR83">
        <v>-0.21202315990694201</v>
      </c>
      <c r="AS83">
        <v>-0.1473864171646781</v>
      </c>
      <c r="AT83">
        <v>-4.7532104287111403E-2</v>
      </c>
      <c r="AU83">
        <v>-0.15708491564393789</v>
      </c>
      <c r="AV83">
        <v>1.7590118720696029E-2</v>
      </c>
      <c r="AW83">
        <v>-5.1022674911606808E-2</v>
      </c>
      <c r="AX83">
        <v>-0.18272289644623041</v>
      </c>
      <c r="AY83">
        <v>-0.22501781979155031</v>
      </c>
      <c r="AZ83">
        <v>-0.10845662923967039</v>
      </c>
      <c r="BA83">
        <v>-0.1020315553607592</v>
      </c>
      <c r="BB83">
        <v>-8.7197517625647952E-2</v>
      </c>
      <c r="BC83">
        <v>0.1975616361141187</v>
      </c>
      <c r="BD83">
        <v>0.22055379471908171</v>
      </c>
      <c r="BE83">
        <v>-0.23717739158329729</v>
      </c>
      <c r="BF83">
        <v>-0.31480929507134242</v>
      </c>
      <c r="BG83">
        <v>-0.32536603108435591</v>
      </c>
      <c r="BH83">
        <v>-0.28859646846687098</v>
      </c>
      <c r="BI83">
        <v>-0.114929796715527</v>
      </c>
      <c r="BJ83">
        <v>-0.2314601875634035</v>
      </c>
      <c r="BK83">
        <v>-0.32348997803356788</v>
      </c>
      <c r="BL83">
        <v>-0.26069416209982232</v>
      </c>
      <c r="BM83">
        <v>-0.13245055775926989</v>
      </c>
      <c r="BN83">
        <v>-9.7021085724486283E-2</v>
      </c>
      <c r="BO83">
        <v>-8.682699022979698E-2</v>
      </c>
      <c r="BP83">
        <v>-9.8479161890371272E-2</v>
      </c>
      <c r="BQ83">
        <v>-0.14935776067998849</v>
      </c>
      <c r="BR83">
        <v>-0.1370040374270555</v>
      </c>
      <c r="BS83">
        <v>-0.13363732962891359</v>
      </c>
      <c r="BT83">
        <v>-0.1305991823662456</v>
      </c>
      <c r="BU83">
        <v>-0.12481472782534871</v>
      </c>
      <c r="BV83">
        <v>3.2043911517193858E-2</v>
      </c>
      <c r="BW83">
        <v>-8.7851530124786997E-2</v>
      </c>
      <c r="BX83">
        <v>4.3109138424637483E-2</v>
      </c>
      <c r="BY83">
        <v>0.14857061897900081</v>
      </c>
      <c r="BZ83">
        <v>0.33523046922680372</v>
      </c>
      <c r="CA83">
        <v>0.2759201068198352</v>
      </c>
      <c r="CB83">
        <v>0.34653039311611278</v>
      </c>
    </row>
    <row r="84" spans="1:80" x14ac:dyDescent="0.35">
      <c r="A84" t="s">
        <v>33</v>
      </c>
      <c r="B84">
        <v>141.79817055240241</v>
      </c>
      <c r="C84">
        <v>142.26389817401801</v>
      </c>
      <c r="D84">
        <v>143.2917361477574</v>
      </c>
      <c r="E84">
        <v>142.02886061271951</v>
      </c>
      <c r="F84">
        <v>143.0402324331283</v>
      </c>
      <c r="G84">
        <v>145.0709193794923</v>
      </c>
      <c r="H84">
        <v>147.25271288028819</v>
      </c>
      <c r="I84">
        <v>148.33377473190339</v>
      </c>
      <c r="J84">
        <v>148.0897686735423</v>
      </c>
      <c r="K84">
        <v>146.85095635487031</v>
      </c>
      <c r="L84">
        <v>145.3763682607694</v>
      </c>
      <c r="M84">
        <v>146.81436694154249</v>
      </c>
      <c r="N84">
        <v>147.06825068461009</v>
      </c>
      <c r="O84">
        <v>147.2568865244138</v>
      </c>
      <c r="P84">
        <v>148.65784637557971</v>
      </c>
      <c r="Q84">
        <v>149.551339005751</v>
      </c>
      <c r="R84">
        <v>150.47258776711661</v>
      </c>
      <c r="S84">
        <v>149.74435390294781</v>
      </c>
      <c r="T84">
        <v>148.69326367106731</v>
      </c>
      <c r="U84">
        <v>148.70850860546571</v>
      </c>
      <c r="V84">
        <v>146.86510548125071</v>
      </c>
      <c r="W84">
        <v>147.1860435361524</v>
      </c>
      <c r="X84">
        <v>145.84703531304231</v>
      </c>
      <c r="Y84">
        <v>145.95527620532951</v>
      </c>
      <c r="Z84">
        <v>145.76904866887901</v>
      </c>
      <c r="AA84">
        <v>146.04681462871429</v>
      </c>
      <c r="AB84">
        <v>146.0482533795217</v>
      </c>
      <c r="AC84">
        <v>147.69488707696061</v>
      </c>
      <c r="AD84">
        <v>148.196854269939</v>
      </c>
      <c r="AE84">
        <v>148.68499294809601</v>
      </c>
      <c r="AF84">
        <v>148.9968469239968</v>
      </c>
      <c r="AG84">
        <v>148.0882420144282</v>
      </c>
      <c r="AH84">
        <v>147.44377831867081</v>
      </c>
      <c r="AI84">
        <v>146.4619982451681</v>
      </c>
      <c r="AJ84">
        <v>146.66597070741389</v>
      </c>
      <c r="AK84">
        <v>146.2410264741583</v>
      </c>
      <c r="AL84">
        <v>145.55411406210831</v>
      </c>
      <c r="AM84">
        <v>147.07343663140611</v>
      </c>
      <c r="AN84">
        <v>144.50860639080429</v>
      </c>
      <c r="AO84">
        <v>141.02331171352159</v>
      </c>
      <c r="AP84">
        <v>149.0359714756128</v>
      </c>
      <c r="AQ84">
        <v>149.30657120316269</v>
      </c>
      <c r="AR84">
        <v>149.55245044036101</v>
      </c>
      <c r="AS84">
        <v>150.9154112505029</v>
      </c>
      <c r="AT84">
        <v>151.11424148972179</v>
      </c>
      <c r="AU84">
        <v>151.47998704910719</v>
      </c>
      <c r="AV84">
        <v>152.3052810677344</v>
      </c>
      <c r="AW84">
        <v>151.31289377746921</v>
      </c>
      <c r="AX84">
        <v>150.28575144614379</v>
      </c>
      <c r="AY84">
        <v>150.58950330340451</v>
      </c>
      <c r="AZ84">
        <v>150.27652402104721</v>
      </c>
      <c r="BA84">
        <v>151.36730610946549</v>
      </c>
      <c r="BB84">
        <v>152.76428358151921</v>
      </c>
      <c r="BC84">
        <v>153.87544318258799</v>
      </c>
      <c r="BD84">
        <v>153.9211418921937</v>
      </c>
      <c r="BE84">
        <v>153.23514314323299</v>
      </c>
      <c r="BF84">
        <v>152.84744890605941</v>
      </c>
      <c r="BG84">
        <v>152.33805443553999</v>
      </c>
      <c r="BH84">
        <v>152.23231164165509</v>
      </c>
      <c r="BI84">
        <v>152.62213437804451</v>
      </c>
      <c r="BJ84">
        <v>152.21465273699309</v>
      </c>
      <c r="BK84">
        <v>151.51668739275181</v>
      </c>
      <c r="BL84">
        <v>151.83374428031419</v>
      </c>
      <c r="BM84">
        <v>153.2469789717762</v>
      </c>
      <c r="BN84">
        <v>154.70080197350211</v>
      </c>
      <c r="BO84">
        <v>155.19789361167861</v>
      </c>
      <c r="BP84">
        <v>154.6882345060678</v>
      </c>
      <c r="BQ84">
        <v>154.44770461156159</v>
      </c>
      <c r="BR84">
        <v>154.8046386644082</v>
      </c>
      <c r="BS84">
        <v>155.23978046096121</v>
      </c>
      <c r="BT84">
        <v>154.93976943888001</v>
      </c>
      <c r="BU84">
        <v>155.8336711231737</v>
      </c>
      <c r="BV84">
        <v>155.90106783196379</v>
      </c>
      <c r="BW84">
        <v>155.48463147234219</v>
      </c>
      <c r="BX84">
        <v>155.67426755346</v>
      </c>
      <c r="BY84">
        <v>156.45595756764891</v>
      </c>
      <c r="BZ84">
        <v>157.56229225637171</v>
      </c>
      <c r="CA84">
        <v>157.30269652135061</v>
      </c>
      <c r="CB84">
        <v>157.46719924131051</v>
      </c>
    </row>
    <row r="85" spans="1:80" x14ac:dyDescent="0.35">
      <c r="A85" t="s">
        <v>34</v>
      </c>
      <c r="B85">
        <v>55813178.640000001</v>
      </c>
      <c r="C85">
        <v>55210128.00999999</v>
      </c>
      <c r="D85">
        <v>90864846.070000008</v>
      </c>
      <c r="E85">
        <v>53892031.469999999</v>
      </c>
      <c r="F85">
        <v>60975916.130000003</v>
      </c>
      <c r="G85">
        <v>70204739.030000001</v>
      </c>
      <c r="H85">
        <v>70688581</v>
      </c>
      <c r="I85">
        <v>62605206.490000002</v>
      </c>
      <c r="J85">
        <v>57101256.260000013</v>
      </c>
      <c r="K85">
        <v>56385621.389999993</v>
      </c>
      <c r="L85">
        <v>49861618.030000001</v>
      </c>
      <c r="M85">
        <v>52487913.170000002</v>
      </c>
      <c r="N85">
        <v>57093078.489999987</v>
      </c>
      <c r="O85">
        <v>59136436.920000002</v>
      </c>
      <c r="P85">
        <v>131964273.06</v>
      </c>
      <c r="Q85">
        <v>133289230.58</v>
      </c>
      <c r="R85">
        <v>109053317.31</v>
      </c>
      <c r="S85">
        <v>111028788.36</v>
      </c>
      <c r="T85">
        <v>98333496.920000002</v>
      </c>
      <c r="U85">
        <v>92894618.50999999</v>
      </c>
      <c r="V85">
        <v>87381896.539999992</v>
      </c>
      <c r="W85">
        <v>80683069.960000008</v>
      </c>
      <c r="X85">
        <v>77708642.960000008</v>
      </c>
      <c r="Y85">
        <v>76956990.409999996</v>
      </c>
      <c r="Z85">
        <v>62836527.979999989</v>
      </c>
      <c r="AA85">
        <v>66611698.510000013</v>
      </c>
      <c r="AB85">
        <v>102767978.19</v>
      </c>
      <c r="AC85">
        <v>80616213.379999995</v>
      </c>
      <c r="AD85">
        <v>73014827.489999995</v>
      </c>
      <c r="AE85">
        <v>70613744.560000002</v>
      </c>
      <c r="AF85">
        <v>58184396.409999996</v>
      </c>
      <c r="AG85">
        <v>66371768.799999997</v>
      </c>
      <c r="AH85">
        <v>64724201.709999993</v>
      </c>
      <c r="AI85">
        <v>56018854.919999987</v>
      </c>
      <c r="AJ85">
        <v>44106062.880000003</v>
      </c>
      <c r="AK85">
        <v>41487286.930000007</v>
      </c>
      <c r="AL85">
        <v>41824870.950000003</v>
      </c>
      <c r="AM85">
        <v>40172308.229999997</v>
      </c>
      <c r="AN85">
        <v>40507032.890000001</v>
      </c>
      <c r="AO85">
        <v>15033942.66</v>
      </c>
      <c r="AP85">
        <v>50751684.710000001</v>
      </c>
      <c r="AQ85">
        <v>61449190.170000002</v>
      </c>
      <c r="AR85">
        <v>57956923.289999999</v>
      </c>
      <c r="AS85">
        <v>65314735.180000007</v>
      </c>
      <c r="AT85">
        <v>58850569.969999999</v>
      </c>
      <c r="AU85">
        <v>70691624.789999992</v>
      </c>
      <c r="AV85">
        <v>89359245.36999999</v>
      </c>
      <c r="AW85">
        <v>76421528.780000001</v>
      </c>
      <c r="AX85">
        <v>85600764.590000004</v>
      </c>
      <c r="AY85">
        <v>107384601.93000001</v>
      </c>
      <c r="AZ85">
        <v>192742440.11000001</v>
      </c>
      <c r="BA85">
        <v>156907221.18000001</v>
      </c>
      <c r="BB85">
        <v>138893193.81</v>
      </c>
      <c r="BC85">
        <v>122421865.03</v>
      </c>
      <c r="BD85">
        <v>123516053.98</v>
      </c>
      <c r="BE85">
        <v>92247062.469999999</v>
      </c>
      <c r="BF85">
        <v>92928772.270000011</v>
      </c>
      <c r="BG85">
        <v>115696568.69</v>
      </c>
      <c r="BH85">
        <v>100447062.67</v>
      </c>
      <c r="BI85">
        <v>116849486.91</v>
      </c>
      <c r="BJ85">
        <v>138506606.99000001</v>
      </c>
      <c r="BK85">
        <v>141257660.28999999</v>
      </c>
      <c r="BL85">
        <v>253220447.58000001</v>
      </c>
      <c r="BM85">
        <v>196910549.08000001</v>
      </c>
      <c r="BN85">
        <v>169035823.84</v>
      </c>
      <c r="BO85">
        <v>155173203.09999999</v>
      </c>
      <c r="BP85">
        <v>159733577.53999999</v>
      </c>
      <c r="BQ85">
        <v>142316676.88999999</v>
      </c>
      <c r="BR85">
        <v>140913768.09999999</v>
      </c>
      <c r="BS85">
        <v>140560993.33000001</v>
      </c>
      <c r="BT85">
        <v>104764828.3</v>
      </c>
      <c r="BU85">
        <v>115189107</v>
      </c>
      <c r="BV85">
        <v>111020617.01000001</v>
      </c>
      <c r="BW85">
        <v>136617050.37</v>
      </c>
      <c r="BX85">
        <v>221568374.56999999</v>
      </c>
      <c r="BY85">
        <v>171223889.84</v>
      </c>
      <c r="BZ85">
        <v>154312112.15000001</v>
      </c>
      <c r="CA85">
        <v>144543253.83000001</v>
      </c>
      <c r="CB85">
        <v>46340546.960000001</v>
      </c>
    </row>
    <row r="86" spans="1:80" x14ac:dyDescent="0.35">
      <c r="A86" t="s">
        <v>35</v>
      </c>
      <c r="B86">
        <v>1.8586801699940689</v>
      </c>
      <c r="C86">
        <v>1.834103679461635</v>
      </c>
      <c r="D86">
        <v>1.7553371612088851</v>
      </c>
      <c r="E86">
        <v>1.7746678276858481</v>
      </c>
      <c r="F86">
        <v>1.8431454252023061</v>
      </c>
      <c r="G86">
        <v>1.793432763938493</v>
      </c>
      <c r="H86">
        <v>1.6507649126960939</v>
      </c>
      <c r="I86">
        <v>1.5882905999443671</v>
      </c>
      <c r="J86">
        <v>1.601565093693893</v>
      </c>
      <c r="K86">
        <v>1.6511604775497219</v>
      </c>
      <c r="L86">
        <v>1.727080314867645</v>
      </c>
      <c r="M86">
        <v>1.6240838767996759</v>
      </c>
      <c r="N86">
        <v>1.6435989058107781</v>
      </c>
      <c r="O86">
        <v>1.5890268716500739</v>
      </c>
      <c r="P86">
        <v>1.506221413648039</v>
      </c>
      <c r="Q86">
        <v>1.4271035780030841</v>
      </c>
      <c r="R86">
        <v>1.390439298006412</v>
      </c>
      <c r="S86">
        <v>1.404462718711367</v>
      </c>
      <c r="T86">
        <v>1.4320558275509301</v>
      </c>
      <c r="U86">
        <v>1.4834097684794361</v>
      </c>
      <c r="V86">
        <v>1.5224750485235261</v>
      </c>
      <c r="W86">
        <v>1.511667395418439</v>
      </c>
      <c r="X86">
        <v>1.538205044773383</v>
      </c>
      <c r="Y86">
        <v>1.5375771408363099</v>
      </c>
      <c r="Z86">
        <v>1.5209017872087669</v>
      </c>
      <c r="AA86">
        <v>1.515738921449044</v>
      </c>
      <c r="AB86">
        <v>1.522668728155123</v>
      </c>
      <c r="AC86">
        <v>1.5156732850018071</v>
      </c>
      <c r="AD86">
        <v>1.531449389774407</v>
      </c>
      <c r="AE86">
        <v>1.493183574345575</v>
      </c>
      <c r="AF86">
        <v>1.5036870755591849</v>
      </c>
      <c r="AG86">
        <v>1.5202735395506339</v>
      </c>
      <c r="AH86">
        <v>1.510857052256483</v>
      </c>
      <c r="AI86">
        <v>1.497273415092381</v>
      </c>
      <c r="AJ86">
        <v>1.4888498038708</v>
      </c>
      <c r="AK86">
        <v>1.492436542300507</v>
      </c>
      <c r="AL86">
        <v>1.4776524355924401</v>
      </c>
      <c r="AM86">
        <v>1.4396622423601999</v>
      </c>
      <c r="AN86">
        <v>1.572028694297823</v>
      </c>
      <c r="AO86">
        <v>1.8374563878935</v>
      </c>
      <c r="AP86">
        <v>1.442366335686651</v>
      </c>
      <c r="AQ86">
        <v>1.3461788598694551</v>
      </c>
      <c r="AR86">
        <v>1.348552852952589</v>
      </c>
      <c r="AS86">
        <v>1.3893374787933741</v>
      </c>
      <c r="AT86">
        <v>1.453094932744178</v>
      </c>
      <c r="AU86">
        <v>1.427325951449445</v>
      </c>
      <c r="AV86">
        <v>1.4082063966810401</v>
      </c>
      <c r="AW86">
        <v>1.44828672684463</v>
      </c>
      <c r="AX86">
        <v>1.4722214806986469</v>
      </c>
      <c r="AY86">
        <v>1.4700851459382771</v>
      </c>
      <c r="AZ86">
        <v>1.4618853764992441</v>
      </c>
      <c r="BA86">
        <v>1.4660328122737509</v>
      </c>
      <c r="BB86">
        <v>1.4547866549733159</v>
      </c>
      <c r="BC86">
        <v>1.437692899146277</v>
      </c>
      <c r="BD86">
        <v>1.426340945689736</v>
      </c>
      <c r="BE86">
        <v>1.440298096614018</v>
      </c>
      <c r="BF86">
        <v>1.451220527292501</v>
      </c>
      <c r="BG86">
        <v>1.464754817399275</v>
      </c>
      <c r="BH86">
        <v>1.4454425264173529</v>
      </c>
      <c r="BI86">
        <v>1.4343729010978681</v>
      </c>
      <c r="BJ86">
        <v>1.452711376183113</v>
      </c>
      <c r="BK86">
        <v>1.460980190165811</v>
      </c>
      <c r="BL86">
        <v>1.439212812218821</v>
      </c>
      <c r="BM86">
        <v>1.427863418460531</v>
      </c>
      <c r="BN86">
        <v>1.408478941674927</v>
      </c>
      <c r="BO86">
        <v>1.399317853474956</v>
      </c>
      <c r="BP86">
        <v>1.422745464598816</v>
      </c>
      <c r="BQ86">
        <v>1.420188367855068</v>
      </c>
      <c r="BR86">
        <v>1.4026978414588169</v>
      </c>
      <c r="BS86">
        <v>1.3877401417150119</v>
      </c>
      <c r="BT86">
        <v>1.409122196831184</v>
      </c>
      <c r="BU86">
        <v>1.443155008933281</v>
      </c>
      <c r="BV86">
        <v>1.458123482274317</v>
      </c>
      <c r="BW86">
        <v>1.467340228783327</v>
      </c>
      <c r="BX86">
        <v>1.4618028611947811</v>
      </c>
      <c r="BY86">
        <v>1.4724175573301519</v>
      </c>
      <c r="BZ86">
        <v>1.4643380903399399</v>
      </c>
      <c r="CA86">
        <v>1.4868282388760159</v>
      </c>
      <c r="CB86">
        <v>1.483037073713247</v>
      </c>
    </row>
    <row r="87" spans="1:80" x14ac:dyDescent="0.35">
      <c r="A87" t="s">
        <v>36</v>
      </c>
      <c r="B87">
        <v>0.23422597936172659</v>
      </c>
      <c r="C87">
        <v>0.2415542519247095</v>
      </c>
      <c r="D87">
        <v>0.24062433182481041</v>
      </c>
      <c r="E87">
        <v>0.24361691235383301</v>
      </c>
      <c r="F87">
        <v>0.2450709776564369</v>
      </c>
      <c r="G87">
        <v>0.2459241808966168</v>
      </c>
      <c r="H87">
        <v>0.24749412043670821</v>
      </c>
      <c r="I87">
        <v>0.24683219831522041</v>
      </c>
      <c r="J87">
        <v>0.24682916666639379</v>
      </c>
      <c r="K87">
        <v>0.24571206250730651</v>
      </c>
      <c r="L87">
        <v>0.2459409889313012</v>
      </c>
      <c r="M87">
        <v>0.24500860976346189</v>
      </c>
      <c r="N87">
        <v>0.24621636190457541</v>
      </c>
      <c r="O87">
        <v>0.24549793845282269</v>
      </c>
      <c r="P87">
        <v>0.24467042018956731</v>
      </c>
      <c r="Q87">
        <v>0.24237048624907001</v>
      </c>
      <c r="R87">
        <v>0.24318260690493609</v>
      </c>
      <c r="S87">
        <v>0.2426124908369896</v>
      </c>
      <c r="T87">
        <v>0.24330807110166719</v>
      </c>
      <c r="U87">
        <v>0.24238030705595931</v>
      </c>
      <c r="V87">
        <v>0.24265537911126461</v>
      </c>
      <c r="W87">
        <v>0.2436548768305816</v>
      </c>
      <c r="X87">
        <v>0.24418659907546539</v>
      </c>
      <c r="Y87">
        <v>0.24348962763208709</v>
      </c>
      <c r="Z87">
        <v>0.24589964062472119</v>
      </c>
      <c r="AA87">
        <v>0.24773143741864831</v>
      </c>
      <c r="AB87">
        <v>0.2489283305913414</v>
      </c>
      <c r="AC87">
        <v>0.24752484347360201</v>
      </c>
      <c r="AD87">
        <v>0.24557070428547831</v>
      </c>
      <c r="AE87">
        <v>0.24754162403553751</v>
      </c>
      <c r="AF87">
        <v>0.24638735486961461</v>
      </c>
      <c r="AG87">
        <v>0.24682843276730629</v>
      </c>
      <c r="AH87">
        <v>0.24760851052197561</v>
      </c>
      <c r="AI87">
        <v>0.25090895226150101</v>
      </c>
      <c r="AJ87">
        <v>0.2509081815778702</v>
      </c>
      <c r="AK87">
        <v>0.24527413324728101</v>
      </c>
      <c r="AL87">
        <v>0.2453650871401015</v>
      </c>
      <c r="AM87">
        <v>0.24589166572967561</v>
      </c>
      <c r="AN87">
        <v>0.24507247178639249</v>
      </c>
      <c r="AO87">
        <v>0.24608304073803089</v>
      </c>
      <c r="AP87">
        <v>0.24955521941338521</v>
      </c>
      <c r="AQ87">
        <v>0.24527823310088709</v>
      </c>
      <c r="AR87">
        <v>0.24484775913040019</v>
      </c>
      <c r="AS87">
        <v>0.24483042222574311</v>
      </c>
      <c r="AT87">
        <v>0.2442076183350004</v>
      </c>
      <c r="AU87">
        <v>0.24594227207309041</v>
      </c>
      <c r="AV87">
        <v>0.2443261743526853</v>
      </c>
      <c r="AW87">
        <v>0.2448847681494524</v>
      </c>
      <c r="AX87">
        <v>0.24662334325842039</v>
      </c>
      <c r="AY87">
        <v>0.24786395602462699</v>
      </c>
      <c r="AZ87">
        <v>0.24610529323949831</v>
      </c>
      <c r="BA87">
        <v>0.2460479928895711</v>
      </c>
      <c r="BB87">
        <v>0.24640709915301071</v>
      </c>
      <c r="BC87">
        <v>0.24284661722030429</v>
      </c>
      <c r="BD87">
        <v>0.2420967307732575</v>
      </c>
      <c r="BE87">
        <v>0.24832315052189871</v>
      </c>
      <c r="BF87">
        <v>0.24927751805856499</v>
      </c>
      <c r="BG87">
        <v>0.24971712041312691</v>
      </c>
      <c r="BH87">
        <v>0.24895894751161249</v>
      </c>
      <c r="BI87">
        <v>0.24643888298425731</v>
      </c>
      <c r="BJ87">
        <v>0.24802255919493449</v>
      </c>
      <c r="BK87">
        <v>0.24896676853668481</v>
      </c>
      <c r="BL87">
        <v>0.24824347254422849</v>
      </c>
      <c r="BM87">
        <v>0.24672870855934029</v>
      </c>
      <c r="BN87">
        <v>0.24670297356830981</v>
      </c>
      <c r="BO87">
        <v>0.2464459903667284</v>
      </c>
      <c r="BP87">
        <v>0.24658051352611679</v>
      </c>
      <c r="BQ87">
        <v>0.24713135266542829</v>
      </c>
      <c r="BR87">
        <v>0.2463750399615352</v>
      </c>
      <c r="BS87">
        <v>0.2460766549818024</v>
      </c>
      <c r="BT87">
        <v>0.24604784696951579</v>
      </c>
      <c r="BU87">
        <v>0.24669083278634149</v>
      </c>
      <c r="BV87">
        <v>0.24423095129747521</v>
      </c>
      <c r="BW87">
        <v>0.2462405745871929</v>
      </c>
      <c r="BX87">
        <v>0.24455742996901839</v>
      </c>
      <c r="BY87">
        <v>0.24376507353493621</v>
      </c>
      <c r="BZ87">
        <v>0.24184047384495941</v>
      </c>
      <c r="CA87">
        <v>0.242767174005038</v>
      </c>
      <c r="CB87">
        <v>0.24153429870883961</v>
      </c>
    </row>
    <row r="89" spans="1:80" x14ac:dyDescent="0.35">
      <c r="A89" t="s">
        <v>44</v>
      </c>
      <c r="B89" t="s">
        <v>45</v>
      </c>
      <c r="C89" t="s">
        <v>46</v>
      </c>
      <c r="D89" t="s">
        <v>47</v>
      </c>
      <c r="E89" t="s">
        <v>48</v>
      </c>
      <c r="F89" t="s">
        <v>49</v>
      </c>
      <c r="G89" t="s">
        <v>50</v>
      </c>
      <c r="H89" t="s">
        <v>51</v>
      </c>
      <c r="I89" t="s">
        <v>52</v>
      </c>
      <c r="J89" t="s">
        <v>53</v>
      </c>
      <c r="K89" t="s">
        <v>54</v>
      </c>
      <c r="L89" t="s">
        <v>55</v>
      </c>
      <c r="M89" t="s">
        <v>56</v>
      </c>
      <c r="N89" t="s">
        <v>57</v>
      </c>
      <c r="O89" t="s">
        <v>58</v>
      </c>
      <c r="P89" t="s">
        <v>59</v>
      </c>
      <c r="Q89" t="s">
        <v>60</v>
      </c>
      <c r="R89" t="s">
        <v>61</v>
      </c>
      <c r="S89" t="s">
        <v>62</v>
      </c>
      <c r="T89" t="s">
        <v>63</v>
      </c>
      <c r="U89" t="s">
        <v>64</v>
      </c>
      <c r="V89" t="s">
        <v>65</v>
      </c>
      <c r="W89" t="s">
        <v>66</v>
      </c>
      <c r="X89" t="s">
        <v>67</v>
      </c>
      <c r="Y89" t="s">
        <v>68</v>
      </c>
      <c r="Z89" t="s">
        <v>69</v>
      </c>
      <c r="AA89" t="s">
        <v>70</v>
      </c>
      <c r="AB89" t="s">
        <v>71</v>
      </c>
      <c r="AC89" t="s">
        <v>72</v>
      </c>
      <c r="AD89" t="s">
        <v>73</v>
      </c>
      <c r="AE89" t="s">
        <v>74</v>
      </c>
      <c r="AF89" t="s">
        <v>75</v>
      </c>
      <c r="AG89" t="s">
        <v>76</v>
      </c>
      <c r="AH89" t="s">
        <v>77</v>
      </c>
      <c r="AI89" t="s">
        <v>78</v>
      </c>
      <c r="AJ89" t="s">
        <v>79</v>
      </c>
      <c r="AK89" t="s">
        <v>80</v>
      </c>
      <c r="AL89" t="s">
        <v>81</v>
      </c>
      <c r="AM89" t="s">
        <v>82</v>
      </c>
      <c r="AN89" t="s">
        <v>83</v>
      </c>
      <c r="AO89" t="s">
        <v>84</v>
      </c>
      <c r="AP89" t="s">
        <v>85</v>
      </c>
      <c r="AQ89" t="s">
        <v>86</v>
      </c>
      <c r="AR89" t="s">
        <v>87</v>
      </c>
      <c r="AS89" t="s">
        <v>88</v>
      </c>
      <c r="AT89" t="s">
        <v>89</v>
      </c>
      <c r="AU89" t="s">
        <v>90</v>
      </c>
      <c r="AV89" t="s">
        <v>91</v>
      </c>
      <c r="AW89" t="s">
        <v>92</v>
      </c>
      <c r="AX89" t="s">
        <v>93</v>
      </c>
      <c r="AY89" t="s">
        <v>94</v>
      </c>
      <c r="AZ89" t="s">
        <v>95</v>
      </c>
      <c r="BA89" t="s">
        <v>96</v>
      </c>
      <c r="BB89" t="s">
        <v>97</v>
      </c>
      <c r="BC89" t="s">
        <v>98</v>
      </c>
      <c r="BD89" t="s">
        <v>99</v>
      </c>
      <c r="BE89" t="s">
        <v>100</v>
      </c>
      <c r="BF89" t="s">
        <v>101</v>
      </c>
      <c r="BG89" t="s">
        <v>102</v>
      </c>
      <c r="BH89" t="s">
        <v>103</v>
      </c>
      <c r="BI89" t="s">
        <v>104</v>
      </c>
      <c r="BJ89" t="s">
        <v>105</v>
      </c>
      <c r="BK89" t="s">
        <v>106</v>
      </c>
      <c r="BL89" t="s">
        <v>107</v>
      </c>
      <c r="BM89" t="s">
        <v>108</v>
      </c>
      <c r="BN89" t="s">
        <v>109</v>
      </c>
      <c r="BO89" t="s">
        <v>110</v>
      </c>
      <c r="BP89" t="s">
        <v>111</v>
      </c>
      <c r="BQ89" t="s">
        <v>112</v>
      </c>
      <c r="BR89" t="s">
        <v>113</v>
      </c>
      <c r="BS89" t="s">
        <v>114</v>
      </c>
      <c r="BT89" t="s">
        <v>115</v>
      </c>
      <c r="BU89" t="s">
        <v>116</v>
      </c>
      <c r="BV89" t="s">
        <v>117</v>
      </c>
      <c r="BW89" t="s">
        <v>118</v>
      </c>
      <c r="BX89" t="s">
        <v>119</v>
      </c>
      <c r="BY89" t="s">
        <v>120</v>
      </c>
      <c r="BZ89" t="s">
        <v>121</v>
      </c>
      <c r="CA89" t="s">
        <v>122</v>
      </c>
      <c r="CB89" t="s">
        <v>123</v>
      </c>
    </row>
    <row r="90" spans="1:80" x14ac:dyDescent="0.35">
      <c r="A90" t="s">
        <v>28</v>
      </c>
      <c r="B90">
        <v>134.69362153175061</v>
      </c>
      <c r="C90">
        <v>135.53265277682141</v>
      </c>
      <c r="D90">
        <v>134.99415942931631</v>
      </c>
      <c r="E90">
        <v>134.28319924991109</v>
      </c>
      <c r="F90">
        <v>137.20561134578111</v>
      </c>
      <c r="G90">
        <v>138.18480476645601</v>
      </c>
      <c r="H90">
        <v>138.48409537381471</v>
      </c>
      <c r="I90">
        <v>138.3020023723397</v>
      </c>
      <c r="J90">
        <v>138.11384027294889</v>
      </c>
      <c r="K90">
        <v>137.60997506132381</v>
      </c>
      <c r="L90">
        <v>137.298277688235</v>
      </c>
      <c r="M90">
        <v>137.39781445781611</v>
      </c>
      <c r="N90">
        <v>137.28840329602511</v>
      </c>
      <c r="O90">
        <v>136.74996105769009</v>
      </c>
      <c r="P90">
        <v>136.4809674703252</v>
      </c>
      <c r="Q90">
        <v>136.36313233072619</v>
      </c>
      <c r="R90">
        <v>136.28516849928039</v>
      </c>
      <c r="S90">
        <v>135.98317827080189</v>
      </c>
      <c r="T90">
        <v>135.2252200090021</v>
      </c>
      <c r="U90">
        <v>136.74993934673</v>
      </c>
      <c r="V90">
        <v>135.31634745890989</v>
      </c>
      <c r="W90">
        <v>135.2714656990812</v>
      </c>
      <c r="X90">
        <v>134.48836032156521</v>
      </c>
      <c r="Y90">
        <v>134.1051707089357</v>
      </c>
      <c r="Z90">
        <v>133.92029599986989</v>
      </c>
      <c r="AA90">
        <v>132.95512672998029</v>
      </c>
      <c r="AB90">
        <v>135.36853930755859</v>
      </c>
      <c r="AC90">
        <v>136.2169769507158</v>
      </c>
      <c r="AD90">
        <v>136.5383423115629</v>
      </c>
      <c r="AE90">
        <v>136.8834146184372</v>
      </c>
      <c r="AF90">
        <v>137.37370096476391</v>
      </c>
      <c r="AG90">
        <v>137.43084118804151</v>
      </c>
      <c r="AH90">
        <v>137.12245360360461</v>
      </c>
      <c r="AI90">
        <v>137.38296423900289</v>
      </c>
      <c r="AJ90">
        <v>138.4769397110376</v>
      </c>
      <c r="AK90">
        <v>138.55955982003761</v>
      </c>
      <c r="AL90">
        <v>139.09715695851921</v>
      </c>
      <c r="AM90">
        <v>139.35967810359571</v>
      </c>
      <c r="AN90">
        <v>139.46247510717481</v>
      </c>
      <c r="AO90">
        <v>140.52555822344539</v>
      </c>
      <c r="AP90">
        <v>139.80025299247691</v>
      </c>
      <c r="AQ90">
        <v>138.9617035279141</v>
      </c>
      <c r="AR90">
        <v>137.98927756144039</v>
      </c>
      <c r="AS90">
        <v>138.97215387784411</v>
      </c>
      <c r="AT90">
        <v>139.34288901205539</v>
      </c>
      <c r="AU90">
        <v>139.02767400456329</v>
      </c>
      <c r="AV90">
        <v>137.45237625048071</v>
      </c>
      <c r="AW90">
        <v>139.2419633326563</v>
      </c>
      <c r="AX90">
        <v>139.27390018205691</v>
      </c>
      <c r="AY90">
        <v>138.8507861080264</v>
      </c>
      <c r="AZ90">
        <v>138.77638177590219</v>
      </c>
      <c r="BA90">
        <v>139.29388790966439</v>
      </c>
      <c r="BB90">
        <v>139.6589008209738</v>
      </c>
      <c r="BC90">
        <v>139.83376721788261</v>
      </c>
      <c r="BD90">
        <v>139.80376561713419</v>
      </c>
      <c r="BE90">
        <v>140.15428594525571</v>
      </c>
      <c r="BF90">
        <v>140.1591432648822</v>
      </c>
      <c r="BG90">
        <v>139.52294985079811</v>
      </c>
      <c r="BH90">
        <v>139.0272129269685</v>
      </c>
      <c r="BI90">
        <v>138.7148668755903</v>
      </c>
      <c r="BJ90">
        <v>138.6687979312612</v>
      </c>
      <c r="BK90">
        <v>138.81170304517761</v>
      </c>
      <c r="BL90">
        <v>138.79588389477411</v>
      </c>
      <c r="BM90">
        <v>139.2066047566606</v>
      </c>
      <c r="BN90">
        <v>139.61998853159011</v>
      </c>
      <c r="BO90">
        <v>139.72145606759571</v>
      </c>
      <c r="BP90">
        <v>139.88304224689429</v>
      </c>
      <c r="BQ90">
        <v>139.69063560123161</v>
      </c>
      <c r="BR90">
        <v>139.93549221091189</v>
      </c>
      <c r="BS90">
        <v>140.0138572968315</v>
      </c>
      <c r="BT90">
        <v>140.35900854905859</v>
      </c>
      <c r="BU90">
        <v>141.41434868427379</v>
      </c>
      <c r="BV90">
        <v>141.72559361366501</v>
      </c>
      <c r="BW90">
        <v>141.82807195231379</v>
      </c>
      <c r="BX90">
        <v>142.00717606256481</v>
      </c>
      <c r="BY90">
        <v>142.2882649829225</v>
      </c>
      <c r="BZ90">
        <v>142.44944571519551</v>
      </c>
      <c r="CA90">
        <v>142.64601218890141</v>
      </c>
      <c r="CB90">
        <v>142.63031717514949</v>
      </c>
    </row>
    <row r="91" spans="1:80" x14ac:dyDescent="0.35">
      <c r="A91" t="s">
        <v>29</v>
      </c>
      <c r="B91">
        <v>1.549898186127769</v>
      </c>
      <c r="C91">
        <v>1.6464634735977299</v>
      </c>
      <c r="D91">
        <v>1.709115873160387</v>
      </c>
      <c r="E91">
        <v>1.363473533334465</v>
      </c>
      <c r="F91">
        <v>1.5963226433152129</v>
      </c>
      <c r="G91">
        <v>1.590428718778746</v>
      </c>
      <c r="H91">
        <v>1.4842565399287071</v>
      </c>
      <c r="I91">
        <v>1.4786293765477569</v>
      </c>
      <c r="J91">
        <v>1.503723848380949</v>
      </c>
      <c r="K91">
        <v>1.3961509268875349</v>
      </c>
      <c r="L91">
        <v>1.452912014055638</v>
      </c>
      <c r="M91">
        <v>1.2494223116399219</v>
      </c>
      <c r="N91">
        <v>1.494289638933316</v>
      </c>
      <c r="O91">
        <v>1.6320638733923889</v>
      </c>
      <c r="P91">
        <v>1.6350350041878541</v>
      </c>
      <c r="Q91">
        <v>1.393153172824128</v>
      </c>
      <c r="R91">
        <v>1.3075605966500159</v>
      </c>
      <c r="S91">
        <v>1.18515685417377</v>
      </c>
      <c r="T91">
        <v>1.3133351965053921</v>
      </c>
      <c r="U91">
        <v>0.92715567994974402</v>
      </c>
      <c r="V91">
        <v>0.83490059593488053</v>
      </c>
      <c r="W91">
        <v>0.81542523383587862</v>
      </c>
      <c r="X91">
        <v>0.66222193981846911</v>
      </c>
      <c r="Y91">
        <v>0.61316302594461181</v>
      </c>
      <c r="Z91">
        <v>0.35573565443602673</v>
      </c>
      <c r="AA91">
        <v>-0.14141976389235769</v>
      </c>
      <c r="AB91">
        <v>0.38889118034289633</v>
      </c>
      <c r="AC91">
        <v>0.5638410026034294</v>
      </c>
      <c r="AD91">
        <v>0.5996797670750208</v>
      </c>
      <c r="AE91">
        <v>0.49524146684504089</v>
      </c>
      <c r="AF91">
        <v>0.45261660671247611</v>
      </c>
      <c r="AG91">
        <v>0.35530429933308322</v>
      </c>
      <c r="AH91">
        <v>0.20075095176803959</v>
      </c>
      <c r="AI91">
        <v>0.32388905744338381</v>
      </c>
      <c r="AJ91">
        <v>0.22708881741478559</v>
      </c>
      <c r="AK91">
        <v>0.19694623287492771</v>
      </c>
      <c r="AL91">
        <v>5.6155648909763198E-2</v>
      </c>
      <c r="AM91">
        <v>0.17783752131434</v>
      </c>
      <c r="AN91">
        <v>2.8308808206893181E-2</v>
      </c>
      <c r="AO91">
        <v>0.31401024183813803</v>
      </c>
      <c r="AP91">
        <v>0.47419869155372601</v>
      </c>
      <c r="AQ91">
        <v>0.25192736566001661</v>
      </c>
      <c r="AR91">
        <v>0.27659245712207797</v>
      </c>
      <c r="AS91">
        <v>0.43344865837002039</v>
      </c>
      <c r="AT91">
        <v>0.63102206818342865</v>
      </c>
      <c r="AU91">
        <v>0.6149775886744584</v>
      </c>
      <c r="AV91">
        <v>0.6826680121821852</v>
      </c>
      <c r="AW91">
        <v>0.74836541080561236</v>
      </c>
      <c r="AX91">
        <v>0.37016074971185559</v>
      </c>
      <c r="AY91">
        <v>0.32399705139557489</v>
      </c>
      <c r="AZ91">
        <v>0.2786110774608217</v>
      </c>
      <c r="BA91">
        <v>0.58114279251246914</v>
      </c>
      <c r="BB91">
        <v>0.88187251789545429</v>
      </c>
      <c r="BC91">
        <v>0.88805307560525915</v>
      </c>
      <c r="BD91">
        <v>0.77825100356266652</v>
      </c>
      <c r="BE91">
        <v>0.75334447194736176</v>
      </c>
      <c r="BF91">
        <v>0.72857329529726889</v>
      </c>
      <c r="BG91">
        <v>0.67652225892472728</v>
      </c>
      <c r="BH91">
        <v>0.58752003533811992</v>
      </c>
      <c r="BI91">
        <v>0.51055891108677376</v>
      </c>
      <c r="BJ91">
        <v>0.5643766663149129</v>
      </c>
      <c r="BK91">
        <v>0.37344073690216262</v>
      </c>
      <c r="BL91">
        <v>0.23727294719191949</v>
      </c>
      <c r="BM91">
        <v>0.70997224450501184</v>
      </c>
      <c r="BN91">
        <v>1.044948053592001</v>
      </c>
      <c r="BO91">
        <v>1.2164537416668759</v>
      </c>
      <c r="BP91">
        <v>1.045607202537763</v>
      </c>
      <c r="BQ91">
        <v>0.87951803695170094</v>
      </c>
      <c r="BR91">
        <v>0.93350306412403561</v>
      </c>
      <c r="BS91">
        <v>1.1410700914499561</v>
      </c>
      <c r="BT91">
        <v>1.039676220182594</v>
      </c>
      <c r="BU91">
        <v>1.093072487076264</v>
      </c>
      <c r="BV91">
        <v>1.036041790005221</v>
      </c>
      <c r="BW91">
        <v>0.94884937942887448</v>
      </c>
      <c r="BX91">
        <v>0.76056639538022364</v>
      </c>
      <c r="BY91">
        <v>1.0851845840769201</v>
      </c>
      <c r="BZ91">
        <v>0.94476968658229199</v>
      </c>
      <c r="CA91">
        <v>0.88345033460463585</v>
      </c>
      <c r="CB91">
        <v>1.778628400923137</v>
      </c>
    </row>
    <row r="92" spans="1:80" x14ac:dyDescent="0.35">
      <c r="A92" t="s">
        <v>30</v>
      </c>
      <c r="B92">
        <v>8.7380335514022676</v>
      </c>
      <c r="C92">
        <v>8.2668438435807126</v>
      </c>
      <c r="D92">
        <v>8.5212584663990221</v>
      </c>
      <c r="E92">
        <v>9.013321187081015</v>
      </c>
      <c r="F92">
        <v>7.5779246173194084</v>
      </c>
      <c r="G92">
        <v>7.1754349409993328</v>
      </c>
      <c r="H92">
        <v>6.9852180751529653</v>
      </c>
      <c r="I92">
        <v>7.0866520498999437</v>
      </c>
      <c r="J92">
        <v>7.1948255073179244</v>
      </c>
      <c r="K92">
        <v>7.4425290661826757</v>
      </c>
      <c r="L92">
        <v>7.5358975150637137</v>
      </c>
      <c r="M92">
        <v>7.6310938124826233</v>
      </c>
      <c r="N92">
        <v>7.6127880468680331</v>
      </c>
      <c r="O92">
        <v>7.7986329801761478</v>
      </c>
      <c r="P92">
        <v>7.942913200947177</v>
      </c>
      <c r="Q92">
        <v>8.11048352455661</v>
      </c>
      <c r="R92">
        <v>8.226401667403989</v>
      </c>
      <c r="S92">
        <v>8.3824546655337873</v>
      </c>
      <c r="T92">
        <v>8.685776262499429</v>
      </c>
      <c r="U92">
        <v>7.957203576309765</v>
      </c>
      <c r="V92">
        <v>8.5753227664840708</v>
      </c>
      <c r="W92">
        <v>8.5296520883415763</v>
      </c>
      <c r="X92">
        <v>8.7715575824911873</v>
      </c>
      <c r="Y92">
        <v>9.0376559225659943</v>
      </c>
      <c r="Z92">
        <v>9.1865888089484287</v>
      </c>
      <c r="AA92">
        <v>9.9676315129330408</v>
      </c>
      <c r="AB92">
        <v>8.2290429547388317</v>
      </c>
      <c r="AC92">
        <v>7.8709495811429049</v>
      </c>
      <c r="AD92">
        <v>7.6573768599412144</v>
      </c>
      <c r="AE92">
        <v>7.5324396697594356</v>
      </c>
      <c r="AF92">
        <v>7.2587921001363833</v>
      </c>
      <c r="AG92">
        <v>7.237226900567248</v>
      </c>
      <c r="AH92">
        <v>7.3428287379811952</v>
      </c>
      <c r="AI92">
        <v>7.2243915563793539</v>
      </c>
      <c r="AJ92">
        <v>6.7189767906422606</v>
      </c>
      <c r="AK92">
        <v>6.6479193074379408</v>
      </c>
      <c r="AL92">
        <v>6.368382926784883</v>
      </c>
      <c r="AM92">
        <v>6.1805584502023363</v>
      </c>
      <c r="AN92">
        <v>6.1461599550932187</v>
      </c>
      <c r="AO92">
        <v>5.5439933170138591</v>
      </c>
      <c r="AP92">
        <v>6.1908854382608993</v>
      </c>
      <c r="AQ92">
        <v>6.6575315643466997</v>
      </c>
      <c r="AR92">
        <v>7.2416976952957084</v>
      </c>
      <c r="AS92">
        <v>6.8898436618985111</v>
      </c>
      <c r="AT92">
        <v>6.7131279247649864</v>
      </c>
      <c r="AU92">
        <v>6.9441071912992909</v>
      </c>
      <c r="AV92">
        <v>8.2079464837451983</v>
      </c>
      <c r="AW92">
        <v>6.8420858199695731</v>
      </c>
      <c r="AX92">
        <v>6.7500191010683697</v>
      </c>
      <c r="AY92">
        <v>6.7854535214122036</v>
      </c>
      <c r="AZ92">
        <v>6.9649719268644752</v>
      </c>
      <c r="BA92">
        <v>6.9220421947339608</v>
      </c>
      <c r="BB92">
        <v>6.8233100298033573</v>
      </c>
      <c r="BC92">
        <v>6.7305952444425294</v>
      </c>
      <c r="BD92">
        <v>6.7539689199623139</v>
      </c>
      <c r="BE92">
        <v>6.4127291058264424</v>
      </c>
      <c r="BF92">
        <v>6.502561049811753</v>
      </c>
      <c r="BG92">
        <v>6.9868649180922322</v>
      </c>
      <c r="BH92">
        <v>7.1784923700224006</v>
      </c>
      <c r="BI92">
        <v>7.4958685227526827</v>
      </c>
      <c r="BJ92">
        <v>7.6323780633418394</v>
      </c>
      <c r="BK92">
        <v>7.3308584247459301</v>
      </c>
      <c r="BL92">
        <v>7.4120200914616046</v>
      </c>
      <c r="BM92">
        <v>7.3179923334086956</v>
      </c>
      <c r="BN92">
        <v>7.135570932142115</v>
      </c>
      <c r="BO92">
        <v>7.1499838530008981</v>
      </c>
      <c r="BP92">
        <v>7.1078279175570938</v>
      </c>
      <c r="BQ92">
        <v>7.0946951633487787</v>
      </c>
      <c r="BR92">
        <v>6.9457119695910814</v>
      </c>
      <c r="BS92">
        <v>7.0698740082125306</v>
      </c>
      <c r="BT92">
        <v>6.8007696622341944</v>
      </c>
      <c r="BU92">
        <v>6.3935857906751767</v>
      </c>
      <c r="BV92">
        <v>6.0849855414497753</v>
      </c>
      <c r="BW92">
        <v>5.9401629920990979</v>
      </c>
      <c r="BX92">
        <v>5.8812009786622346</v>
      </c>
      <c r="BY92">
        <v>5.9313498270308367</v>
      </c>
      <c r="BZ92">
        <v>5.8397285396854191</v>
      </c>
      <c r="CA92">
        <v>5.7398406147573438</v>
      </c>
      <c r="CB92">
        <v>6.8954985235501196</v>
      </c>
    </row>
    <row r="93" spans="1:80" x14ac:dyDescent="0.35">
      <c r="A93" t="s">
        <v>31</v>
      </c>
      <c r="B93">
        <v>-1.600932907824749</v>
      </c>
      <c r="C93">
        <v>-1.249690074487769</v>
      </c>
      <c r="D93">
        <v>-0.53037495992357819</v>
      </c>
      <c r="E93">
        <v>-1.140134386243886</v>
      </c>
      <c r="F93">
        <v>-1.7185507268585241</v>
      </c>
      <c r="G93">
        <v>-0.82675488588437618</v>
      </c>
      <c r="H93">
        <v>0.76819242751110417</v>
      </c>
      <c r="I93">
        <v>1.438196732420693</v>
      </c>
      <c r="J93">
        <v>1.127708903635434</v>
      </c>
      <c r="K93">
        <v>0.24850041294310021</v>
      </c>
      <c r="L93">
        <v>-0.74400537572306125</v>
      </c>
      <c r="M93">
        <v>-0.23123915402440701</v>
      </c>
      <c r="N93">
        <v>-0.17128075197048739</v>
      </c>
      <c r="O93">
        <v>0.52834897760998412</v>
      </c>
      <c r="P93">
        <v>2.2286312355322311</v>
      </c>
      <c r="Q93">
        <v>3.168994265800734</v>
      </c>
      <c r="R93">
        <v>3.7203083976447608</v>
      </c>
      <c r="S93">
        <v>3.6197293011041229</v>
      </c>
      <c r="T93">
        <v>3.079818969038163</v>
      </c>
      <c r="U93">
        <v>2.3890269908703519</v>
      </c>
      <c r="V93">
        <v>2.117943130104015</v>
      </c>
      <c r="W93">
        <v>2.3796426585633732</v>
      </c>
      <c r="X93">
        <v>2.1365533402312269</v>
      </c>
      <c r="Y93">
        <v>2.2590841036764289</v>
      </c>
      <c r="Z93">
        <v>1.8921321764025789</v>
      </c>
      <c r="AA93">
        <v>1.2022255223006491</v>
      </c>
      <c r="AB93">
        <v>2.0101742206506201</v>
      </c>
      <c r="AC93">
        <v>1.8533076178872889</v>
      </c>
      <c r="AD93">
        <v>1.6233010194471931</v>
      </c>
      <c r="AE93">
        <v>1.9863546298035311</v>
      </c>
      <c r="AF93">
        <v>1.776048098987236</v>
      </c>
      <c r="AG93">
        <v>1.149152814075078</v>
      </c>
      <c r="AH93">
        <v>1.1036778710863491</v>
      </c>
      <c r="AI93">
        <v>0.72586052228038056</v>
      </c>
      <c r="AJ93">
        <v>4.4192397926963833E-2</v>
      </c>
      <c r="AK93">
        <v>-0.27397075083853251</v>
      </c>
      <c r="AL93">
        <v>-0.41733637751337582</v>
      </c>
      <c r="AM93">
        <v>-0.1173226277304254</v>
      </c>
      <c r="AN93">
        <v>-1.145674296517011</v>
      </c>
      <c r="AO93">
        <v>-1.4018896063286721</v>
      </c>
      <c r="AP93">
        <v>1.045761011750431</v>
      </c>
      <c r="AQ93">
        <v>1.574227281488876</v>
      </c>
      <c r="AR93">
        <v>1.727004074647831</v>
      </c>
      <c r="AS93">
        <v>1.80027320660057</v>
      </c>
      <c r="AT93">
        <v>1.222482750026461</v>
      </c>
      <c r="AU93">
        <v>1.9804339362969949</v>
      </c>
      <c r="AV93">
        <v>4.4347811395205889</v>
      </c>
      <c r="AW93">
        <v>0.95600319774244857</v>
      </c>
      <c r="AX93">
        <v>0.74383483282318807</v>
      </c>
      <c r="AY93">
        <v>-0.5473741128998445</v>
      </c>
      <c r="AZ93">
        <v>1.868932098120508</v>
      </c>
      <c r="BA93">
        <v>2.540892361765652</v>
      </c>
      <c r="BB93">
        <v>2.8844189131729681</v>
      </c>
      <c r="BC93">
        <v>3.0948406054072648</v>
      </c>
      <c r="BD93">
        <v>2.669385861614967</v>
      </c>
      <c r="BE93">
        <v>2.1705322602800261</v>
      </c>
      <c r="BF93">
        <v>2.2177249909990882</v>
      </c>
      <c r="BG93">
        <v>2.4644662878792358</v>
      </c>
      <c r="BH93">
        <v>2.308901081145367</v>
      </c>
      <c r="BI93">
        <v>2.645189554745623</v>
      </c>
      <c r="BJ93">
        <v>2.7162943719608288</v>
      </c>
      <c r="BK93">
        <v>2.3331260832515621</v>
      </c>
      <c r="BL93">
        <v>2.8782945581713801</v>
      </c>
      <c r="BM93">
        <v>3.384610344618983</v>
      </c>
      <c r="BN93">
        <v>3.5197435774099142</v>
      </c>
      <c r="BO93">
        <v>3.6097088004680509</v>
      </c>
      <c r="BP93">
        <v>3.4272224917414889</v>
      </c>
      <c r="BQ93">
        <v>3.097598706859074</v>
      </c>
      <c r="BR93">
        <v>2.7884326865805549</v>
      </c>
      <c r="BS93">
        <v>3.1028974860046641</v>
      </c>
      <c r="BT93">
        <v>2.7119742049619631</v>
      </c>
      <c r="BU93">
        <v>2.9734877164973241</v>
      </c>
      <c r="BV93">
        <v>2.533408310151771</v>
      </c>
      <c r="BW93">
        <v>2.5568324030900351</v>
      </c>
      <c r="BX93">
        <v>2.677322311836122</v>
      </c>
      <c r="BY93">
        <v>3.1104614983903618</v>
      </c>
      <c r="BZ93">
        <v>3.4732314491324181</v>
      </c>
      <c r="CA93">
        <v>3.394569822335392</v>
      </c>
      <c r="CB93">
        <v>5.8162247485715666</v>
      </c>
    </row>
    <row r="94" spans="1:80" x14ac:dyDescent="0.35">
      <c r="A94" t="s">
        <v>32</v>
      </c>
      <c r="B94">
        <v>0.48384874324779581</v>
      </c>
      <c r="C94">
        <v>0.1815773805412593</v>
      </c>
      <c r="D94">
        <v>0.21141472434183389</v>
      </c>
      <c r="E94">
        <v>4.6374417673523113E-2</v>
      </c>
      <c r="F94">
        <v>7.7143853605999305E-2</v>
      </c>
      <c r="G94">
        <v>6.2823957676978834E-2</v>
      </c>
      <c r="H94">
        <v>-9.5055889266506763E-4</v>
      </c>
      <c r="I94">
        <v>-0.1006465456225418</v>
      </c>
      <c r="J94">
        <v>9.6490811699651447E-3</v>
      </c>
      <c r="K94">
        <v>5.0730894550072583E-2</v>
      </c>
      <c r="L94">
        <v>1.6919330933634812E-2</v>
      </c>
      <c r="M94">
        <v>4.6612822153011622E-2</v>
      </c>
      <c r="N94">
        <v>-2.1114600734357409E-2</v>
      </c>
      <c r="O94">
        <v>-3.8439403335711157E-2</v>
      </c>
      <c r="P94">
        <v>6.0591343697777023E-2</v>
      </c>
      <c r="Q94">
        <v>7.5041818891163709E-2</v>
      </c>
      <c r="R94">
        <v>5.3953399300038909E-2</v>
      </c>
      <c r="S94">
        <v>0.1058457575795104</v>
      </c>
      <c r="T94">
        <v>0.20218906614857959</v>
      </c>
      <c r="U94">
        <v>0.24899160364912459</v>
      </c>
      <c r="V94">
        <v>0.26395952401816708</v>
      </c>
      <c r="W94">
        <v>0.2168270650741152</v>
      </c>
      <c r="X94">
        <v>0.20770667875148571</v>
      </c>
      <c r="Y94">
        <v>0.1914963914785911</v>
      </c>
      <c r="Z94">
        <v>-1.8126434962269181E-2</v>
      </c>
      <c r="AA94">
        <v>-0.21566420686459351</v>
      </c>
      <c r="AB94">
        <v>-4.5817434772891727E-2</v>
      </c>
      <c r="AC94">
        <v>-2.6015143753880969E-2</v>
      </c>
      <c r="AD94">
        <v>-3.592355661675269E-3</v>
      </c>
      <c r="AE94">
        <v>-5.3542542755154958E-2</v>
      </c>
      <c r="AF94">
        <v>-1.456431355713045E-2</v>
      </c>
      <c r="AG94">
        <v>-5.6075981846141647E-2</v>
      </c>
      <c r="AH94">
        <v>-4.3452450130875092E-2</v>
      </c>
      <c r="AI94">
        <v>-0.15011970419473961</v>
      </c>
      <c r="AJ94">
        <v>-0.14239711963245641</v>
      </c>
      <c r="AK94">
        <v>-5.0625607827678859E-2</v>
      </c>
      <c r="AL94">
        <v>-0.1819895292772295</v>
      </c>
      <c r="AM94">
        <v>-0.16937166790882549</v>
      </c>
      <c r="AN94">
        <v>-0.16964722612837341</v>
      </c>
      <c r="AO94">
        <v>-0.13584056199098729</v>
      </c>
      <c r="AP94">
        <v>-0.21949879487742679</v>
      </c>
      <c r="AQ94">
        <v>-0.14118283749682489</v>
      </c>
      <c r="AR94">
        <v>-0.1132334050629789</v>
      </c>
      <c r="AS94">
        <v>-8.4511109416655752E-2</v>
      </c>
      <c r="AT94">
        <v>-2.6785625310167479E-2</v>
      </c>
      <c r="AU94">
        <v>-0.1114865647787559</v>
      </c>
      <c r="AV94">
        <v>2.0615364703462161E-3</v>
      </c>
      <c r="AW94">
        <v>-2.75020586093257E-3</v>
      </c>
      <c r="AX94">
        <v>-0.15381379988610189</v>
      </c>
      <c r="AY94">
        <v>-0.20699717039178389</v>
      </c>
      <c r="AZ94">
        <v>-4.3287615741331803E-2</v>
      </c>
      <c r="BA94">
        <v>1.7985734776779869E-3</v>
      </c>
      <c r="BB94">
        <v>1.521745374287496E-2</v>
      </c>
      <c r="BC94">
        <v>0.16792231544005359</v>
      </c>
      <c r="BD94">
        <v>0.15433794744923979</v>
      </c>
      <c r="BE94">
        <v>-7.0828789214884835E-2</v>
      </c>
      <c r="BF94">
        <v>-0.10464184044772221</v>
      </c>
      <c r="BG94">
        <v>-9.3666367212597232E-2</v>
      </c>
      <c r="BH94">
        <v>-7.9337219962380259E-2</v>
      </c>
      <c r="BI94">
        <v>-6.6876086183126932E-2</v>
      </c>
      <c r="BJ94">
        <v>-0.1796973027710321</v>
      </c>
      <c r="BK94">
        <v>-0.16804083386382471</v>
      </c>
      <c r="BL94">
        <v>-0.15429834533597689</v>
      </c>
      <c r="BM94">
        <v>-7.0017249852938196E-2</v>
      </c>
      <c r="BN94">
        <v>-6.9348708194226449E-2</v>
      </c>
      <c r="BO94">
        <v>-7.5598875327085244E-2</v>
      </c>
      <c r="BP94">
        <v>-7.3748485506873074E-2</v>
      </c>
      <c r="BQ94">
        <v>-0.1066202193687724</v>
      </c>
      <c r="BR94">
        <v>-7.9241782932803675E-3</v>
      </c>
      <c r="BS94">
        <v>4.2624069057283762E-2</v>
      </c>
      <c r="BT94">
        <v>7.4837773384766937E-2</v>
      </c>
      <c r="BU94">
        <v>0.11522369020175301</v>
      </c>
      <c r="BV94">
        <v>7.3135542837443571E-2</v>
      </c>
      <c r="BW94">
        <v>6.6639579952576911E-2</v>
      </c>
      <c r="BX94">
        <v>0.1578310748138482</v>
      </c>
      <c r="BY94">
        <v>0.20877769376868341</v>
      </c>
      <c r="BZ94">
        <v>0.31916189104784382</v>
      </c>
      <c r="CA94">
        <v>0.29834968385930821</v>
      </c>
      <c r="CB94">
        <v>0.34653039311611278</v>
      </c>
    </row>
    <row r="95" spans="1:80" x14ac:dyDescent="0.35">
      <c r="A95" t="s">
        <v>33</v>
      </c>
      <c r="B95">
        <v>143.86446910470369</v>
      </c>
      <c r="C95">
        <v>144.37784740005341</v>
      </c>
      <c r="D95">
        <v>144.90557353329399</v>
      </c>
      <c r="E95">
        <v>143.56623400175619</v>
      </c>
      <c r="F95">
        <v>144.73845173316309</v>
      </c>
      <c r="G95">
        <v>146.1867374980267</v>
      </c>
      <c r="H95">
        <v>147.7208118575148</v>
      </c>
      <c r="I95">
        <v>148.20483398558551</v>
      </c>
      <c r="J95">
        <v>147.94974761345321</v>
      </c>
      <c r="K95">
        <v>146.7478863618872</v>
      </c>
      <c r="L95">
        <v>145.56000117256491</v>
      </c>
      <c r="M95">
        <v>146.09370425006719</v>
      </c>
      <c r="N95">
        <v>146.20308562912149</v>
      </c>
      <c r="O95">
        <v>146.67056748553301</v>
      </c>
      <c r="P95">
        <v>148.34813825469021</v>
      </c>
      <c r="Q95">
        <v>149.1108051127988</v>
      </c>
      <c r="R95">
        <v>149.59339256027931</v>
      </c>
      <c r="S95">
        <v>149.2763648491931</v>
      </c>
      <c r="T95">
        <v>148.50633950319369</v>
      </c>
      <c r="U95">
        <v>148.27231719750901</v>
      </c>
      <c r="V95">
        <v>147.10847347545101</v>
      </c>
      <c r="W95">
        <v>147.21301274489619</v>
      </c>
      <c r="X95">
        <v>146.26639986285761</v>
      </c>
      <c r="Y95">
        <v>146.20657015260139</v>
      </c>
      <c r="Z95">
        <v>145.3366262046946</v>
      </c>
      <c r="AA95">
        <v>143.76789979445709</v>
      </c>
      <c r="AB95">
        <v>145.9508302285181</v>
      </c>
      <c r="AC95">
        <v>146.47906000859561</v>
      </c>
      <c r="AD95">
        <v>146.41510760236471</v>
      </c>
      <c r="AE95">
        <v>146.84390784209009</v>
      </c>
      <c r="AF95">
        <v>146.8465934570429</v>
      </c>
      <c r="AG95">
        <v>146.11644922017081</v>
      </c>
      <c r="AH95">
        <v>145.7262587143093</v>
      </c>
      <c r="AI95">
        <v>145.50698567091129</v>
      </c>
      <c r="AJ95">
        <v>145.32480059738921</v>
      </c>
      <c r="AK95">
        <v>145.07982900168429</v>
      </c>
      <c r="AL95">
        <v>144.92236962742319</v>
      </c>
      <c r="AM95">
        <v>145.43137977947299</v>
      </c>
      <c r="AN95">
        <v>144.32162234782939</v>
      </c>
      <c r="AO95">
        <v>144.84583161397779</v>
      </c>
      <c r="AP95">
        <v>147.29159933916449</v>
      </c>
      <c r="AQ95">
        <v>147.30420690191289</v>
      </c>
      <c r="AR95">
        <v>147.121338383443</v>
      </c>
      <c r="AS95">
        <v>148.0112082952966</v>
      </c>
      <c r="AT95">
        <v>147.88273612972009</v>
      </c>
      <c r="AU95">
        <v>148.4557061560553</v>
      </c>
      <c r="AV95">
        <v>150.77983342239901</v>
      </c>
      <c r="AW95">
        <v>147.78566755531301</v>
      </c>
      <c r="AX95">
        <v>146.98410106577421</v>
      </c>
      <c r="AY95">
        <v>145.2058653975426</v>
      </c>
      <c r="AZ95">
        <v>147.8456092626067</v>
      </c>
      <c r="BA95">
        <v>149.3397638321542</v>
      </c>
      <c r="BB95">
        <v>150.26371973558841</v>
      </c>
      <c r="BC95">
        <v>150.7151784587777</v>
      </c>
      <c r="BD95">
        <v>150.15970934972341</v>
      </c>
      <c r="BE95">
        <v>149.42006299409471</v>
      </c>
      <c r="BF95">
        <v>149.50336076054259</v>
      </c>
      <c r="BG95">
        <v>149.55713694848171</v>
      </c>
      <c r="BH95">
        <v>149.02278919351201</v>
      </c>
      <c r="BI95">
        <v>149.29960777799221</v>
      </c>
      <c r="BJ95">
        <v>149.40214973010771</v>
      </c>
      <c r="BK95">
        <v>148.68108745621339</v>
      </c>
      <c r="BL95">
        <v>149.16917314626301</v>
      </c>
      <c r="BM95">
        <v>150.54916242934041</v>
      </c>
      <c r="BN95">
        <v>151.25090238653991</v>
      </c>
      <c r="BO95">
        <v>151.62200358740441</v>
      </c>
      <c r="BP95">
        <v>151.38995137322371</v>
      </c>
      <c r="BQ95">
        <v>150.6558272890224</v>
      </c>
      <c r="BR95">
        <v>150.5952157529143</v>
      </c>
      <c r="BS95">
        <v>151.37032295155589</v>
      </c>
      <c r="BT95">
        <v>150.98626640982209</v>
      </c>
      <c r="BU95">
        <v>151.98971836872431</v>
      </c>
      <c r="BV95">
        <v>151.45316479810921</v>
      </c>
      <c r="BW95">
        <v>151.34055630688439</v>
      </c>
      <c r="BX95">
        <v>151.4840968232572</v>
      </c>
      <c r="BY95">
        <v>152.6240385861893</v>
      </c>
      <c r="BZ95">
        <v>153.02633728164349</v>
      </c>
      <c r="CA95">
        <v>152.96222264445811</v>
      </c>
      <c r="CB95">
        <v>157.46719924131051</v>
      </c>
    </row>
    <row r="96" spans="1:80" x14ac:dyDescent="0.35">
      <c r="A96" t="s">
        <v>34</v>
      </c>
      <c r="B96">
        <v>117016678.84</v>
      </c>
      <c r="C96">
        <v>128611297.19</v>
      </c>
      <c r="D96">
        <v>197024312.94999999</v>
      </c>
      <c r="E96">
        <v>93916706.039999992</v>
      </c>
      <c r="F96">
        <v>137096668.06</v>
      </c>
      <c r="G96">
        <v>164553107.97999999</v>
      </c>
      <c r="H96">
        <v>172048657.44999999</v>
      </c>
      <c r="I96">
        <v>150875952.69</v>
      </c>
      <c r="J96">
        <v>140790133.53</v>
      </c>
      <c r="K96">
        <v>135639497.09999999</v>
      </c>
      <c r="L96">
        <v>131808341.23999999</v>
      </c>
      <c r="M96">
        <v>122399483.83</v>
      </c>
      <c r="N96">
        <v>139703045.25999999</v>
      </c>
      <c r="O96">
        <v>153121363.41</v>
      </c>
      <c r="P96">
        <v>323782058.58999997</v>
      </c>
      <c r="Q96">
        <v>285291131.62</v>
      </c>
      <c r="R96">
        <v>219595460.03999999</v>
      </c>
      <c r="S96">
        <v>221455490.41</v>
      </c>
      <c r="T96">
        <v>212900932.90000001</v>
      </c>
      <c r="U96">
        <v>208304328.75999999</v>
      </c>
      <c r="V96">
        <v>197598501.59999999</v>
      </c>
      <c r="W96">
        <v>181641230.66999999</v>
      </c>
      <c r="X96">
        <v>181446199.97</v>
      </c>
      <c r="Y96">
        <v>159706820.63</v>
      </c>
      <c r="Z96">
        <v>116572607.61</v>
      </c>
      <c r="AA96">
        <v>76906015.570000008</v>
      </c>
      <c r="AB96">
        <v>260162583.18000001</v>
      </c>
      <c r="AC96">
        <v>197736223.41</v>
      </c>
      <c r="AD96">
        <v>202615991.06999999</v>
      </c>
      <c r="AE96">
        <v>179397663.44</v>
      </c>
      <c r="AF96">
        <v>157214408.13999999</v>
      </c>
      <c r="AG96">
        <v>168573011.22</v>
      </c>
      <c r="AH96">
        <v>157509755.58000001</v>
      </c>
      <c r="AI96">
        <v>137330798.58000001</v>
      </c>
      <c r="AJ96">
        <v>118287142.42</v>
      </c>
      <c r="AK96">
        <v>108702389.63</v>
      </c>
      <c r="AL96">
        <v>112710416.61</v>
      </c>
      <c r="AM96">
        <v>134828424.18000001</v>
      </c>
      <c r="AN96">
        <v>134801103.97999999</v>
      </c>
      <c r="AO96">
        <v>96670991.269999996</v>
      </c>
      <c r="AP96">
        <v>144409577.62</v>
      </c>
      <c r="AQ96">
        <v>143858359.69999999</v>
      </c>
      <c r="AR96">
        <v>104944662.17</v>
      </c>
      <c r="AS96">
        <v>115716194.70999999</v>
      </c>
      <c r="AT96">
        <v>107571668.43000001</v>
      </c>
      <c r="AU96">
        <v>121404570.17</v>
      </c>
      <c r="AV96">
        <v>97603469.069999993</v>
      </c>
      <c r="AW96">
        <v>142318057.31</v>
      </c>
      <c r="AX96">
        <v>168033143.47</v>
      </c>
      <c r="AY96">
        <v>251406058.34999999</v>
      </c>
      <c r="AZ96">
        <v>356037373.64999998</v>
      </c>
      <c r="BA96">
        <v>269285793.99000001</v>
      </c>
      <c r="BB96">
        <v>248908882.24000001</v>
      </c>
      <c r="BC96">
        <v>225667632.09</v>
      </c>
      <c r="BD96">
        <v>232003196.34999999</v>
      </c>
      <c r="BE96">
        <v>196551249.75999999</v>
      </c>
      <c r="BF96">
        <v>180496572.5</v>
      </c>
      <c r="BG96">
        <v>206019831.53</v>
      </c>
      <c r="BH96">
        <v>199405026.83000001</v>
      </c>
      <c r="BI96">
        <v>215215946.09999999</v>
      </c>
      <c r="BJ96">
        <v>235773580.44</v>
      </c>
      <c r="BK96">
        <v>281467501.69</v>
      </c>
      <c r="BL96">
        <v>456530063.51999998</v>
      </c>
      <c r="BM96">
        <v>333740143.98000002</v>
      </c>
      <c r="BN96">
        <v>298828159.95999998</v>
      </c>
      <c r="BO96">
        <v>273500031.41000003</v>
      </c>
      <c r="BP96">
        <v>278746974.19000012</v>
      </c>
      <c r="BQ96">
        <v>265709991.56</v>
      </c>
      <c r="BR96">
        <v>277094937.72000003</v>
      </c>
      <c r="BS96">
        <v>260767671.31999999</v>
      </c>
      <c r="BT96">
        <v>208772690.72999999</v>
      </c>
      <c r="BU96">
        <v>232144308.50999999</v>
      </c>
      <c r="BV96">
        <v>245129962.71000001</v>
      </c>
      <c r="BW96">
        <v>304842242.60000002</v>
      </c>
      <c r="BX96">
        <v>478880111.30000001</v>
      </c>
      <c r="BY96">
        <v>328687726.08999997</v>
      </c>
      <c r="BZ96">
        <v>312962849.06999999</v>
      </c>
      <c r="CA96">
        <v>285825328.54000002</v>
      </c>
      <c r="CB96">
        <v>46340546.960000001</v>
      </c>
    </row>
    <row r="97" spans="1:80" x14ac:dyDescent="0.35">
      <c r="A97" t="s">
        <v>35</v>
      </c>
      <c r="B97">
        <v>1.8023982793798889</v>
      </c>
      <c r="C97">
        <v>1.767108068806309</v>
      </c>
      <c r="D97">
        <v>1.7142707179693739</v>
      </c>
      <c r="E97">
        <v>1.764394637430502</v>
      </c>
      <c r="F97">
        <v>1.8015368044006259</v>
      </c>
      <c r="G97">
        <v>1.7454298017054179</v>
      </c>
      <c r="H97">
        <v>1.6256037840671449</v>
      </c>
      <c r="I97">
        <v>1.5707312303475069</v>
      </c>
      <c r="J97">
        <v>1.597354692427392</v>
      </c>
      <c r="K97">
        <v>1.667837745614601</v>
      </c>
      <c r="L97">
        <v>1.7341639381782401</v>
      </c>
      <c r="M97">
        <v>1.7018891677523891</v>
      </c>
      <c r="N97">
        <v>1.6934720934916461</v>
      </c>
      <c r="O97">
        <v>1.622584565202609</v>
      </c>
      <c r="P97">
        <v>1.4930973786061561</v>
      </c>
      <c r="Q97">
        <v>1.431900627733621</v>
      </c>
      <c r="R97">
        <v>1.4097669091264</v>
      </c>
      <c r="S97">
        <v>1.4178177994456429</v>
      </c>
      <c r="T97">
        <v>1.446747803290793</v>
      </c>
      <c r="U97">
        <v>1.4946971442214829</v>
      </c>
      <c r="V97">
        <v>1.5038286573876849</v>
      </c>
      <c r="W97">
        <v>1.4967250205007969</v>
      </c>
      <c r="X97">
        <v>1.5152237216528901</v>
      </c>
      <c r="Y97">
        <v>1.518771014971237</v>
      </c>
      <c r="Z97">
        <v>1.5575589332439059</v>
      </c>
      <c r="AA97">
        <v>1.717535484059479</v>
      </c>
      <c r="AB97">
        <v>1.515797516499811</v>
      </c>
      <c r="AC97">
        <v>1.5438408317179839</v>
      </c>
      <c r="AD97">
        <v>1.5436057540110759</v>
      </c>
      <c r="AE97">
        <v>1.5270334704599411</v>
      </c>
      <c r="AF97">
        <v>1.5451510584238519</v>
      </c>
      <c r="AG97">
        <v>1.597583058573836</v>
      </c>
      <c r="AH97">
        <v>1.604730045864051</v>
      </c>
      <c r="AI97">
        <v>1.619032448391339</v>
      </c>
      <c r="AJ97">
        <v>1.658467685294289</v>
      </c>
      <c r="AK97">
        <v>1.673112955896106</v>
      </c>
      <c r="AL97">
        <v>1.6806102771622471</v>
      </c>
      <c r="AM97">
        <v>1.650792429967078</v>
      </c>
      <c r="AN97">
        <v>1.7173763500205781</v>
      </c>
      <c r="AO97">
        <v>1.713013547903707</v>
      </c>
      <c r="AP97">
        <v>1.5775250402856731</v>
      </c>
      <c r="AQ97">
        <v>1.5500513118427639</v>
      </c>
      <c r="AR97">
        <v>1.57581618538095</v>
      </c>
      <c r="AS97">
        <v>1.585624779971929</v>
      </c>
      <c r="AT97">
        <v>1.636353232470803</v>
      </c>
      <c r="AU97">
        <v>1.5909036758404489</v>
      </c>
      <c r="AV97">
        <v>1.521763726625871</v>
      </c>
      <c r="AW97">
        <v>1.6758877783244059</v>
      </c>
      <c r="AX97">
        <v>1.676020595208803</v>
      </c>
      <c r="AY97">
        <v>1.782255066950128</v>
      </c>
      <c r="AZ97">
        <v>1.6015949441145201</v>
      </c>
      <c r="BA97">
        <v>1.5542887501839591</v>
      </c>
      <c r="BB97">
        <v>1.534368913619097</v>
      </c>
      <c r="BC97">
        <v>1.5284426785099621</v>
      </c>
      <c r="BD97">
        <v>1.554856378442794</v>
      </c>
      <c r="BE97">
        <v>1.5646497022530479</v>
      </c>
      <c r="BF97">
        <v>1.569942768067957</v>
      </c>
      <c r="BG97">
        <v>1.5680666969629571</v>
      </c>
      <c r="BH97">
        <v>1.560773428406095</v>
      </c>
      <c r="BI97">
        <v>1.5464974213831599</v>
      </c>
      <c r="BJ97">
        <v>1.547929202419555</v>
      </c>
      <c r="BK97">
        <v>1.541339007151761</v>
      </c>
      <c r="BL97">
        <v>1.5204430637052491</v>
      </c>
      <c r="BM97">
        <v>1.49980383153439</v>
      </c>
      <c r="BN97">
        <v>1.498217337238521</v>
      </c>
      <c r="BO97">
        <v>1.490380200409162</v>
      </c>
      <c r="BP97">
        <v>1.501019544300348</v>
      </c>
      <c r="BQ97">
        <v>1.5124020522547941</v>
      </c>
      <c r="BR97">
        <v>1.520105586785387</v>
      </c>
      <c r="BS97">
        <v>1.5001468128339259</v>
      </c>
      <c r="BT97">
        <v>1.5169315195915449</v>
      </c>
      <c r="BU97">
        <v>1.50033779345433</v>
      </c>
      <c r="BV97">
        <v>1.5158731999895789</v>
      </c>
      <c r="BW97">
        <v>1.51658808203222</v>
      </c>
      <c r="BX97">
        <v>1.5165482276038149</v>
      </c>
      <c r="BY97">
        <v>1.5143284603091101</v>
      </c>
      <c r="BZ97">
        <v>1.491020883323017</v>
      </c>
      <c r="CA97">
        <v>1.499552390575005</v>
      </c>
      <c r="CB97">
        <v>1.483037073713247</v>
      </c>
    </row>
    <row r="98" spans="1:80" x14ac:dyDescent="0.35">
      <c r="A98" t="s">
        <v>36</v>
      </c>
      <c r="B98">
        <v>0.239734331970509</v>
      </c>
      <c r="C98">
        <v>0.24457239243303991</v>
      </c>
      <c r="D98">
        <v>0.24367159914230779</v>
      </c>
      <c r="E98">
        <v>0.24542112398244839</v>
      </c>
      <c r="F98">
        <v>0.24572420849783561</v>
      </c>
      <c r="G98">
        <v>0.24642138464465169</v>
      </c>
      <c r="H98">
        <v>0.24743239082609891</v>
      </c>
      <c r="I98">
        <v>0.2494627889987576</v>
      </c>
      <c r="J98">
        <v>0.247221662184093</v>
      </c>
      <c r="K98">
        <v>0.2464829175797866</v>
      </c>
      <c r="L98">
        <v>0.24742621620239269</v>
      </c>
      <c r="M98">
        <v>0.24608503529536499</v>
      </c>
      <c r="N98">
        <v>0.2476143446827121</v>
      </c>
      <c r="O98">
        <v>0.2478700177150048</v>
      </c>
      <c r="P98">
        <v>0.24576456640827479</v>
      </c>
      <c r="Q98">
        <v>0.24525384712395981</v>
      </c>
      <c r="R98">
        <v>0.24560693413181089</v>
      </c>
      <c r="S98">
        <v>0.2446275885766537</v>
      </c>
      <c r="T98">
        <v>0.24255165529968389</v>
      </c>
      <c r="U98">
        <v>0.24192389187316279</v>
      </c>
      <c r="V98">
        <v>0.24139555837106111</v>
      </c>
      <c r="W98">
        <v>0.24259391363632629</v>
      </c>
      <c r="X98">
        <v>0.2429804458040313</v>
      </c>
      <c r="Y98">
        <v>0.24319925265949491</v>
      </c>
      <c r="Z98">
        <v>0.24633814600395759</v>
      </c>
      <c r="AA98">
        <v>0.2476952815840559</v>
      </c>
      <c r="AB98">
        <v>0.24758264371119121</v>
      </c>
      <c r="AC98">
        <v>0.24761662912397789</v>
      </c>
      <c r="AD98">
        <v>0.24772747514895349</v>
      </c>
      <c r="AE98">
        <v>0.24815679996035411</v>
      </c>
      <c r="AF98">
        <v>0.2479603286507911</v>
      </c>
      <c r="AG98">
        <v>0.24837797756141911</v>
      </c>
      <c r="AH98">
        <v>0.24768312777359591</v>
      </c>
      <c r="AI98">
        <v>0.24865201751838689</v>
      </c>
      <c r="AJ98">
        <v>0.2483976913130336</v>
      </c>
      <c r="AK98">
        <v>0.2469642716265372</v>
      </c>
      <c r="AL98">
        <v>0.2497395625938611</v>
      </c>
      <c r="AM98">
        <v>0.25026790820154088</v>
      </c>
      <c r="AN98">
        <v>0.25020895170248891</v>
      </c>
      <c r="AO98">
        <v>0.25126640776949388</v>
      </c>
      <c r="AP98">
        <v>0.25077529065443033</v>
      </c>
      <c r="AQ98">
        <v>0.24856949400923831</v>
      </c>
      <c r="AR98">
        <v>0.24706980392612191</v>
      </c>
      <c r="AS98">
        <v>0.24711110981238379</v>
      </c>
      <c r="AT98">
        <v>0.24684826878734689</v>
      </c>
      <c r="AU98">
        <v>0.24807723710365159</v>
      </c>
      <c r="AV98">
        <v>0.2451140556714948</v>
      </c>
      <c r="AW98">
        <v>0.24671152808829749</v>
      </c>
      <c r="AX98">
        <v>0.24961455491560361</v>
      </c>
      <c r="AY98">
        <v>0.2515246281365065</v>
      </c>
      <c r="AZ98">
        <v>0.24755255279014449</v>
      </c>
      <c r="BA98">
        <v>0.24635108879613049</v>
      </c>
      <c r="BB98">
        <v>0.24659129933724541</v>
      </c>
      <c r="BC98">
        <v>0.24478426728569819</v>
      </c>
      <c r="BD98">
        <v>0.24498101066933509</v>
      </c>
      <c r="BE98">
        <v>0.24832322092081521</v>
      </c>
      <c r="BF98">
        <v>0.24836565784931011</v>
      </c>
      <c r="BG98">
        <v>0.24788394027885041</v>
      </c>
      <c r="BH98">
        <v>0.24802418900581319</v>
      </c>
      <c r="BI98">
        <v>0.24816489901162581</v>
      </c>
      <c r="BJ98">
        <v>0.24979932126829951</v>
      </c>
      <c r="BK98">
        <v>0.24960659769798979</v>
      </c>
      <c r="BL98">
        <v>0.24923892481675791</v>
      </c>
      <c r="BM98">
        <v>0.24789121637693021</v>
      </c>
      <c r="BN98">
        <v>0.24845296431468539</v>
      </c>
      <c r="BO98">
        <v>0.24856242147765389</v>
      </c>
      <c r="BP98">
        <v>0.2484210603623952</v>
      </c>
      <c r="BQ98">
        <v>0.24904864411506139</v>
      </c>
      <c r="BR98">
        <v>0.24679946930192509</v>
      </c>
      <c r="BS98">
        <v>0.24536524603404519</v>
      </c>
      <c r="BT98">
        <v>0.2449316129951955</v>
      </c>
      <c r="BU98">
        <v>0.2444644595396461</v>
      </c>
      <c r="BV98">
        <v>0.2460987574705937</v>
      </c>
      <c r="BW98">
        <v>0.2459852807266622</v>
      </c>
      <c r="BX98">
        <v>0.24445138352454479</v>
      </c>
      <c r="BY98">
        <v>0.24386450030888471</v>
      </c>
      <c r="BZ98">
        <v>0.24259502972780289</v>
      </c>
      <c r="CA98">
        <v>0.2428518732232785</v>
      </c>
      <c r="CB98">
        <v>0.24153429870883961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 Tables (Q) rec2.1</vt:lpstr>
      <vt:lpstr>Data Tables (Q)</vt:lpstr>
      <vt:lpstr>Sheet1</vt:lpstr>
      <vt:lpstr>mmi</vt:lpstr>
      <vt:lpstr>Data Tables (M)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Ali</cp:lastModifiedBy>
  <dcterms:created xsi:type="dcterms:W3CDTF">2026-06-23T16:04:14Z</dcterms:created>
  <dcterms:modified xsi:type="dcterms:W3CDTF">2026-07-15T13:22:45Z</dcterms:modified>
</cp:coreProperties>
</file>