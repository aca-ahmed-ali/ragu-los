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all_lobs\output\"/>
    </mc:Choice>
  </mc:AlternateContent>
  <xr:revisionPtr revIDLastSave="0" documentId="13_ncr:1_{4574C01D-E0C5-44F5-AD42-DF057253145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KMX Pct" sheetId="1" r:id="rId1"/>
    <sheet name="KMX Avg Score" sheetId="2" r:id="rId2"/>
    <sheet name="NonKMX Pct" sheetId="3" r:id="rId3"/>
    <sheet name="NonKMX Avg Score" sheetId="4" r:id="rId4"/>
    <sheet name="Combined Pct" sheetId="5" r:id="rId5"/>
    <sheet name="Gen 4 Models" sheetId="6" r:id="rId6"/>
    <sheet name="LTV" sheetId="7" r:id="rId7"/>
    <sheet name="Depreciation Bucke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D27" i="8"/>
  <c r="D25" i="8"/>
  <c r="T64" i="6"/>
  <c r="R3" i="6"/>
  <c r="T3" i="6" s="1"/>
  <c r="R4" i="6"/>
  <c r="T4" i="6" s="1"/>
  <c r="R5" i="6"/>
  <c r="T5" i="6" s="1"/>
  <c r="R6" i="6"/>
  <c r="T6" i="6" s="1"/>
  <c r="R7" i="6"/>
  <c r="T7" i="6" s="1"/>
  <c r="R8" i="6"/>
  <c r="T8" i="6" s="1"/>
  <c r="R9" i="6"/>
  <c r="T9" i="6" s="1"/>
  <c r="R10" i="6"/>
  <c r="T10" i="6" s="1"/>
  <c r="R11" i="6"/>
  <c r="T11" i="6" s="1"/>
  <c r="R12" i="6"/>
  <c r="T12" i="6" s="1"/>
  <c r="R13" i="6"/>
  <c r="T13" i="6" s="1"/>
  <c r="R14" i="6"/>
  <c r="T14" i="6" s="1"/>
  <c r="R15" i="6"/>
  <c r="T15" i="6" s="1"/>
  <c r="R16" i="6"/>
  <c r="T16" i="6" s="1"/>
  <c r="R17" i="6"/>
  <c r="T17" i="6" s="1"/>
  <c r="R18" i="6"/>
  <c r="T18" i="6" s="1"/>
  <c r="R19" i="6"/>
  <c r="T19" i="6" s="1"/>
  <c r="R20" i="6"/>
  <c r="T20" i="6" s="1"/>
  <c r="R21" i="6"/>
  <c r="T21" i="6" s="1"/>
  <c r="R22" i="6"/>
  <c r="T22" i="6" s="1"/>
  <c r="R23" i="6"/>
  <c r="T23" i="6" s="1"/>
  <c r="R24" i="6"/>
  <c r="T24" i="6" s="1"/>
  <c r="R25" i="6"/>
  <c r="T25" i="6" s="1"/>
  <c r="R26" i="6"/>
  <c r="T26" i="6" s="1"/>
  <c r="R27" i="6"/>
  <c r="T27" i="6" s="1"/>
  <c r="R28" i="6"/>
  <c r="T28" i="6" s="1"/>
  <c r="R29" i="6"/>
  <c r="T29" i="6" s="1"/>
  <c r="R30" i="6"/>
  <c r="T30" i="6" s="1"/>
  <c r="R31" i="6"/>
  <c r="T31" i="6" s="1"/>
  <c r="R32" i="6"/>
  <c r="T32" i="6" s="1"/>
  <c r="R33" i="6"/>
  <c r="T33" i="6" s="1"/>
  <c r="R34" i="6"/>
  <c r="T34" i="6" s="1"/>
  <c r="R35" i="6"/>
  <c r="T35" i="6" s="1"/>
  <c r="R36" i="6"/>
  <c r="T36" i="6" s="1"/>
  <c r="R37" i="6"/>
  <c r="T37" i="6" s="1"/>
  <c r="R38" i="6"/>
  <c r="T38" i="6" s="1"/>
  <c r="R39" i="6"/>
  <c r="T39" i="6" s="1"/>
  <c r="R40" i="6"/>
  <c r="T40" i="6" s="1"/>
  <c r="R41" i="6"/>
  <c r="T41" i="6" s="1"/>
  <c r="R42" i="6"/>
  <c r="T42" i="6" s="1"/>
  <c r="R43" i="6"/>
  <c r="T43" i="6" s="1"/>
  <c r="R44" i="6"/>
  <c r="T44" i="6" s="1"/>
  <c r="R45" i="6"/>
  <c r="T45" i="6" s="1"/>
  <c r="R46" i="6"/>
  <c r="T46" i="6" s="1"/>
  <c r="R47" i="6"/>
  <c r="T47" i="6" s="1"/>
  <c r="R48" i="6"/>
  <c r="T48" i="6" s="1"/>
  <c r="R49" i="6"/>
  <c r="T49" i="6" s="1"/>
  <c r="R50" i="6"/>
  <c r="T50" i="6" s="1"/>
  <c r="R51" i="6"/>
  <c r="T51" i="6" s="1"/>
  <c r="R52" i="6"/>
  <c r="T52" i="6" s="1"/>
  <c r="R53" i="6"/>
  <c r="T53" i="6" s="1"/>
  <c r="R54" i="6"/>
  <c r="T54" i="6" s="1"/>
  <c r="R55" i="6"/>
  <c r="T55" i="6" s="1"/>
  <c r="R56" i="6"/>
  <c r="T56" i="6" s="1"/>
  <c r="R57" i="6"/>
  <c r="T57" i="6" s="1"/>
  <c r="R58" i="6"/>
  <c r="T58" i="6" s="1"/>
  <c r="R59" i="6"/>
  <c r="T59" i="6" s="1"/>
  <c r="R60" i="6"/>
  <c r="T60" i="6" s="1"/>
  <c r="R61" i="6"/>
  <c r="T61" i="6" s="1"/>
  <c r="R62" i="6"/>
  <c r="T62" i="6" s="1"/>
  <c r="R63" i="6"/>
  <c r="T63" i="6" s="1"/>
  <c r="R64" i="6"/>
  <c r="R65" i="6"/>
  <c r="T65" i="6" s="1"/>
  <c r="R66" i="6"/>
  <c r="T66" i="6" s="1"/>
  <c r="R67" i="6"/>
  <c r="T67" i="6" s="1"/>
  <c r="R68" i="6"/>
  <c r="T68" i="6" s="1"/>
  <c r="R69" i="6"/>
  <c r="T69" i="6" s="1"/>
  <c r="R70" i="6"/>
  <c r="T70" i="6" s="1"/>
  <c r="R71" i="6"/>
  <c r="T71" i="6" s="1"/>
  <c r="R72" i="6"/>
  <c r="T72" i="6" s="1"/>
  <c r="R73" i="6"/>
  <c r="T73" i="6" s="1"/>
  <c r="R74" i="6"/>
  <c r="T74" i="6" s="1"/>
  <c r="R75" i="6"/>
  <c r="T75" i="6" s="1"/>
  <c r="R76" i="6"/>
  <c r="T76" i="6" s="1"/>
  <c r="R77" i="6"/>
  <c r="T77" i="6" s="1"/>
  <c r="R78" i="6"/>
  <c r="T78" i="6" s="1"/>
  <c r="R79" i="6"/>
  <c r="T79" i="6" s="1"/>
  <c r="R80" i="6"/>
  <c r="T80" i="6" s="1"/>
  <c r="R81" i="6"/>
  <c r="T81" i="6" s="1"/>
  <c r="R2" i="6"/>
  <c r="T2" i="6" s="1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2" i="6"/>
</calcChain>
</file>

<file path=xl/sharedStrings.xml><?xml version="1.0" encoding="utf-8"?>
<sst xmlns="http://schemas.openxmlformats.org/spreadsheetml/2006/main" count="699" uniqueCount="139">
  <si>
    <t>month_str</t>
  </si>
  <si>
    <t>FRANCHISE 3.0</t>
  </si>
  <si>
    <t>MOUNTAIN 1.0</t>
  </si>
  <si>
    <t>MOUNTAIN 2.0</t>
  </si>
  <si>
    <t>MOUNTAIN 2.1</t>
  </si>
  <si>
    <t>MOUNTAIN 3.0</t>
  </si>
  <si>
    <t>MOUNTAIN 3.1</t>
  </si>
  <si>
    <t>Mountain 3.0</t>
  </si>
  <si>
    <t>Mountain 3.1</t>
  </si>
  <si>
    <t>Mountain 3.2</t>
  </si>
  <si>
    <t>Mountain 4.1</t>
  </si>
  <si>
    <t>Mountain 4.2</t>
  </si>
  <si>
    <t>total_loans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</si>
  <si>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</si>
  <si>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</si>
  <si>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</si>
  <si>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</si>
  <si>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</si>
  <si>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</si>
  <si>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</si>
  <si>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</si>
  <si>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</si>
  <si>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</si>
  <si>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</si>
  <si>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</si>
  <si>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</si>
  <si>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</si>
  <si>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</si>
  <si>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</si>
  <si>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</si>
  <si>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</si>
  <si>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</si>
  <si>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</si>
  <si>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</si>
  <si>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</si>
  <si>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</si>
  <si>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</si>
  <si>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</si>
  <si>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</si>
  <si>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</si>
  <si>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</si>
  <si>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</si>
  <si>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</si>
  <si>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</si>
  <si>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</si>
  <si>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</si>
  <si>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</si>
  <si>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</si>
  <si>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</si>
  <si>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</si>
  <si>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</si>
  <si>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</si>
  <si>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</si>
  <si>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</si>
  <si>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</si>
  <si>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</si>
  <si>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</si>
  <si>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</si>
  <si>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</si>
  <si>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</si>
  <si>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</si>
  <si>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</si>
  <si>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</si>
  <si>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</si>
  <si>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</si>
  <si>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</si>
  <si>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</si>
  <si>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</si>
  <si>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</si>
  <si>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</si>
  <si>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</si>
  <si>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</si>
  <si>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</si>
  <si>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</si>
  <si>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</si>
  <si>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</si>
  <si>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</si>
  <si>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</si>
  <si>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</si>
  <si>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</si>
  <si>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</si>
  <si>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</si>
  <si>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</si>
  <si>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</si>
  <si>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</si>
  <si>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</si>
  <si>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</si>
  <si>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</si>
  <si>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</si>
  <si>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</si>
  <si>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</si>
  <si>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</si>
  <si>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</si>
  <si>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All KMX</t>
  </si>
  <si>
    <t>FRANCHISE 3.1</t>
  </si>
  <si>
    <t>Franchise 3.1</t>
  </si>
  <si>
    <t>Franchise 4.0</t>
  </si>
  <si>
    <t>Franchise 4.1</t>
  </si>
  <si>
    <t>PANDA 1.0</t>
  </si>
  <si>
    <t>PANDA 2.0</t>
  </si>
  <si>
    <t>UNKNOWN 0.0</t>
  </si>
  <si>
    <t>All nonKMX</t>
  </si>
  <si>
    <t>Gen 4</t>
  </si>
  <si>
    <t>Gen 3</t>
  </si>
  <si>
    <t>combined</t>
  </si>
  <si>
    <t>2022Q1</t>
  </si>
  <si>
    <t>2026Q2</t>
  </si>
  <si>
    <t>Low Depr (&lt; 21.1%)</t>
  </si>
  <si>
    <t>Mid Depr (21.1% - 23.2%)</t>
  </si>
  <si>
    <t>High Depr (&gt; 23.2%)</t>
  </si>
  <si>
    <t>Low Depr (count)</t>
  </si>
  <si>
    <t>Low Depr (%)</t>
  </si>
  <si>
    <t>Mid Depr (count)</t>
  </si>
  <si>
    <t>Mid Depr (%)</t>
  </si>
  <si>
    <t>High Depr (count)</t>
  </si>
  <si>
    <t>High Depr (%)</t>
  </si>
  <si>
    <t>quarter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</si>
  <si>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</si>
  <si>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</si>
  <si>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</si>
  <si>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</si>
  <si>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</si>
  <si>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</si>
  <si>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</si>
  <si>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</si>
  <si>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</si>
  <si>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</si>
  <si>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</si>
  <si>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</si>
  <si>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</si>
  <si>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</si>
  <si>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</si>
  <si>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</si>
  <si>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Change</t>
  </si>
  <si>
    <t>2026Q3</t>
  </si>
  <si>
    <t>Blackbook LTV</t>
  </si>
  <si>
    <t>NADA LTV</t>
  </si>
  <si>
    <t>Weighted Blackbook LTV</t>
  </si>
  <si>
    <t>Weighted NADA 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</si>
</sst>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3" fontId="0" fillId="0" borderId="0" xfId="0" applyNumberFormat="1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 4 Models'!$R$1</c:f>
              <c:strCache>
                <c:ptCount val="1"/>
                <c:pt idx="0">
                  <c:v>Gen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'Gen 4 Models'!$Q$62:$Q$81</c:f>
              <c:strCache>
                <c:ptCount val="20"/>
                <c:pt idx="0">
                  <c:v>2025 M01</c:v>
                </c:pt>
                <c:pt idx="1">
                  <c:v>2025 M02</c:v>
                </c:pt>
                <c:pt idx="2">
                  <c:v>2025 M03</c:v>
                </c:pt>
                <c:pt idx="3">
                  <c:v>2025 M04</c:v>
                </c:pt>
                <c:pt idx="4">
                  <c:v>2025 M05</c:v>
                </c:pt>
                <c:pt idx="5">
                  <c:v>2025 M06</c:v>
                </c:pt>
                <c:pt idx="6">
                  <c:v>2025 M07</c:v>
                </c:pt>
                <c:pt idx="7">
                  <c:v>2025 M08</c:v>
                </c:pt>
                <c:pt idx="8">
                  <c:v>2025 M09</c:v>
                </c:pt>
                <c:pt idx="9">
                  <c:v>2025 M10</c:v>
                </c:pt>
                <c:pt idx="10">
                  <c:v>2025 M11</c:v>
                </c:pt>
                <c:pt idx="11">
                  <c:v>2025 M12</c:v>
                </c:pt>
                <c:pt idx="12">
                  <c:v>2026 M01</c:v>
                </c:pt>
                <c:pt idx="13">
                  <c:v>2026 M02</c:v>
                </c:pt>
                <c:pt idx="14">
                  <c:v>2026 M03</c:v>
                </c:pt>
                <c:pt idx="15">
                  <c:v>2026 M04</c:v>
                </c:pt>
                <c:pt idx="16">
                  <c:v>2026 M05</c:v>
                </c:pt>
                <c:pt idx="17">
                  <c:v>2026 M06</c:v>
                </c:pt>
                <c:pt idx="18">
                  <c:v>2026 M07</c:v>
                </c:pt>
                <c:pt idx="19">
                  <c:v>2026 M08</c:v>
                </c:pt>
              </c:strCache>
            </c:strRef>
          </c:cat>
          <c:val>
            <c:numRef>
              <c:f>'Gen 4 Models'!$R$62:$R$81</c:f>
              <c:numCache>
                <c:formatCode>General</c:formatCode>
                <c:ptCount val="20"/>
                <c:pt idx="0">
                  <c:v>0</c:v>
                </c:pt>
                <c:pt idx="1">
                  <c:v>0.8</c:v>
                </c:pt>
                <c:pt idx="2">
                  <c:v>2.8</c:v>
                </c:pt>
                <c:pt idx="3">
                  <c:v>3.6</c:v>
                </c:pt>
                <c:pt idx="4">
                  <c:v>5.8</c:v>
                </c:pt>
                <c:pt idx="5">
                  <c:v>12.4</c:v>
                </c:pt>
                <c:pt idx="6">
                  <c:v>12.6</c:v>
                </c:pt>
                <c:pt idx="7">
                  <c:v>15.4</c:v>
                </c:pt>
                <c:pt idx="8">
                  <c:v>21.4</c:v>
                </c:pt>
                <c:pt idx="9">
                  <c:v>23.3</c:v>
                </c:pt>
                <c:pt idx="10">
                  <c:v>23.3</c:v>
                </c:pt>
                <c:pt idx="11">
                  <c:v>46.3</c:v>
                </c:pt>
                <c:pt idx="12">
                  <c:v>48.7</c:v>
                </c:pt>
                <c:pt idx="13">
                  <c:v>47.800000000000004</c:v>
                </c:pt>
                <c:pt idx="14">
                  <c:v>50.2</c:v>
                </c:pt>
                <c:pt idx="15">
                  <c:v>55.7</c:v>
                </c:pt>
                <c:pt idx="16">
                  <c:v>57.3</c:v>
                </c:pt>
                <c:pt idx="17">
                  <c:v>59.8</c:v>
                </c:pt>
                <c:pt idx="18">
                  <c:v>59.7</c:v>
                </c:pt>
                <c:pt idx="1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8-4E21-91A1-343A199D4783}"/>
            </c:ext>
          </c:extLst>
        </c:ser>
        <c:ser>
          <c:idx val="1"/>
          <c:order val="1"/>
          <c:tx>
            <c:strRef>
              <c:f>'Gen 4 Models'!$S$1</c:f>
              <c:strCache>
                <c:ptCount val="1"/>
                <c:pt idx="0">
                  <c:v>Gen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'Gen 4 Models'!$Q$62:$Q$81</c:f>
              <c:strCache>
                <c:ptCount val="20"/>
                <c:pt idx="0">
                  <c:v>2025 M01</c:v>
                </c:pt>
                <c:pt idx="1">
                  <c:v>2025 M02</c:v>
                </c:pt>
                <c:pt idx="2">
                  <c:v>2025 M03</c:v>
                </c:pt>
                <c:pt idx="3">
                  <c:v>2025 M04</c:v>
                </c:pt>
                <c:pt idx="4">
                  <c:v>2025 M05</c:v>
                </c:pt>
                <c:pt idx="5">
                  <c:v>2025 M06</c:v>
                </c:pt>
                <c:pt idx="6">
                  <c:v>2025 M07</c:v>
                </c:pt>
                <c:pt idx="7">
                  <c:v>2025 M08</c:v>
                </c:pt>
                <c:pt idx="8">
                  <c:v>2025 M09</c:v>
                </c:pt>
                <c:pt idx="9">
                  <c:v>2025 M10</c:v>
                </c:pt>
                <c:pt idx="10">
                  <c:v>2025 M11</c:v>
                </c:pt>
                <c:pt idx="11">
                  <c:v>2025 M12</c:v>
                </c:pt>
                <c:pt idx="12">
                  <c:v>2026 M01</c:v>
                </c:pt>
                <c:pt idx="13">
                  <c:v>2026 M02</c:v>
                </c:pt>
                <c:pt idx="14">
                  <c:v>2026 M03</c:v>
                </c:pt>
                <c:pt idx="15">
                  <c:v>2026 M04</c:v>
                </c:pt>
                <c:pt idx="16">
                  <c:v>2026 M05</c:v>
                </c:pt>
                <c:pt idx="17">
                  <c:v>2026 M06</c:v>
                </c:pt>
                <c:pt idx="18">
                  <c:v>2026 M07</c:v>
                </c:pt>
                <c:pt idx="19">
                  <c:v>2026 M08</c:v>
                </c:pt>
              </c:strCache>
            </c:strRef>
          </c:cat>
          <c:val>
            <c:numRef>
              <c:f>'Gen 4 Models'!$S$62:$S$81</c:f>
              <c:numCache>
                <c:formatCode>General</c:formatCode>
                <c:ptCount val="20"/>
                <c:pt idx="0">
                  <c:v>99.9</c:v>
                </c:pt>
                <c:pt idx="1">
                  <c:v>99.3</c:v>
                </c:pt>
                <c:pt idx="2">
                  <c:v>97.2</c:v>
                </c:pt>
                <c:pt idx="3">
                  <c:v>96.399999999999991</c:v>
                </c:pt>
                <c:pt idx="4">
                  <c:v>94.2</c:v>
                </c:pt>
                <c:pt idx="5">
                  <c:v>87.6</c:v>
                </c:pt>
                <c:pt idx="6">
                  <c:v>87.4</c:v>
                </c:pt>
                <c:pt idx="7">
                  <c:v>84.5</c:v>
                </c:pt>
                <c:pt idx="8">
                  <c:v>78.599999999999994</c:v>
                </c:pt>
                <c:pt idx="9">
                  <c:v>76.7</c:v>
                </c:pt>
                <c:pt idx="10">
                  <c:v>76.599999999999994</c:v>
                </c:pt>
                <c:pt idx="11">
                  <c:v>53.599999999999994</c:v>
                </c:pt>
                <c:pt idx="12">
                  <c:v>51.199999999999996</c:v>
                </c:pt>
                <c:pt idx="13">
                  <c:v>52.2</c:v>
                </c:pt>
                <c:pt idx="14">
                  <c:v>49.8</c:v>
                </c:pt>
                <c:pt idx="15">
                  <c:v>44.400000000000006</c:v>
                </c:pt>
                <c:pt idx="16">
                  <c:v>42.6</c:v>
                </c:pt>
                <c:pt idx="17">
                  <c:v>40.300000000000004</c:v>
                </c:pt>
                <c:pt idx="18">
                  <c:v>40.299999999999997</c:v>
                </c:pt>
                <c:pt idx="19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8-4E21-91A1-343A199D4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458495"/>
        <c:axId val="1433275215"/>
      </c:lineChart>
      <c:catAx>
        <c:axId val="170245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75215"/>
        <c:crosses val="autoZero"/>
        <c:auto val="1"/>
        <c:lblAlgn val="ctr"/>
        <c:lblOffset val="100"/>
        <c:noMultiLvlLbl val="0"/>
      </c:catAx>
      <c:valAx>
        <c:axId val="143327521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5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50"/>
              <a:t>ACA</a:t>
            </a:r>
            <a:r>
              <a:rPr lang="en-US" sz="1350" baseline="0"/>
              <a:t> Adopted a market-accurate measure of Loan-to-Value</a:t>
            </a:r>
            <a:endParaRPr lang="en-US" sz="13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LTV!$B$2</c:f>
              <c:strCache>
                <c:ptCount val="1"/>
                <c:pt idx="0">
                  <c:v>Blackbook LTV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LTV!$A$3:$A$21</c:f>
              <c:strCache>
                <c:ptCount val="19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  <c:pt idx="10">
                  <c:v>2024Q3</c:v>
                </c:pt>
                <c:pt idx="11">
                  <c:v>2024Q4</c:v>
                </c:pt>
                <c:pt idx="12">
                  <c:v>2025Q1</c:v>
                </c:pt>
                <c:pt idx="13">
                  <c:v>2025Q2</c:v>
                </c:pt>
                <c:pt idx="14">
                  <c:v>2025Q3</c:v>
                </c:pt>
                <c:pt idx="15">
                  <c:v>2025Q4</c:v>
                </c:pt>
                <c:pt idx="16">
                  <c:v>2026Q1</c:v>
                </c:pt>
                <c:pt idx="17">
                  <c:v>2026Q2</c:v>
                </c:pt>
                <c:pt idx="18">
                  <c:v>2026Q3</c:v>
                </c:pt>
              </c:strCache>
            </c:strRef>
          </c:cat>
          <c:val>
            <c:numRef>
              <c:f>LTV!$B$3:$B$21</c:f>
              <c:numCache>
                <c:formatCode>0%</c:formatCode>
                <c:ptCount val="19"/>
                <c:pt idx="0">
                  <c:v>1.6716</c:v>
                </c:pt>
                <c:pt idx="1">
                  <c:v>1.6521999999999999</c:v>
                </c:pt>
                <c:pt idx="2">
                  <c:v>1.7023999999999999</c:v>
                </c:pt>
                <c:pt idx="3">
                  <c:v>1.7528999999999999</c:v>
                </c:pt>
                <c:pt idx="4">
                  <c:v>1.7853000000000001</c:v>
                </c:pt>
                <c:pt idx="5">
                  <c:v>1.6821999999999999</c:v>
                </c:pt>
                <c:pt idx="6">
                  <c:v>1.7103999999999999</c:v>
                </c:pt>
                <c:pt idx="7">
                  <c:v>1.7030000000000001</c:v>
                </c:pt>
                <c:pt idx="8">
                  <c:v>1.7585</c:v>
                </c:pt>
                <c:pt idx="9">
                  <c:v>1.6359999999999999</c:v>
                </c:pt>
                <c:pt idx="10">
                  <c:v>1.6712</c:v>
                </c:pt>
                <c:pt idx="11">
                  <c:v>1.6420999999999999</c:v>
                </c:pt>
                <c:pt idx="12">
                  <c:v>1.6040000000000001</c:v>
                </c:pt>
                <c:pt idx="13">
                  <c:v>1.5908</c:v>
                </c:pt>
                <c:pt idx="14">
                  <c:v>1.6086</c:v>
                </c:pt>
                <c:pt idx="15">
                  <c:v>1.5942000000000001</c:v>
                </c:pt>
                <c:pt idx="16">
                  <c:v>1.5817000000000001</c:v>
                </c:pt>
                <c:pt idx="17">
                  <c:v>1.5969</c:v>
                </c:pt>
                <c:pt idx="18">
                  <c:v>1.6184000000000001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3-497D-AB24-D93D0958D95F}"/>
            </c:ext>
          </c:extLst>
        </c:ser>
        <c:ser>
          <c:idx val="1"/>
          <c:order val="1"/>
          <c:tx>
            <c:strRef>
              <c:f>LTV!$C$2</c:f>
              <c:strCache>
                <c:ptCount val="1"/>
                <c:pt idx="0">
                  <c:v>NADA LTV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LTV!$A$3:$A$21</c:f>
              <c:strCache>
                <c:ptCount val="19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  <c:pt idx="10">
                  <c:v>2024Q3</c:v>
                </c:pt>
                <c:pt idx="11">
                  <c:v>2024Q4</c:v>
                </c:pt>
                <c:pt idx="12">
                  <c:v>2025Q1</c:v>
                </c:pt>
                <c:pt idx="13">
                  <c:v>2025Q2</c:v>
                </c:pt>
                <c:pt idx="14">
                  <c:v>2025Q3</c:v>
                </c:pt>
                <c:pt idx="15">
                  <c:v>2025Q4</c:v>
                </c:pt>
                <c:pt idx="16">
                  <c:v>2026Q1</c:v>
                </c:pt>
                <c:pt idx="17">
                  <c:v>2026Q2</c:v>
                </c:pt>
                <c:pt idx="18">
                  <c:v>2026Q3</c:v>
                </c:pt>
              </c:strCache>
            </c:strRef>
          </c:cat>
          <c:val>
            <c:numRef>
              <c:f>LTV!$C$3:$C$21</c:f>
              <c:numCache>
                <c:formatCode>0%</c:formatCode>
                <c:ptCount val="19"/>
                <c:pt idx="0">
                  <c:v>1.1860999999999999</c:v>
                </c:pt>
                <c:pt idx="1">
                  <c:v>1.1544000000000001</c:v>
                </c:pt>
                <c:pt idx="2">
                  <c:v>1.1615</c:v>
                </c:pt>
                <c:pt idx="3">
                  <c:v>1.1499999999999999</c:v>
                </c:pt>
                <c:pt idx="4">
                  <c:v>1.1032</c:v>
                </c:pt>
                <c:pt idx="5">
                  <c:v>1.1053999999999999</c:v>
                </c:pt>
                <c:pt idx="6">
                  <c:v>1.1657</c:v>
                </c:pt>
                <c:pt idx="7">
                  <c:v>1.2031000000000001</c:v>
                </c:pt>
                <c:pt idx="8">
                  <c:v>1.1754</c:v>
                </c:pt>
                <c:pt idx="9">
                  <c:v>1.2018</c:v>
                </c:pt>
                <c:pt idx="10">
                  <c:v>1.1956</c:v>
                </c:pt>
                <c:pt idx="11">
                  <c:v>1.2051000000000001</c:v>
                </c:pt>
                <c:pt idx="12">
                  <c:v>1.1808000000000001</c:v>
                </c:pt>
                <c:pt idx="13">
                  <c:v>1.1967000000000001</c:v>
                </c:pt>
                <c:pt idx="14">
                  <c:v>1.1938</c:v>
                </c:pt>
                <c:pt idx="15">
                  <c:v>1.1898</c:v>
                </c:pt>
                <c:pt idx="16">
                  <c:v>1.2029000000000001</c:v>
                </c:pt>
                <c:pt idx="17">
                  <c:v>1.2023999999999999</c:v>
                </c:pt>
                <c:pt idx="18">
                  <c:v>1.1967000000000001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03-497D-AB24-D93D0958D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131135"/>
        <c:axId val="1433175375"/>
      </c:lineChart>
      <c:catAx>
        <c:axId val="169913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75375"/>
        <c:crosses val="autoZero"/>
        <c:auto val="1"/>
        <c:lblAlgn val="ctr"/>
        <c:lblOffset val="100"/>
        <c:noMultiLvlLbl val="0"/>
      </c:catAx>
      <c:valAx>
        <c:axId val="1433175375"/>
        <c:scaling>
          <c:orientation val="minMax"/>
          <c:max val="1.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3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LTV!$D$2</c:f>
              <c:strCache>
                <c:ptCount val="1"/>
                <c:pt idx="0">
                  <c:v>Weighted Blackbook LTV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LTV!$A$3:$A$21</c:f>
              <c:strCache>
                <c:ptCount val="19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  <c:pt idx="10">
                  <c:v>2024Q3</c:v>
                </c:pt>
                <c:pt idx="11">
                  <c:v>2024Q4</c:v>
                </c:pt>
                <c:pt idx="12">
                  <c:v>2025Q1</c:v>
                </c:pt>
                <c:pt idx="13">
                  <c:v>2025Q2</c:v>
                </c:pt>
                <c:pt idx="14">
                  <c:v>2025Q3</c:v>
                </c:pt>
                <c:pt idx="15">
                  <c:v>2025Q4</c:v>
                </c:pt>
                <c:pt idx="16">
                  <c:v>2026Q1</c:v>
                </c:pt>
                <c:pt idx="17">
                  <c:v>2026Q2</c:v>
                </c:pt>
                <c:pt idx="18">
                  <c:v>2026Q3</c:v>
                </c:pt>
              </c:strCache>
            </c:strRef>
          </c:cat>
          <c:val>
            <c:numRef>
              <c:f>LTV!$D$3:$D$21</c:f>
              <c:numCache>
                <c:formatCode>0%</c:formatCode>
                <c:ptCount val="19"/>
                <c:pt idx="0">
                  <c:v>1.5556000000000001</c:v>
                </c:pt>
                <c:pt idx="1">
                  <c:v>1.534</c:v>
                </c:pt>
                <c:pt idx="2">
                  <c:v>1.5829</c:v>
                </c:pt>
                <c:pt idx="3">
                  <c:v>1.6474</c:v>
                </c:pt>
                <c:pt idx="4">
                  <c:v>1.6952</c:v>
                </c:pt>
                <c:pt idx="5">
                  <c:v>1.5789</c:v>
                </c:pt>
                <c:pt idx="6">
                  <c:v>1.5971</c:v>
                </c:pt>
                <c:pt idx="7">
                  <c:v>1.6042000000000001</c:v>
                </c:pt>
                <c:pt idx="8">
                  <c:v>1.6632</c:v>
                </c:pt>
                <c:pt idx="9">
                  <c:v>1.5330999999999999</c:v>
                </c:pt>
                <c:pt idx="10">
                  <c:v>1.5628</c:v>
                </c:pt>
                <c:pt idx="11">
                  <c:v>1.5448999999999999</c:v>
                </c:pt>
                <c:pt idx="12">
                  <c:v>1.5216000000000001</c:v>
                </c:pt>
                <c:pt idx="13">
                  <c:v>1.4937</c:v>
                </c:pt>
                <c:pt idx="14">
                  <c:v>1.5099</c:v>
                </c:pt>
                <c:pt idx="15">
                  <c:v>1.5115000000000001</c:v>
                </c:pt>
                <c:pt idx="16">
                  <c:v>1.5033000000000001</c:v>
                </c:pt>
                <c:pt idx="17">
                  <c:v>1.4974000000000001</c:v>
                </c:pt>
                <c:pt idx="18">
                  <c:v>1.5098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9-4B12-9A53-2A0C0364F397}"/>
            </c:ext>
          </c:extLst>
        </c:ser>
        <c:ser>
          <c:idx val="1"/>
          <c:order val="1"/>
          <c:tx>
            <c:strRef>
              <c:f>LTV!$E$2</c:f>
              <c:strCache>
                <c:ptCount val="1"/>
                <c:pt idx="0">
                  <c:v>Weighted NADA LTV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LTV!$A$3:$A$21</c:f>
              <c:strCache>
                <c:ptCount val="19"/>
                <c:pt idx="0">
                  <c:v>2022Q1</c:v>
                </c:pt>
                <c:pt idx="1">
                  <c:v>2022Q2</c:v>
                </c:pt>
                <c:pt idx="2">
                  <c:v>2022Q3</c:v>
                </c:pt>
                <c:pt idx="3">
                  <c:v>2022Q4</c:v>
                </c:pt>
                <c:pt idx="4">
                  <c:v>2023Q1</c:v>
                </c:pt>
                <c:pt idx="5">
                  <c:v>2023Q2</c:v>
                </c:pt>
                <c:pt idx="6">
                  <c:v>2023Q3</c:v>
                </c:pt>
                <c:pt idx="7">
                  <c:v>2023Q4</c:v>
                </c:pt>
                <c:pt idx="8">
                  <c:v>2024Q1</c:v>
                </c:pt>
                <c:pt idx="9">
                  <c:v>2024Q2</c:v>
                </c:pt>
                <c:pt idx="10">
                  <c:v>2024Q3</c:v>
                </c:pt>
                <c:pt idx="11">
                  <c:v>2024Q4</c:v>
                </c:pt>
                <c:pt idx="12">
                  <c:v>2025Q1</c:v>
                </c:pt>
                <c:pt idx="13">
                  <c:v>2025Q2</c:v>
                </c:pt>
                <c:pt idx="14">
                  <c:v>2025Q3</c:v>
                </c:pt>
                <c:pt idx="15">
                  <c:v>2025Q4</c:v>
                </c:pt>
                <c:pt idx="16">
                  <c:v>2026Q1</c:v>
                </c:pt>
                <c:pt idx="17">
                  <c:v>2026Q2</c:v>
                </c:pt>
                <c:pt idx="18">
                  <c:v>2026Q3</c:v>
                </c:pt>
              </c:strCache>
            </c:strRef>
          </c:cat>
          <c:val>
            <c:numRef>
              <c:f>LTV!$E$3:$E$21</c:f>
              <c:numCache>
                <c:formatCode>0%</c:formatCode>
                <c:ptCount val="19"/>
                <c:pt idx="0">
                  <c:v>1.1472</c:v>
                </c:pt>
                <c:pt idx="1">
                  <c:v>1.1222000000000001</c:v>
                </c:pt>
                <c:pt idx="2">
                  <c:v>1.127</c:v>
                </c:pt>
                <c:pt idx="3">
                  <c:v>1.1254</c:v>
                </c:pt>
                <c:pt idx="4">
                  <c:v>1.0933999999999999</c:v>
                </c:pt>
                <c:pt idx="5">
                  <c:v>1.0882000000000001</c:v>
                </c:pt>
                <c:pt idx="6">
                  <c:v>1.1332</c:v>
                </c:pt>
                <c:pt idx="7">
                  <c:v>1.165</c:v>
                </c:pt>
                <c:pt idx="8">
                  <c:v>1.1540999999999999</c:v>
                </c:pt>
                <c:pt idx="9">
                  <c:v>1.1729000000000001</c:v>
                </c:pt>
                <c:pt idx="10">
                  <c:v>1.1701999999999999</c:v>
                </c:pt>
                <c:pt idx="11">
                  <c:v>1.1854</c:v>
                </c:pt>
                <c:pt idx="12">
                  <c:v>1.1677</c:v>
                </c:pt>
                <c:pt idx="13">
                  <c:v>1.1788000000000001</c:v>
                </c:pt>
                <c:pt idx="14">
                  <c:v>1.1780999999999999</c:v>
                </c:pt>
                <c:pt idx="15">
                  <c:v>1.1801999999999999</c:v>
                </c:pt>
                <c:pt idx="16">
                  <c:v>1.194</c:v>
                </c:pt>
                <c:pt idx="17">
                  <c:v>1.1849000000000001</c:v>
                </c:pt>
                <c:pt idx="18">
                  <c:v>1.1791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9-4B12-9A53-2A0C0364F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454959"/>
        <c:axId val="552908079"/>
      </c:lineChart>
      <c:catAx>
        <c:axId val="199545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08079"/>
        <c:crosses val="autoZero"/>
        <c:auto val="1"/>
        <c:lblAlgn val="ctr"/>
        <c:lblOffset val="100"/>
        <c:noMultiLvlLbl val="0"/>
      </c:catAx>
      <c:valAx>
        <c:axId val="552908079"/>
        <c:scaling>
          <c:orientation val="minMax"/>
          <c:max val="1.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5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123036</xdr:colOff>
      <xdr:row>11</xdr:row>
      <xdr:rowOff>12668</xdr:rowOff>
    </xdr:from>
    <xdr:to>
      <xdr:col>32</xdr:col>
      <xdr:colOff>192701</xdr:colOff>
      <xdr:row>32</xdr:row>
      <xdr:rowOff>51514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225517-6389-E3F1-7F7A-54686015C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111511</xdr:colOff>
      <xdr:row>1</xdr:row>
      <xdr:rowOff>63886</xdr:rowOff>
    </xdr:from>
    <xdr:to>
      <xdr:col>15</xdr:col>
      <xdr:colOff>601264</xdr:colOff>
      <xdr:row>18</xdr:row>
      <xdr:rowOff>89295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0CACA-8A2B-5293-BF1B-6ECAE1CE2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68472</xdr:colOff>
      <xdr:row>19</xdr:row>
      <xdr:rowOff>152724</xdr:rowOff>
    </xdr:from>
    <xdr:to>
      <xdr:col>15</xdr:col>
      <xdr:colOff>494109</xdr:colOff>
      <xdr:row>37</xdr:row>
      <xdr:rowOff>109934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28294A-04A8-070F-E627-12358BCF8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573046</xdr:colOff>
      <xdr:row>1</xdr:row>
      <xdr:rowOff>134176</xdr:rowOff>
    </xdr:from>
    <xdr:to>
      <xdr:col>28</xdr:col>
      <xdr:colOff>63922</xdr:colOff>
      <xdr:row>34</xdr:row>
      <xdr:rowOff>131856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BE878-C2C5-388B-30E6-F2560905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9671" y="315151"/>
          <a:ext cx="12292476" cy="5969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0</v>
      </c>
      <c r="C2">
        <v>35</v>
      </c>
      <c r="D2">
        <v>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5661</v>
      </c>
    </row>
    <row r="3" spans="1:13" x14ac:dyDescent="0.35">
      <c r="A3" t="s">
        <v>14</v>
      </c>
      <c r="B3">
        <v>0</v>
      </c>
      <c r="C3">
        <v>0.2</v>
      </c>
      <c r="D3">
        <v>99.8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7079</v>
      </c>
    </row>
    <row r="4" spans="1:13" x14ac:dyDescent="0.35">
      <c r="A4" t="s">
        <v>15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9749</v>
      </c>
    </row>
    <row r="5" spans="1:13" x14ac:dyDescent="0.35">
      <c r="A5" t="s">
        <v>16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3633</v>
      </c>
    </row>
    <row r="6" spans="1:13" x14ac:dyDescent="0.35">
      <c r="A6" t="s">
        <v>17</v>
      </c>
      <c r="B6">
        <v>0</v>
      </c>
      <c r="C6">
        <v>0</v>
      </c>
      <c r="D6">
        <v>100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6444</v>
      </c>
    </row>
    <row r="7" spans="1:13" x14ac:dyDescent="0.35">
      <c r="A7" t="s">
        <v>18</v>
      </c>
      <c r="B7">
        <v>0</v>
      </c>
      <c r="C7">
        <v>0</v>
      </c>
      <c r="D7">
        <v>96.7</v>
      </c>
      <c r="E7">
        <v>3.3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7816</v>
      </c>
    </row>
    <row r="8" spans="1:13" x14ac:dyDescent="0.35">
      <c r="A8" t="s">
        <v>19</v>
      </c>
      <c r="B8">
        <v>0</v>
      </c>
      <c r="C8">
        <v>0</v>
      </c>
      <c r="D8">
        <v>90.3</v>
      </c>
      <c r="E8">
        <v>9.6999999999999993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8559</v>
      </c>
    </row>
    <row r="9" spans="1:13" x14ac:dyDescent="0.35">
      <c r="A9" t="s">
        <v>20</v>
      </c>
      <c r="B9">
        <v>0</v>
      </c>
      <c r="C9">
        <v>0</v>
      </c>
      <c r="D9">
        <v>79.5</v>
      </c>
      <c r="E9">
        <v>20.5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7406</v>
      </c>
    </row>
    <row r="10" spans="1:13" x14ac:dyDescent="0.35">
      <c r="A10" t="s">
        <v>21</v>
      </c>
      <c r="B10">
        <v>0</v>
      </c>
      <c r="C10">
        <v>0</v>
      </c>
      <c r="D10">
        <v>50.6</v>
      </c>
      <c r="E10">
        <v>49.4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6565</v>
      </c>
    </row>
    <row r="11" spans="1:13" x14ac:dyDescent="0.35">
      <c r="A11" t="s">
        <v>22</v>
      </c>
      <c r="B11">
        <v>0</v>
      </c>
      <c r="C11">
        <v>0</v>
      </c>
      <c r="D11">
        <v>49.3</v>
      </c>
      <c r="E11">
        <v>50.7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6005</v>
      </c>
    </row>
    <row r="12" spans="1:13" x14ac:dyDescent="0.35">
      <c r="A12" t="s">
        <v>23</v>
      </c>
      <c r="B12">
        <v>0</v>
      </c>
      <c r="C12">
        <v>0</v>
      </c>
      <c r="D12">
        <v>2</v>
      </c>
      <c r="E12">
        <v>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6222</v>
      </c>
    </row>
    <row r="13" spans="1:13" x14ac:dyDescent="0.35">
      <c r="A13" t="s">
        <v>24</v>
      </c>
      <c r="B13">
        <v>0</v>
      </c>
      <c r="C13">
        <v>0</v>
      </c>
      <c r="D13">
        <v>0.1</v>
      </c>
      <c r="E13">
        <v>99.9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5224</v>
      </c>
    </row>
    <row r="14" spans="1:13" x14ac:dyDescent="0.35">
      <c r="A14" t="s">
        <v>25</v>
      </c>
      <c r="B14">
        <v>0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6308</v>
      </c>
    </row>
    <row r="15" spans="1:13" x14ac:dyDescent="0.35">
      <c r="A15" t="s">
        <v>26</v>
      </c>
      <c r="B15">
        <v>0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6768</v>
      </c>
    </row>
    <row r="16" spans="1:13" x14ac:dyDescent="0.35">
      <c r="A16" t="s">
        <v>27</v>
      </c>
      <c r="B16">
        <v>0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12979</v>
      </c>
    </row>
    <row r="17" spans="1:13" x14ac:dyDescent="0.35">
      <c r="A17" t="s">
        <v>28</v>
      </c>
      <c r="B17">
        <v>0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8704</v>
      </c>
    </row>
    <row r="18" spans="1:13" x14ac:dyDescent="0.35">
      <c r="A18" t="s">
        <v>29</v>
      </c>
      <c r="B18">
        <v>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6056</v>
      </c>
    </row>
    <row r="19" spans="1:13" x14ac:dyDescent="0.35">
      <c r="A19" t="s">
        <v>30</v>
      </c>
      <c r="B19">
        <v>0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5736</v>
      </c>
    </row>
    <row r="20" spans="1:13" x14ac:dyDescent="0.35">
      <c r="A20" t="s">
        <v>31</v>
      </c>
      <c r="B20">
        <v>0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5973</v>
      </c>
    </row>
    <row r="21" spans="1:13" x14ac:dyDescent="0.35">
      <c r="A21" t="s">
        <v>32</v>
      </c>
      <c r="B21">
        <v>0</v>
      </c>
      <c r="C21">
        <v>0</v>
      </c>
      <c r="D21">
        <v>0</v>
      </c>
      <c r="E21">
        <v>94.4</v>
      </c>
      <c r="F21">
        <v>5.6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5681</v>
      </c>
    </row>
    <row r="22" spans="1:13" x14ac:dyDescent="0.35">
      <c r="A22" t="s">
        <v>33</v>
      </c>
      <c r="B22">
        <v>0</v>
      </c>
      <c r="C22">
        <v>0</v>
      </c>
      <c r="D22">
        <v>0</v>
      </c>
      <c r="E22">
        <v>90.3</v>
      </c>
      <c r="F22">
        <v>9.6999999999999993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5292</v>
      </c>
    </row>
    <row r="23" spans="1:13" x14ac:dyDescent="0.35">
      <c r="A23" t="s">
        <v>34</v>
      </c>
      <c r="B23">
        <v>0</v>
      </c>
      <c r="C23">
        <v>0</v>
      </c>
      <c r="D23">
        <v>0</v>
      </c>
      <c r="E23">
        <v>90.1</v>
      </c>
      <c r="F23">
        <v>9.9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4845</v>
      </c>
    </row>
    <row r="24" spans="1:13" x14ac:dyDescent="0.35">
      <c r="A24" t="s">
        <v>35</v>
      </c>
      <c r="B24">
        <v>0</v>
      </c>
      <c r="C24">
        <v>0</v>
      </c>
      <c r="D24">
        <v>0</v>
      </c>
      <c r="E24">
        <v>81.8</v>
      </c>
      <c r="F24">
        <v>18.2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4977</v>
      </c>
    </row>
    <row r="25" spans="1:13" x14ac:dyDescent="0.35">
      <c r="A25" t="s">
        <v>36</v>
      </c>
      <c r="B25">
        <v>0</v>
      </c>
      <c r="C25">
        <v>0</v>
      </c>
      <c r="D25">
        <v>0</v>
      </c>
      <c r="E25">
        <v>76.7</v>
      </c>
      <c r="F25">
        <v>23.3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3762</v>
      </c>
    </row>
    <row r="26" spans="1:13" x14ac:dyDescent="0.35">
      <c r="A26" t="s">
        <v>37</v>
      </c>
      <c r="B26">
        <v>0</v>
      </c>
      <c r="C26">
        <v>0</v>
      </c>
      <c r="D26">
        <v>0</v>
      </c>
      <c r="E26">
        <v>71.400000000000006</v>
      </c>
      <c r="F26">
        <v>28.6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3975</v>
      </c>
    </row>
    <row r="27" spans="1:13" x14ac:dyDescent="0.35">
      <c r="A27" t="s">
        <v>38</v>
      </c>
      <c r="B27">
        <v>0</v>
      </c>
      <c r="C27">
        <v>0</v>
      </c>
      <c r="D27">
        <v>0</v>
      </c>
      <c r="E27">
        <v>46.5</v>
      </c>
      <c r="F27">
        <v>53.5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5249</v>
      </c>
    </row>
    <row r="28" spans="1:13" x14ac:dyDescent="0.35">
      <c r="A28" t="s">
        <v>39</v>
      </c>
      <c r="B28">
        <v>0</v>
      </c>
      <c r="C28">
        <v>0</v>
      </c>
      <c r="D28">
        <v>0</v>
      </c>
      <c r="E28">
        <v>46.1</v>
      </c>
      <c r="F28">
        <v>53.9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6997</v>
      </c>
    </row>
    <row r="29" spans="1:13" x14ac:dyDescent="0.35">
      <c r="A29" t="s">
        <v>40</v>
      </c>
      <c r="B29">
        <v>0</v>
      </c>
      <c r="C29">
        <v>0</v>
      </c>
      <c r="D29">
        <v>0</v>
      </c>
      <c r="E29">
        <v>1.3</v>
      </c>
      <c r="F29">
        <v>98.7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4931</v>
      </c>
    </row>
    <row r="30" spans="1:13" x14ac:dyDescent="0.35">
      <c r="A30" t="s">
        <v>41</v>
      </c>
      <c r="B30">
        <v>0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5381</v>
      </c>
    </row>
    <row r="31" spans="1:13" x14ac:dyDescent="0.35">
      <c r="A31" t="s">
        <v>42</v>
      </c>
      <c r="B31">
        <v>0</v>
      </c>
      <c r="C31">
        <v>0</v>
      </c>
      <c r="D31">
        <v>0</v>
      </c>
      <c r="E31">
        <v>0</v>
      </c>
      <c r="F31">
        <v>100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4591</v>
      </c>
    </row>
    <row r="32" spans="1:13" x14ac:dyDescent="0.35">
      <c r="A32" t="s">
        <v>43</v>
      </c>
      <c r="B32">
        <v>0</v>
      </c>
      <c r="C32">
        <v>0</v>
      </c>
      <c r="D32">
        <v>0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4243</v>
      </c>
    </row>
    <row r="33" spans="1:13" x14ac:dyDescent="0.35">
      <c r="A33" t="s">
        <v>44</v>
      </c>
      <c r="B33">
        <v>0</v>
      </c>
      <c r="C33">
        <v>0</v>
      </c>
      <c r="D33">
        <v>0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4363</v>
      </c>
    </row>
    <row r="34" spans="1:13" x14ac:dyDescent="0.35">
      <c r="A34" t="s">
        <v>45</v>
      </c>
      <c r="B34">
        <v>0</v>
      </c>
      <c r="C34">
        <v>0</v>
      </c>
      <c r="D34">
        <v>0</v>
      </c>
      <c r="E34">
        <v>0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3898</v>
      </c>
    </row>
    <row r="35" spans="1:13" x14ac:dyDescent="0.35">
      <c r="A35" t="s">
        <v>46</v>
      </c>
      <c r="B35">
        <v>0</v>
      </c>
      <c r="C35">
        <v>0</v>
      </c>
      <c r="D35">
        <v>0</v>
      </c>
      <c r="E35">
        <v>0</v>
      </c>
      <c r="F35">
        <v>100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3460</v>
      </c>
    </row>
    <row r="36" spans="1:13" x14ac:dyDescent="0.35">
      <c r="A36" t="s">
        <v>47</v>
      </c>
      <c r="B36">
        <v>0</v>
      </c>
      <c r="C36">
        <v>0</v>
      </c>
      <c r="D36">
        <v>0</v>
      </c>
      <c r="E36">
        <v>0</v>
      </c>
      <c r="F36">
        <v>100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3384</v>
      </c>
    </row>
    <row r="37" spans="1:13" x14ac:dyDescent="0.35">
      <c r="A37" t="s">
        <v>48</v>
      </c>
      <c r="B37">
        <v>0</v>
      </c>
      <c r="C37">
        <v>0</v>
      </c>
      <c r="D37">
        <v>0</v>
      </c>
      <c r="E37">
        <v>0</v>
      </c>
      <c r="F37">
        <v>100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3149</v>
      </c>
    </row>
    <row r="38" spans="1:13" x14ac:dyDescent="0.35">
      <c r="A38" t="s">
        <v>49</v>
      </c>
      <c r="B38">
        <v>0</v>
      </c>
      <c r="C38">
        <v>0</v>
      </c>
      <c r="D38">
        <v>0</v>
      </c>
      <c r="E38">
        <v>0</v>
      </c>
      <c r="F38">
        <v>100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3383</v>
      </c>
    </row>
    <row r="39" spans="1:13" x14ac:dyDescent="0.35">
      <c r="A39" t="s">
        <v>50</v>
      </c>
      <c r="B39">
        <v>0</v>
      </c>
      <c r="C39">
        <v>0</v>
      </c>
      <c r="D39">
        <v>0</v>
      </c>
      <c r="E39">
        <v>0</v>
      </c>
      <c r="F39">
        <v>100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4651</v>
      </c>
    </row>
    <row r="40" spans="1:13" x14ac:dyDescent="0.35">
      <c r="A40" t="s">
        <v>51</v>
      </c>
      <c r="B40">
        <v>0</v>
      </c>
      <c r="C40">
        <v>0</v>
      </c>
      <c r="D40">
        <v>0</v>
      </c>
      <c r="E40">
        <v>0</v>
      </c>
      <c r="F40">
        <v>100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6341</v>
      </c>
    </row>
    <row r="41" spans="1:13" x14ac:dyDescent="0.35">
      <c r="A41" t="s">
        <v>52</v>
      </c>
      <c r="B41">
        <v>0</v>
      </c>
      <c r="C41">
        <v>0</v>
      </c>
      <c r="D41">
        <v>0</v>
      </c>
      <c r="E41">
        <v>0</v>
      </c>
      <c r="F41">
        <v>100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4113</v>
      </c>
    </row>
    <row r="42" spans="1:13" x14ac:dyDescent="0.35">
      <c r="A42" t="s">
        <v>53</v>
      </c>
      <c r="B42">
        <v>0</v>
      </c>
      <c r="C42">
        <v>0</v>
      </c>
      <c r="D42">
        <v>0</v>
      </c>
      <c r="E42">
        <v>0</v>
      </c>
      <c r="F42">
        <v>100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4565</v>
      </c>
    </row>
    <row r="43" spans="1:13" x14ac:dyDescent="0.35">
      <c r="A43" t="s">
        <v>54</v>
      </c>
      <c r="B43">
        <v>0</v>
      </c>
      <c r="C43">
        <v>0</v>
      </c>
      <c r="D43">
        <v>0</v>
      </c>
      <c r="E43">
        <v>0</v>
      </c>
      <c r="F43">
        <v>100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4039</v>
      </c>
    </row>
    <row r="44" spans="1:13" x14ac:dyDescent="0.35">
      <c r="A44" t="s">
        <v>55</v>
      </c>
      <c r="B44">
        <v>0</v>
      </c>
      <c r="C44">
        <v>0</v>
      </c>
      <c r="D44">
        <v>0</v>
      </c>
      <c r="E44">
        <v>0</v>
      </c>
      <c r="F44">
        <v>100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4039</v>
      </c>
    </row>
    <row r="45" spans="1:13" x14ac:dyDescent="0.35">
      <c r="A45" t="s">
        <v>56</v>
      </c>
      <c r="B45">
        <v>0</v>
      </c>
      <c r="C45">
        <v>0</v>
      </c>
      <c r="D45">
        <v>0</v>
      </c>
      <c r="E45">
        <v>0</v>
      </c>
      <c r="F45">
        <v>100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4546</v>
      </c>
    </row>
    <row r="46" spans="1:13" x14ac:dyDescent="0.35">
      <c r="A46" t="s">
        <v>57</v>
      </c>
      <c r="B46">
        <v>0</v>
      </c>
      <c r="C46">
        <v>0</v>
      </c>
      <c r="D46">
        <v>0</v>
      </c>
      <c r="E46">
        <v>0</v>
      </c>
      <c r="F46">
        <v>100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4327</v>
      </c>
    </row>
    <row r="47" spans="1:13" x14ac:dyDescent="0.35">
      <c r="A47" t="s">
        <v>58</v>
      </c>
      <c r="B47">
        <v>0</v>
      </c>
      <c r="C47">
        <v>0</v>
      </c>
      <c r="D47">
        <v>0</v>
      </c>
      <c r="E47">
        <v>0</v>
      </c>
      <c r="F47">
        <v>100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4222</v>
      </c>
    </row>
    <row r="48" spans="1:13" x14ac:dyDescent="0.35">
      <c r="A48" t="s">
        <v>59</v>
      </c>
      <c r="B48">
        <v>0</v>
      </c>
      <c r="C48">
        <v>0</v>
      </c>
      <c r="D48">
        <v>0</v>
      </c>
      <c r="E48">
        <v>0</v>
      </c>
      <c r="F48">
        <v>100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3444</v>
      </c>
    </row>
    <row r="49" spans="1:13" x14ac:dyDescent="0.35">
      <c r="A49" t="s">
        <v>60</v>
      </c>
      <c r="B49">
        <v>0</v>
      </c>
      <c r="C49">
        <v>0</v>
      </c>
      <c r="D49">
        <v>0</v>
      </c>
      <c r="E49">
        <v>0</v>
      </c>
      <c r="F49">
        <v>100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2883</v>
      </c>
    </row>
    <row r="50" spans="1:13" x14ac:dyDescent="0.35">
      <c r="A50" t="s">
        <v>61</v>
      </c>
      <c r="B50">
        <v>0</v>
      </c>
      <c r="C50">
        <v>0</v>
      </c>
      <c r="D50">
        <v>0</v>
      </c>
      <c r="E50">
        <v>0</v>
      </c>
      <c r="F50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3725</v>
      </c>
    </row>
    <row r="51" spans="1:13" x14ac:dyDescent="0.35">
      <c r="A51" t="s">
        <v>62</v>
      </c>
      <c r="B51">
        <v>0</v>
      </c>
      <c r="C51">
        <v>0</v>
      </c>
      <c r="D51">
        <v>0</v>
      </c>
      <c r="E51">
        <v>0</v>
      </c>
      <c r="F51">
        <v>100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6929</v>
      </c>
    </row>
    <row r="52" spans="1:13" x14ac:dyDescent="0.35">
      <c r="A52" t="s">
        <v>63</v>
      </c>
      <c r="B52">
        <v>0</v>
      </c>
      <c r="C52">
        <v>0</v>
      </c>
      <c r="D52">
        <v>0</v>
      </c>
      <c r="E52">
        <v>0</v>
      </c>
      <c r="F52">
        <v>100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7496</v>
      </c>
    </row>
    <row r="53" spans="1:13" x14ac:dyDescent="0.35">
      <c r="A53" t="s">
        <v>64</v>
      </c>
      <c r="B53">
        <v>0</v>
      </c>
      <c r="C53">
        <v>0</v>
      </c>
      <c r="D53">
        <v>0</v>
      </c>
      <c r="E53">
        <v>0</v>
      </c>
      <c r="F53">
        <v>100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4783</v>
      </c>
    </row>
    <row r="54" spans="1:13" x14ac:dyDescent="0.35">
      <c r="A54" t="s">
        <v>65</v>
      </c>
      <c r="B54">
        <v>0</v>
      </c>
      <c r="C54">
        <v>0</v>
      </c>
      <c r="D54">
        <v>0</v>
      </c>
      <c r="E54">
        <v>0</v>
      </c>
      <c r="F54">
        <v>100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4675</v>
      </c>
    </row>
    <row r="55" spans="1:13" x14ac:dyDescent="0.35">
      <c r="A55" t="s">
        <v>66</v>
      </c>
      <c r="B55">
        <v>0</v>
      </c>
      <c r="C55">
        <v>0</v>
      </c>
      <c r="D55">
        <v>0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4394</v>
      </c>
    </row>
    <row r="56" spans="1:13" x14ac:dyDescent="0.35">
      <c r="A56" t="s">
        <v>67</v>
      </c>
      <c r="B56">
        <v>0</v>
      </c>
      <c r="C56">
        <v>0</v>
      </c>
      <c r="D56">
        <v>0</v>
      </c>
      <c r="E56">
        <v>0</v>
      </c>
      <c r="F56">
        <v>100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4649</v>
      </c>
    </row>
    <row r="57" spans="1:13" x14ac:dyDescent="0.35">
      <c r="A57" t="s">
        <v>68</v>
      </c>
      <c r="B57">
        <v>0</v>
      </c>
      <c r="C57">
        <v>0</v>
      </c>
      <c r="D57">
        <v>0</v>
      </c>
      <c r="E57">
        <v>0</v>
      </c>
      <c r="F57">
        <v>100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4519</v>
      </c>
    </row>
    <row r="58" spans="1:13" x14ac:dyDescent="0.35">
      <c r="A58" t="s">
        <v>69</v>
      </c>
      <c r="B58">
        <v>0</v>
      </c>
      <c r="C58">
        <v>0</v>
      </c>
      <c r="D58">
        <v>0</v>
      </c>
      <c r="E58">
        <v>0</v>
      </c>
      <c r="F58">
        <v>100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3852</v>
      </c>
    </row>
    <row r="59" spans="1:13" x14ac:dyDescent="0.35">
      <c r="A59" t="s">
        <v>70</v>
      </c>
      <c r="B59">
        <v>0</v>
      </c>
      <c r="C59">
        <v>0</v>
      </c>
      <c r="D59">
        <v>0</v>
      </c>
      <c r="E59">
        <v>0</v>
      </c>
      <c r="F59">
        <v>94.7</v>
      </c>
      <c r="G59">
        <v>5.3</v>
      </c>
      <c r="H59">
        <v>0</v>
      </c>
      <c r="I59">
        <v>0</v>
      </c>
      <c r="J59">
        <v>0</v>
      </c>
      <c r="K59">
        <v>0</v>
      </c>
      <c r="L59">
        <v>0</v>
      </c>
      <c r="M59">
        <v>3899</v>
      </c>
    </row>
    <row r="60" spans="1:13" x14ac:dyDescent="0.35">
      <c r="A60" t="s">
        <v>71</v>
      </c>
      <c r="B60">
        <v>0</v>
      </c>
      <c r="C60">
        <v>0</v>
      </c>
      <c r="D60">
        <v>0</v>
      </c>
      <c r="E60">
        <v>0</v>
      </c>
      <c r="F60">
        <v>70.3</v>
      </c>
      <c r="G60">
        <v>29.7</v>
      </c>
      <c r="H60">
        <v>0</v>
      </c>
      <c r="I60">
        <v>0</v>
      </c>
      <c r="J60">
        <v>0</v>
      </c>
      <c r="K60">
        <v>0</v>
      </c>
      <c r="L60">
        <v>0</v>
      </c>
      <c r="M60">
        <v>4187</v>
      </c>
    </row>
    <row r="61" spans="1:13" x14ac:dyDescent="0.35">
      <c r="A61" t="s">
        <v>72</v>
      </c>
      <c r="B61">
        <v>0</v>
      </c>
      <c r="C61">
        <v>0</v>
      </c>
      <c r="D61">
        <v>0</v>
      </c>
      <c r="E61">
        <v>0</v>
      </c>
      <c r="F61">
        <v>21.9</v>
      </c>
      <c r="G61">
        <v>12.5</v>
      </c>
      <c r="H61">
        <v>34.4</v>
      </c>
      <c r="I61">
        <v>31.1</v>
      </c>
      <c r="J61">
        <v>0</v>
      </c>
      <c r="K61">
        <v>0</v>
      </c>
      <c r="L61">
        <v>0</v>
      </c>
      <c r="M61">
        <v>4061</v>
      </c>
    </row>
    <row r="62" spans="1:13" x14ac:dyDescent="0.35">
      <c r="A62" t="s">
        <v>73</v>
      </c>
      <c r="B62">
        <v>0</v>
      </c>
      <c r="C62">
        <v>0</v>
      </c>
      <c r="D62">
        <v>0</v>
      </c>
      <c r="E62">
        <v>0</v>
      </c>
      <c r="F62">
        <v>0.1</v>
      </c>
      <c r="G62">
        <v>0</v>
      </c>
      <c r="H62">
        <v>42.8</v>
      </c>
      <c r="I62">
        <v>57</v>
      </c>
      <c r="J62">
        <v>0</v>
      </c>
      <c r="K62">
        <v>0</v>
      </c>
      <c r="L62">
        <v>0</v>
      </c>
      <c r="M62">
        <v>4015</v>
      </c>
    </row>
    <row r="63" spans="1:13" x14ac:dyDescent="0.35">
      <c r="A63" t="s">
        <v>74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47.6</v>
      </c>
      <c r="I63">
        <v>52.4</v>
      </c>
      <c r="J63">
        <v>0</v>
      </c>
      <c r="K63">
        <v>0</v>
      </c>
      <c r="L63">
        <v>0</v>
      </c>
      <c r="M63">
        <v>5968</v>
      </c>
    </row>
    <row r="64" spans="1:13" x14ac:dyDescent="0.35">
      <c r="A64" t="s">
        <v>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48.6</v>
      </c>
      <c r="I64">
        <v>51.4</v>
      </c>
      <c r="J64">
        <v>0</v>
      </c>
      <c r="K64">
        <v>0</v>
      </c>
      <c r="L64">
        <v>0</v>
      </c>
      <c r="M64">
        <v>8645</v>
      </c>
    </row>
    <row r="65" spans="1:13" x14ac:dyDescent="0.35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47.8</v>
      </c>
      <c r="I65">
        <v>52.2</v>
      </c>
      <c r="J65">
        <v>0</v>
      </c>
      <c r="K65">
        <v>0</v>
      </c>
      <c r="L65">
        <v>0</v>
      </c>
      <c r="M65">
        <v>5463</v>
      </c>
    </row>
    <row r="66" spans="1:13" x14ac:dyDescent="0.35">
      <c r="A66" t="s">
        <v>77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47.9</v>
      </c>
      <c r="I66">
        <v>52.1</v>
      </c>
      <c r="J66">
        <v>0</v>
      </c>
      <c r="K66">
        <v>0</v>
      </c>
      <c r="L66">
        <v>0</v>
      </c>
      <c r="M66">
        <v>5194</v>
      </c>
    </row>
    <row r="67" spans="1:13" x14ac:dyDescent="0.35">
      <c r="A67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47.7</v>
      </c>
      <c r="I67">
        <v>52.3</v>
      </c>
      <c r="J67">
        <v>0</v>
      </c>
      <c r="K67">
        <v>0</v>
      </c>
      <c r="L67">
        <v>0</v>
      </c>
      <c r="M67">
        <v>4840</v>
      </c>
    </row>
    <row r="68" spans="1:13" x14ac:dyDescent="0.35">
      <c r="A68" t="s">
        <v>79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48.4</v>
      </c>
      <c r="I68">
        <v>51.6</v>
      </c>
      <c r="J68">
        <v>0</v>
      </c>
      <c r="K68">
        <v>0</v>
      </c>
      <c r="L68">
        <v>0</v>
      </c>
      <c r="M68">
        <v>4800</v>
      </c>
    </row>
    <row r="69" spans="1:13" x14ac:dyDescent="0.35">
      <c r="A69" t="s">
        <v>80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48.2</v>
      </c>
      <c r="I69">
        <v>51.8</v>
      </c>
      <c r="J69">
        <v>0</v>
      </c>
      <c r="K69">
        <v>0</v>
      </c>
      <c r="L69">
        <v>0</v>
      </c>
      <c r="M69">
        <v>5063</v>
      </c>
    </row>
    <row r="70" spans="1:13" x14ac:dyDescent="0.35">
      <c r="A70" t="s">
        <v>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44.8</v>
      </c>
      <c r="I70">
        <v>55.2</v>
      </c>
      <c r="J70">
        <v>0</v>
      </c>
      <c r="K70">
        <v>0</v>
      </c>
      <c r="L70">
        <v>0</v>
      </c>
      <c r="M70">
        <v>5480</v>
      </c>
    </row>
    <row r="71" spans="1:13" x14ac:dyDescent="0.35">
      <c r="A7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48.5</v>
      </c>
      <c r="I71">
        <v>51.5</v>
      </c>
      <c r="J71">
        <v>0</v>
      </c>
      <c r="K71">
        <v>0</v>
      </c>
      <c r="L71">
        <v>0</v>
      </c>
      <c r="M71">
        <v>4847</v>
      </c>
    </row>
    <row r="72" spans="1:13" x14ac:dyDescent="0.35">
      <c r="A72" t="s">
        <v>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48.6</v>
      </c>
      <c r="I72">
        <v>51.4</v>
      </c>
      <c r="J72">
        <v>0</v>
      </c>
      <c r="K72">
        <v>0</v>
      </c>
      <c r="L72">
        <v>0</v>
      </c>
      <c r="M72">
        <v>4193</v>
      </c>
    </row>
    <row r="73" spans="1:13" x14ac:dyDescent="0.35">
      <c r="A73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8.8000000000000007</v>
      </c>
      <c r="I73">
        <v>86.4</v>
      </c>
      <c r="J73">
        <v>0</v>
      </c>
      <c r="K73">
        <v>4.8</v>
      </c>
      <c r="L73">
        <v>0</v>
      </c>
      <c r="M73">
        <v>4551</v>
      </c>
    </row>
    <row r="74" spans="1:13" x14ac:dyDescent="0.35">
      <c r="A74" t="s">
        <v>85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86.9</v>
      </c>
      <c r="J74">
        <v>0.7</v>
      </c>
      <c r="K74">
        <v>12.4</v>
      </c>
      <c r="L74">
        <v>0</v>
      </c>
      <c r="M74">
        <v>5299</v>
      </c>
    </row>
    <row r="75" spans="1:13" x14ac:dyDescent="0.35">
      <c r="A75" t="s">
        <v>86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61.2</v>
      </c>
      <c r="J75">
        <v>28.3</v>
      </c>
      <c r="K75">
        <v>10.5</v>
      </c>
      <c r="L75">
        <v>0</v>
      </c>
      <c r="M75">
        <v>6960</v>
      </c>
    </row>
    <row r="76" spans="1:13" x14ac:dyDescent="0.35">
      <c r="A76" t="s">
        <v>87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38.700000000000003</v>
      </c>
      <c r="J76">
        <v>51</v>
      </c>
      <c r="K76">
        <v>10.3</v>
      </c>
      <c r="L76">
        <v>0</v>
      </c>
      <c r="M76">
        <v>10618</v>
      </c>
    </row>
    <row r="77" spans="1:13" x14ac:dyDescent="0.35">
      <c r="A77" t="s">
        <v>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11.8</v>
      </c>
      <c r="J77">
        <v>77.2</v>
      </c>
      <c r="K77">
        <v>11.1</v>
      </c>
      <c r="L77">
        <v>0</v>
      </c>
      <c r="M77">
        <v>6044</v>
      </c>
    </row>
    <row r="78" spans="1:13" x14ac:dyDescent="0.35">
      <c r="A78" t="s">
        <v>89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83.8</v>
      </c>
      <c r="K78">
        <v>16.2</v>
      </c>
      <c r="L78">
        <v>0</v>
      </c>
      <c r="M78">
        <v>5919</v>
      </c>
    </row>
    <row r="79" spans="1:13" x14ac:dyDescent="0.35">
      <c r="A79" t="s">
        <v>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77.900000000000006</v>
      </c>
      <c r="K79">
        <v>22.1</v>
      </c>
      <c r="L79">
        <v>0</v>
      </c>
      <c r="M79">
        <v>6372</v>
      </c>
    </row>
    <row r="80" spans="1:13" x14ac:dyDescent="0.35">
      <c r="A80" t="s">
        <v>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78.099999999999994</v>
      </c>
      <c r="K80">
        <v>21.9</v>
      </c>
      <c r="L80">
        <v>0</v>
      </c>
      <c r="M80">
        <v>6198</v>
      </c>
    </row>
    <row r="81" spans="1:13" x14ac:dyDescent="0.35">
      <c r="A81" t="s">
        <v>92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78.400000000000006</v>
      </c>
      <c r="K81">
        <v>21.4</v>
      </c>
      <c r="L81">
        <v>0.2</v>
      </c>
      <c r="M81">
        <v>2577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93</v>
      </c>
    </row>
    <row r="2" spans="1:13" x14ac:dyDescent="0.35">
      <c r="A2" t="s">
        <v>13</v>
      </c>
      <c r="C2">
        <v>135.19999999999999</v>
      </c>
      <c r="D2">
        <v>136.6</v>
      </c>
      <c r="M2">
        <v>136.1</v>
      </c>
    </row>
    <row r="3" spans="1:13" x14ac:dyDescent="0.35">
      <c r="A3" t="s">
        <v>14</v>
      </c>
      <c r="C3">
        <v>137.1</v>
      </c>
      <c r="D3">
        <v>136.1</v>
      </c>
      <c r="M3">
        <v>136.1</v>
      </c>
    </row>
    <row r="4" spans="1:13" x14ac:dyDescent="0.35">
      <c r="A4" t="s">
        <v>15</v>
      </c>
      <c r="D4">
        <v>135.6</v>
      </c>
      <c r="M4">
        <v>135.6</v>
      </c>
    </row>
    <row r="5" spans="1:13" x14ac:dyDescent="0.35">
      <c r="A5" t="s">
        <v>16</v>
      </c>
      <c r="D5">
        <v>136.5</v>
      </c>
      <c r="M5">
        <v>136.5</v>
      </c>
    </row>
    <row r="6" spans="1:13" x14ac:dyDescent="0.35">
      <c r="A6" t="s">
        <v>17</v>
      </c>
      <c r="D6">
        <v>138.4</v>
      </c>
      <c r="M6">
        <v>138.4</v>
      </c>
    </row>
    <row r="7" spans="1:13" x14ac:dyDescent="0.35">
      <c r="A7" t="s">
        <v>18</v>
      </c>
      <c r="D7">
        <v>139.19999999999999</v>
      </c>
      <c r="E7">
        <v>139.9</v>
      </c>
      <c r="M7">
        <v>139.19999999999999</v>
      </c>
    </row>
    <row r="8" spans="1:13" x14ac:dyDescent="0.35">
      <c r="A8" t="s">
        <v>19</v>
      </c>
      <c r="D8">
        <v>139.4</v>
      </c>
      <c r="E8">
        <v>138.5</v>
      </c>
      <c r="M8">
        <v>139.30000000000001</v>
      </c>
    </row>
    <row r="9" spans="1:13" x14ac:dyDescent="0.35">
      <c r="A9" t="s">
        <v>20</v>
      </c>
      <c r="D9">
        <v>138.80000000000001</v>
      </c>
      <c r="E9">
        <v>138</v>
      </c>
      <c r="M9">
        <v>138.6</v>
      </c>
    </row>
    <row r="10" spans="1:13" x14ac:dyDescent="0.35">
      <c r="A10" t="s">
        <v>21</v>
      </c>
      <c r="D10">
        <v>138.30000000000001</v>
      </c>
      <c r="E10">
        <v>138.30000000000001</v>
      </c>
      <c r="M10">
        <v>138.30000000000001</v>
      </c>
    </row>
    <row r="11" spans="1:13" x14ac:dyDescent="0.35">
      <c r="A11" t="s">
        <v>22</v>
      </c>
      <c r="D11">
        <v>137.69999999999999</v>
      </c>
      <c r="E11">
        <v>137.1</v>
      </c>
      <c r="M11">
        <v>137.4</v>
      </c>
    </row>
    <row r="12" spans="1:13" x14ac:dyDescent="0.35">
      <c r="A12" t="s">
        <v>23</v>
      </c>
      <c r="D12">
        <v>137.9</v>
      </c>
      <c r="E12">
        <v>136.5</v>
      </c>
      <c r="M12">
        <v>136.5</v>
      </c>
    </row>
    <row r="13" spans="1:13" x14ac:dyDescent="0.35">
      <c r="A13" t="s">
        <v>24</v>
      </c>
      <c r="D13">
        <v>148.5</v>
      </c>
      <c r="E13">
        <v>136.9</v>
      </c>
      <c r="M13">
        <v>136.9</v>
      </c>
    </row>
    <row r="14" spans="1:13" x14ac:dyDescent="0.35">
      <c r="A14" t="s">
        <v>25</v>
      </c>
      <c r="E14">
        <v>136.30000000000001</v>
      </c>
      <c r="M14">
        <v>136.30000000000001</v>
      </c>
    </row>
    <row r="15" spans="1:13" x14ac:dyDescent="0.35">
      <c r="A15" t="s">
        <v>26</v>
      </c>
      <c r="E15">
        <v>135.30000000000001</v>
      </c>
      <c r="M15">
        <v>135.30000000000001</v>
      </c>
    </row>
    <row r="16" spans="1:13" x14ac:dyDescent="0.35">
      <c r="A16" t="s">
        <v>27</v>
      </c>
      <c r="E16">
        <v>135.19999999999999</v>
      </c>
      <c r="M16">
        <v>135.19999999999999</v>
      </c>
    </row>
    <row r="17" spans="1:13" x14ac:dyDescent="0.35">
      <c r="A17" t="s">
        <v>28</v>
      </c>
      <c r="E17">
        <v>135.80000000000001</v>
      </c>
      <c r="M17">
        <v>135.80000000000001</v>
      </c>
    </row>
    <row r="18" spans="1:13" x14ac:dyDescent="0.35">
      <c r="A18" t="s">
        <v>29</v>
      </c>
      <c r="E18">
        <v>135.80000000000001</v>
      </c>
      <c r="M18">
        <v>135.80000000000001</v>
      </c>
    </row>
    <row r="19" spans="1:13" x14ac:dyDescent="0.35">
      <c r="A19" t="s">
        <v>30</v>
      </c>
      <c r="E19">
        <v>135.5</v>
      </c>
      <c r="M19">
        <v>135.5</v>
      </c>
    </row>
    <row r="20" spans="1:13" x14ac:dyDescent="0.35">
      <c r="A20" t="s">
        <v>31</v>
      </c>
      <c r="E20">
        <v>133.80000000000001</v>
      </c>
      <c r="M20">
        <v>133.80000000000001</v>
      </c>
    </row>
    <row r="21" spans="1:13" x14ac:dyDescent="0.35">
      <c r="A21" t="s">
        <v>32</v>
      </c>
      <c r="E21">
        <v>136.4</v>
      </c>
      <c r="F21">
        <v>129.80000000000001</v>
      </c>
      <c r="M21">
        <v>136</v>
      </c>
    </row>
    <row r="22" spans="1:13" x14ac:dyDescent="0.35">
      <c r="A22" t="s">
        <v>33</v>
      </c>
      <c r="E22">
        <v>134.1</v>
      </c>
      <c r="F22">
        <v>130</v>
      </c>
      <c r="M22">
        <v>133.69999999999999</v>
      </c>
    </row>
    <row r="23" spans="1:13" x14ac:dyDescent="0.35">
      <c r="A23" t="s">
        <v>34</v>
      </c>
      <c r="E23">
        <v>134.19999999999999</v>
      </c>
      <c r="F23">
        <v>130.4</v>
      </c>
      <c r="M23">
        <v>133.80000000000001</v>
      </c>
    </row>
    <row r="24" spans="1:13" x14ac:dyDescent="0.35">
      <c r="A24" t="s">
        <v>35</v>
      </c>
      <c r="E24">
        <v>133.69999999999999</v>
      </c>
      <c r="F24">
        <v>130.19999999999999</v>
      </c>
      <c r="M24">
        <v>133</v>
      </c>
    </row>
    <row r="25" spans="1:13" x14ac:dyDescent="0.35">
      <c r="A25" t="s">
        <v>36</v>
      </c>
      <c r="E25">
        <v>133.1</v>
      </c>
      <c r="F25">
        <v>131</v>
      </c>
      <c r="M25">
        <v>132.6</v>
      </c>
    </row>
    <row r="26" spans="1:13" x14ac:dyDescent="0.35">
      <c r="A26" t="s">
        <v>37</v>
      </c>
      <c r="E26">
        <v>132.4</v>
      </c>
      <c r="F26">
        <v>131.30000000000001</v>
      </c>
      <c r="M26">
        <v>132.1</v>
      </c>
    </row>
    <row r="27" spans="1:13" x14ac:dyDescent="0.35">
      <c r="A27" t="s">
        <v>38</v>
      </c>
      <c r="E27">
        <v>131.9</v>
      </c>
      <c r="F27">
        <v>134.69999999999999</v>
      </c>
      <c r="M27">
        <v>133.4</v>
      </c>
    </row>
    <row r="28" spans="1:13" x14ac:dyDescent="0.35">
      <c r="A28" t="s">
        <v>39</v>
      </c>
      <c r="E28">
        <v>132.9</v>
      </c>
      <c r="F28">
        <v>134.6</v>
      </c>
      <c r="M28">
        <v>133.80000000000001</v>
      </c>
    </row>
    <row r="29" spans="1:13" x14ac:dyDescent="0.35">
      <c r="A29" t="s">
        <v>40</v>
      </c>
      <c r="E29">
        <v>136</v>
      </c>
      <c r="F29">
        <v>134.69999999999999</v>
      </c>
      <c r="M29">
        <v>134.69999999999999</v>
      </c>
    </row>
    <row r="30" spans="1:13" x14ac:dyDescent="0.35">
      <c r="A30" t="s">
        <v>41</v>
      </c>
      <c r="E30">
        <v>133</v>
      </c>
      <c r="F30">
        <v>134.30000000000001</v>
      </c>
      <c r="M30">
        <v>134.30000000000001</v>
      </c>
    </row>
    <row r="31" spans="1:13" x14ac:dyDescent="0.35">
      <c r="A31" t="s">
        <v>42</v>
      </c>
      <c r="E31">
        <v>127</v>
      </c>
      <c r="F31">
        <v>135.1</v>
      </c>
      <c r="M31">
        <v>135.1</v>
      </c>
    </row>
    <row r="32" spans="1:13" x14ac:dyDescent="0.35">
      <c r="A32" t="s">
        <v>43</v>
      </c>
      <c r="F32">
        <v>135.80000000000001</v>
      </c>
      <c r="M32">
        <v>135.80000000000001</v>
      </c>
    </row>
    <row r="33" spans="1:13" x14ac:dyDescent="0.35">
      <c r="A33" t="s">
        <v>44</v>
      </c>
      <c r="F33">
        <v>136.30000000000001</v>
      </c>
      <c r="M33">
        <v>136.30000000000001</v>
      </c>
    </row>
    <row r="34" spans="1:13" x14ac:dyDescent="0.35">
      <c r="A34" t="s">
        <v>45</v>
      </c>
      <c r="F34">
        <v>136.1</v>
      </c>
      <c r="M34">
        <v>136.1</v>
      </c>
    </row>
    <row r="35" spans="1:13" x14ac:dyDescent="0.35">
      <c r="A35" t="s">
        <v>46</v>
      </c>
      <c r="F35">
        <v>137.30000000000001</v>
      </c>
      <c r="M35">
        <v>137.30000000000001</v>
      </c>
    </row>
    <row r="36" spans="1:13" x14ac:dyDescent="0.35">
      <c r="A36" t="s">
        <v>47</v>
      </c>
      <c r="F36">
        <v>138.6</v>
      </c>
      <c r="M36">
        <v>138.6</v>
      </c>
    </row>
    <row r="37" spans="1:13" x14ac:dyDescent="0.35">
      <c r="A37" t="s">
        <v>48</v>
      </c>
      <c r="F37">
        <v>139.30000000000001</v>
      </c>
      <c r="M37">
        <v>139.30000000000001</v>
      </c>
    </row>
    <row r="38" spans="1:13" x14ac:dyDescent="0.35">
      <c r="A38" t="s">
        <v>49</v>
      </c>
      <c r="F38">
        <v>140.4</v>
      </c>
      <c r="M38">
        <v>140.4</v>
      </c>
    </row>
    <row r="39" spans="1:13" x14ac:dyDescent="0.35">
      <c r="A39" t="s">
        <v>50</v>
      </c>
      <c r="F39">
        <v>139.80000000000001</v>
      </c>
      <c r="M39">
        <v>139.80000000000001</v>
      </c>
    </row>
    <row r="40" spans="1:13" x14ac:dyDescent="0.35">
      <c r="A40" t="s">
        <v>51</v>
      </c>
      <c r="F40">
        <v>140.1</v>
      </c>
      <c r="M40">
        <v>140.1</v>
      </c>
    </row>
    <row r="41" spans="1:13" x14ac:dyDescent="0.35">
      <c r="A41" t="s">
        <v>52</v>
      </c>
      <c r="F41">
        <v>140.4</v>
      </c>
      <c r="M41">
        <v>140.4</v>
      </c>
    </row>
    <row r="42" spans="1:13" x14ac:dyDescent="0.35">
      <c r="A42" t="s">
        <v>53</v>
      </c>
      <c r="F42">
        <v>140.69999999999999</v>
      </c>
      <c r="M42">
        <v>140.69999999999999</v>
      </c>
    </row>
    <row r="43" spans="1:13" x14ac:dyDescent="0.35">
      <c r="A43" t="s">
        <v>54</v>
      </c>
      <c r="F43">
        <v>140.80000000000001</v>
      </c>
      <c r="M43">
        <v>140.80000000000001</v>
      </c>
    </row>
    <row r="44" spans="1:13" x14ac:dyDescent="0.35">
      <c r="A44" t="s">
        <v>55</v>
      </c>
      <c r="F44">
        <v>140.69999999999999</v>
      </c>
      <c r="M44">
        <v>140.69999999999999</v>
      </c>
    </row>
    <row r="45" spans="1:13" x14ac:dyDescent="0.35">
      <c r="A45" t="s">
        <v>56</v>
      </c>
      <c r="F45">
        <v>140.6</v>
      </c>
      <c r="M45">
        <v>140.6</v>
      </c>
    </row>
    <row r="46" spans="1:13" x14ac:dyDescent="0.35">
      <c r="A46" t="s">
        <v>57</v>
      </c>
      <c r="F46">
        <v>140.19999999999999</v>
      </c>
      <c r="M46">
        <v>140.19999999999999</v>
      </c>
    </row>
    <row r="47" spans="1:13" x14ac:dyDescent="0.35">
      <c r="A47" t="s">
        <v>58</v>
      </c>
      <c r="B47">
        <v>155</v>
      </c>
      <c r="F47">
        <v>140.1</v>
      </c>
      <c r="M47">
        <v>140.1</v>
      </c>
    </row>
    <row r="48" spans="1:13" x14ac:dyDescent="0.35">
      <c r="A48" t="s">
        <v>59</v>
      </c>
      <c r="F48">
        <v>140.9</v>
      </c>
      <c r="M48">
        <v>140.9</v>
      </c>
    </row>
    <row r="49" spans="1:13" x14ac:dyDescent="0.35">
      <c r="A49" t="s">
        <v>60</v>
      </c>
      <c r="F49">
        <v>140.80000000000001</v>
      </c>
      <c r="M49">
        <v>140.80000000000001</v>
      </c>
    </row>
    <row r="50" spans="1:13" x14ac:dyDescent="0.35">
      <c r="A50" t="s">
        <v>61</v>
      </c>
      <c r="F50">
        <v>140.4</v>
      </c>
      <c r="M50">
        <v>140.4</v>
      </c>
    </row>
    <row r="51" spans="1:13" x14ac:dyDescent="0.35">
      <c r="A51" t="s">
        <v>62</v>
      </c>
      <c r="F51">
        <v>138.5</v>
      </c>
      <c r="M51">
        <v>138.5</v>
      </c>
    </row>
    <row r="52" spans="1:13" x14ac:dyDescent="0.35">
      <c r="A52" t="s">
        <v>63</v>
      </c>
      <c r="F52">
        <v>140.1</v>
      </c>
      <c r="M52">
        <v>140.1</v>
      </c>
    </row>
    <row r="53" spans="1:13" x14ac:dyDescent="0.35">
      <c r="A53" t="s">
        <v>64</v>
      </c>
      <c r="F53">
        <v>140.6</v>
      </c>
      <c r="M53">
        <v>140.6</v>
      </c>
    </row>
    <row r="54" spans="1:13" x14ac:dyDescent="0.35">
      <c r="A54" t="s">
        <v>65</v>
      </c>
      <c r="F54">
        <v>140.6</v>
      </c>
      <c r="M54">
        <v>140.6</v>
      </c>
    </row>
    <row r="55" spans="1:13" x14ac:dyDescent="0.35">
      <c r="A55" t="s">
        <v>66</v>
      </c>
      <c r="F55">
        <v>140.1</v>
      </c>
      <c r="M55">
        <v>140.1</v>
      </c>
    </row>
    <row r="56" spans="1:13" x14ac:dyDescent="0.35">
      <c r="A56" t="s">
        <v>67</v>
      </c>
      <c r="F56">
        <v>139.69999999999999</v>
      </c>
      <c r="M56">
        <v>139.69999999999999</v>
      </c>
    </row>
    <row r="57" spans="1:13" x14ac:dyDescent="0.35">
      <c r="A57" t="s">
        <v>68</v>
      </c>
      <c r="F57">
        <v>139.69999999999999</v>
      </c>
      <c r="M57">
        <v>139.69999999999999</v>
      </c>
    </row>
    <row r="58" spans="1:13" x14ac:dyDescent="0.35">
      <c r="A58" t="s">
        <v>69</v>
      </c>
      <c r="F58">
        <v>140.30000000000001</v>
      </c>
      <c r="M58">
        <v>140.30000000000001</v>
      </c>
    </row>
    <row r="59" spans="1:13" x14ac:dyDescent="0.35">
      <c r="A59" t="s">
        <v>70</v>
      </c>
      <c r="F59">
        <v>140.1</v>
      </c>
      <c r="G59">
        <v>142.69999999999999</v>
      </c>
      <c r="M59">
        <v>140.19999999999999</v>
      </c>
    </row>
    <row r="60" spans="1:13" x14ac:dyDescent="0.35">
      <c r="A60" t="s">
        <v>71</v>
      </c>
      <c r="F60">
        <v>138.4</v>
      </c>
      <c r="G60">
        <v>142.1</v>
      </c>
      <c r="M60">
        <v>139.6</v>
      </c>
    </row>
    <row r="61" spans="1:13" x14ac:dyDescent="0.35">
      <c r="A61" t="s">
        <v>72</v>
      </c>
      <c r="F61">
        <v>138.5</v>
      </c>
      <c r="G61">
        <v>141.4</v>
      </c>
      <c r="H61">
        <v>138.5</v>
      </c>
      <c r="I61">
        <v>140.6</v>
      </c>
      <c r="M61">
        <v>139.6</v>
      </c>
    </row>
    <row r="62" spans="1:13" x14ac:dyDescent="0.35">
      <c r="A62" t="s">
        <v>73</v>
      </c>
      <c r="F62">
        <v>146.80000000000001</v>
      </c>
      <c r="G62">
        <v>133</v>
      </c>
      <c r="H62">
        <v>139.30000000000001</v>
      </c>
      <c r="I62">
        <v>140.4</v>
      </c>
      <c r="M62">
        <v>140</v>
      </c>
    </row>
    <row r="63" spans="1:13" x14ac:dyDescent="0.35">
      <c r="A63" t="s">
        <v>74</v>
      </c>
      <c r="H63">
        <v>138.5</v>
      </c>
      <c r="I63">
        <v>140.5</v>
      </c>
      <c r="M63">
        <v>139.6</v>
      </c>
    </row>
    <row r="64" spans="1:13" x14ac:dyDescent="0.35">
      <c r="A64" t="s">
        <v>75</v>
      </c>
      <c r="H64">
        <v>138.4</v>
      </c>
      <c r="I64">
        <v>140.69999999999999</v>
      </c>
      <c r="M64">
        <v>139.69999999999999</v>
      </c>
    </row>
    <row r="65" spans="1:13" x14ac:dyDescent="0.35">
      <c r="A65" t="s">
        <v>76</v>
      </c>
      <c r="H65">
        <v>138</v>
      </c>
      <c r="I65">
        <v>141.30000000000001</v>
      </c>
      <c r="M65">
        <v>139.80000000000001</v>
      </c>
    </row>
    <row r="66" spans="1:13" x14ac:dyDescent="0.35">
      <c r="A66" t="s">
        <v>77</v>
      </c>
      <c r="H66">
        <v>138.4</v>
      </c>
      <c r="I66">
        <v>140.9</v>
      </c>
      <c r="M66">
        <v>139.80000000000001</v>
      </c>
    </row>
    <row r="67" spans="1:13" x14ac:dyDescent="0.35">
      <c r="A67" t="s">
        <v>78</v>
      </c>
      <c r="H67">
        <v>138.80000000000001</v>
      </c>
      <c r="I67">
        <v>141.1</v>
      </c>
      <c r="M67">
        <v>140</v>
      </c>
    </row>
    <row r="68" spans="1:13" x14ac:dyDescent="0.35">
      <c r="A68" t="s">
        <v>79</v>
      </c>
      <c r="H68">
        <v>138.9</v>
      </c>
      <c r="I68">
        <v>141.19999999999999</v>
      </c>
      <c r="M68">
        <v>140.1</v>
      </c>
    </row>
    <row r="69" spans="1:13" x14ac:dyDescent="0.35">
      <c r="A69" t="s">
        <v>80</v>
      </c>
      <c r="H69">
        <v>138.5</v>
      </c>
      <c r="I69">
        <v>140.9</v>
      </c>
      <c r="M69">
        <v>139.80000000000001</v>
      </c>
    </row>
    <row r="70" spans="1:13" x14ac:dyDescent="0.35">
      <c r="A70" t="s">
        <v>81</v>
      </c>
      <c r="H70">
        <v>138.30000000000001</v>
      </c>
      <c r="I70">
        <v>141</v>
      </c>
      <c r="M70">
        <v>139.80000000000001</v>
      </c>
    </row>
    <row r="71" spans="1:13" x14ac:dyDescent="0.35">
      <c r="A71" t="s">
        <v>82</v>
      </c>
      <c r="H71">
        <v>138.80000000000001</v>
      </c>
      <c r="I71">
        <v>141.5</v>
      </c>
      <c r="M71">
        <v>140.19999999999999</v>
      </c>
    </row>
    <row r="72" spans="1:13" x14ac:dyDescent="0.35">
      <c r="A72" t="s">
        <v>83</v>
      </c>
      <c r="H72">
        <v>139</v>
      </c>
      <c r="I72">
        <v>142.30000000000001</v>
      </c>
      <c r="M72">
        <v>140.80000000000001</v>
      </c>
    </row>
    <row r="73" spans="1:13" x14ac:dyDescent="0.35">
      <c r="A73" t="s">
        <v>84</v>
      </c>
      <c r="H73">
        <v>139.5</v>
      </c>
      <c r="I73">
        <v>142</v>
      </c>
      <c r="K73">
        <v>142.5</v>
      </c>
      <c r="M73">
        <v>141.80000000000001</v>
      </c>
    </row>
    <row r="74" spans="1:13" x14ac:dyDescent="0.35">
      <c r="A74" t="s">
        <v>85</v>
      </c>
      <c r="I74">
        <v>141.6</v>
      </c>
      <c r="J74">
        <v>141.1</v>
      </c>
      <c r="K74">
        <v>142.4</v>
      </c>
      <c r="M74">
        <v>141.69999999999999</v>
      </c>
    </row>
    <row r="75" spans="1:13" x14ac:dyDescent="0.35">
      <c r="A75" t="s">
        <v>86</v>
      </c>
      <c r="I75">
        <v>141.80000000000001</v>
      </c>
      <c r="J75">
        <v>141.80000000000001</v>
      </c>
      <c r="K75">
        <v>143.4</v>
      </c>
      <c r="M75">
        <v>142</v>
      </c>
    </row>
    <row r="76" spans="1:13" x14ac:dyDescent="0.35">
      <c r="A76" t="s">
        <v>87</v>
      </c>
      <c r="I76">
        <v>142</v>
      </c>
      <c r="J76">
        <v>142.19999999999999</v>
      </c>
      <c r="K76">
        <v>144.19999999999999</v>
      </c>
      <c r="M76">
        <v>142.30000000000001</v>
      </c>
    </row>
    <row r="77" spans="1:13" x14ac:dyDescent="0.35">
      <c r="A77" t="s">
        <v>88</v>
      </c>
      <c r="I77">
        <v>143</v>
      </c>
      <c r="J77">
        <v>142.5</v>
      </c>
      <c r="K77">
        <v>144.5</v>
      </c>
      <c r="M77">
        <v>142.80000000000001</v>
      </c>
    </row>
    <row r="78" spans="1:13" x14ac:dyDescent="0.35">
      <c r="A78" t="s">
        <v>89</v>
      </c>
      <c r="I78">
        <v>146</v>
      </c>
      <c r="J78">
        <v>142.4</v>
      </c>
      <c r="K78">
        <v>144.6</v>
      </c>
      <c r="M78">
        <v>142.80000000000001</v>
      </c>
    </row>
    <row r="79" spans="1:13" x14ac:dyDescent="0.35">
      <c r="A79" t="s">
        <v>90</v>
      </c>
      <c r="J79">
        <v>142.1</v>
      </c>
      <c r="K79">
        <v>144.5</v>
      </c>
      <c r="M79">
        <v>142.69999999999999</v>
      </c>
    </row>
    <row r="80" spans="1:13" x14ac:dyDescent="0.35">
      <c r="A80" t="s">
        <v>91</v>
      </c>
      <c r="J80">
        <v>142.80000000000001</v>
      </c>
      <c r="K80">
        <v>144.1</v>
      </c>
      <c r="M80">
        <v>143.1</v>
      </c>
    </row>
    <row r="81" spans="1:13" x14ac:dyDescent="0.35">
      <c r="A81" t="s">
        <v>92</v>
      </c>
      <c r="J81">
        <v>143.19999999999999</v>
      </c>
      <c r="K81">
        <v>145.4</v>
      </c>
      <c r="L81">
        <v>144.9</v>
      </c>
      <c r="M81">
        <v>143.69999999999999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1"/>
  <sheetViews>
    <sheetView topLeftCell="A6" workbookViewId="0">
      <selection activeCell="B30" sqref="B30"/>
    </sheetView>
  </sheetViews>
  <sheetFormatPr defaultRowHeight="14.5" x14ac:dyDescent="0.35"/>
  <cols>
    <col min="2" max="2" width="13.1796875" bestFit="1" customWidth="1"/>
    <col min="7" max="8" width="9.7265625" bestFit="1" customWidth="1"/>
  </cols>
  <sheetData>
    <row r="1" spans="1:10" x14ac:dyDescent="0.35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12</v>
      </c>
    </row>
    <row r="2" spans="1:10" x14ac:dyDescent="0.3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70.3</v>
      </c>
      <c r="H2">
        <v>29.7</v>
      </c>
      <c r="I2">
        <v>0</v>
      </c>
      <c r="J2">
        <v>3729</v>
      </c>
    </row>
    <row r="3" spans="1:10" x14ac:dyDescent="0.3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63.8</v>
      </c>
      <c r="H3">
        <v>36.200000000000003</v>
      </c>
      <c r="I3">
        <v>0</v>
      </c>
      <c r="J3">
        <v>3683</v>
      </c>
    </row>
    <row r="4" spans="1:10" x14ac:dyDescent="0.3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59</v>
      </c>
      <c r="H4">
        <v>41</v>
      </c>
      <c r="I4">
        <v>0</v>
      </c>
      <c r="J4">
        <v>6237</v>
      </c>
    </row>
    <row r="5" spans="1:10" x14ac:dyDescent="0.35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57.2</v>
      </c>
      <c r="H5">
        <v>42.8</v>
      </c>
      <c r="I5">
        <v>0</v>
      </c>
      <c r="J5">
        <v>3702</v>
      </c>
    </row>
    <row r="6" spans="1:10" x14ac:dyDescent="0.3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24.6</v>
      </c>
      <c r="H6">
        <v>75.400000000000006</v>
      </c>
      <c r="I6">
        <v>0</v>
      </c>
      <c r="J6">
        <v>4389</v>
      </c>
    </row>
    <row r="7" spans="1:10" x14ac:dyDescent="0.3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16.3</v>
      </c>
      <c r="H7">
        <v>83.7</v>
      </c>
      <c r="I7">
        <v>0</v>
      </c>
      <c r="J7">
        <v>5041</v>
      </c>
    </row>
    <row r="8" spans="1:10" x14ac:dyDescent="0.3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0.8</v>
      </c>
      <c r="H8">
        <v>99.2</v>
      </c>
      <c r="I8">
        <v>0</v>
      </c>
      <c r="J8">
        <v>4984</v>
      </c>
    </row>
    <row r="9" spans="1:10" x14ac:dyDescent="0.3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0</v>
      </c>
      <c r="J9">
        <v>4242</v>
      </c>
    </row>
    <row r="10" spans="1:10" x14ac:dyDescent="0.3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3688</v>
      </c>
    </row>
    <row r="11" spans="1:10" x14ac:dyDescent="0.3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3574</v>
      </c>
    </row>
    <row r="12" spans="1:10" x14ac:dyDescent="0.3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3117</v>
      </c>
    </row>
    <row r="13" spans="1:10" x14ac:dyDescent="0.3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0</v>
      </c>
      <c r="J13">
        <v>3276</v>
      </c>
    </row>
    <row r="14" spans="1:10" x14ac:dyDescent="0.3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0</v>
      </c>
      <c r="J14">
        <v>3694</v>
      </c>
    </row>
    <row r="15" spans="1:10" x14ac:dyDescent="0.3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0</v>
      </c>
      <c r="J15">
        <v>3712</v>
      </c>
    </row>
    <row r="16" spans="1:10" x14ac:dyDescent="0.3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0</v>
      </c>
      <c r="J16">
        <v>8358</v>
      </c>
    </row>
    <row r="17" spans="1:10" x14ac:dyDescent="0.3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0</v>
      </c>
      <c r="J17">
        <v>7949</v>
      </c>
    </row>
    <row r="18" spans="1:10" x14ac:dyDescent="0.3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0</v>
      </c>
      <c r="J18">
        <v>5916</v>
      </c>
    </row>
    <row r="19" spans="1:10" x14ac:dyDescent="0.3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0</v>
      </c>
      <c r="J19">
        <v>5777</v>
      </c>
    </row>
    <row r="20" spans="1:10" x14ac:dyDescent="0.3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4993</v>
      </c>
    </row>
    <row r="21" spans="1:10" x14ac:dyDescent="0.35">
      <c r="A21" t="s">
        <v>32</v>
      </c>
      <c r="B21">
        <v>3.2</v>
      </c>
      <c r="C21">
        <v>0</v>
      </c>
      <c r="D21">
        <v>0</v>
      </c>
      <c r="E21">
        <v>0</v>
      </c>
      <c r="F21">
        <v>0</v>
      </c>
      <c r="G21">
        <v>0</v>
      </c>
      <c r="H21">
        <v>96.8</v>
      </c>
      <c r="I21">
        <v>0</v>
      </c>
      <c r="J21">
        <v>4658</v>
      </c>
    </row>
    <row r="22" spans="1:10" x14ac:dyDescent="0.35">
      <c r="A22" t="s">
        <v>33</v>
      </c>
      <c r="B22">
        <v>11.5</v>
      </c>
      <c r="C22">
        <v>0</v>
      </c>
      <c r="D22">
        <v>0</v>
      </c>
      <c r="E22">
        <v>0</v>
      </c>
      <c r="F22">
        <v>0</v>
      </c>
      <c r="G22">
        <v>0</v>
      </c>
      <c r="H22">
        <v>88.5</v>
      </c>
      <c r="I22">
        <v>0</v>
      </c>
      <c r="J22">
        <v>4368</v>
      </c>
    </row>
    <row r="23" spans="1:10" x14ac:dyDescent="0.35">
      <c r="A23" t="s">
        <v>34</v>
      </c>
      <c r="B23">
        <v>11.3</v>
      </c>
      <c r="C23">
        <v>0</v>
      </c>
      <c r="D23">
        <v>0</v>
      </c>
      <c r="E23">
        <v>0</v>
      </c>
      <c r="F23">
        <v>0</v>
      </c>
      <c r="G23">
        <v>0</v>
      </c>
      <c r="H23">
        <v>88.7</v>
      </c>
      <c r="I23">
        <v>0</v>
      </c>
      <c r="J23">
        <v>3959</v>
      </c>
    </row>
    <row r="24" spans="1:10" x14ac:dyDescent="0.35">
      <c r="A24" t="s">
        <v>35</v>
      </c>
      <c r="B24">
        <v>19.100000000000001</v>
      </c>
      <c r="C24">
        <v>0</v>
      </c>
      <c r="D24">
        <v>0</v>
      </c>
      <c r="E24">
        <v>0</v>
      </c>
      <c r="F24">
        <v>0</v>
      </c>
      <c r="G24">
        <v>0</v>
      </c>
      <c r="H24">
        <v>80.900000000000006</v>
      </c>
      <c r="I24">
        <v>0</v>
      </c>
      <c r="J24">
        <v>3784</v>
      </c>
    </row>
    <row r="25" spans="1:10" x14ac:dyDescent="0.35">
      <c r="A25" t="s">
        <v>36</v>
      </c>
      <c r="B25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73</v>
      </c>
      <c r="I25">
        <v>0</v>
      </c>
      <c r="J25">
        <v>3676</v>
      </c>
    </row>
    <row r="26" spans="1:10" x14ac:dyDescent="0.35">
      <c r="A26" t="s">
        <v>37</v>
      </c>
      <c r="B26">
        <v>28.6</v>
      </c>
      <c r="C26">
        <v>0</v>
      </c>
      <c r="D26">
        <v>0</v>
      </c>
      <c r="E26">
        <v>0</v>
      </c>
      <c r="F26">
        <v>0</v>
      </c>
      <c r="G26">
        <v>0</v>
      </c>
      <c r="H26">
        <v>71.400000000000006</v>
      </c>
      <c r="I26">
        <v>0</v>
      </c>
      <c r="J26">
        <v>3008</v>
      </c>
    </row>
    <row r="27" spans="1:10" x14ac:dyDescent="0.35">
      <c r="A27" t="s">
        <v>38</v>
      </c>
      <c r="B27">
        <v>49.5</v>
      </c>
      <c r="C27">
        <v>0</v>
      </c>
      <c r="D27">
        <v>0</v>
      </c>
      <c r="E27">
        <v>0</v>
      </c>
      <c r="F27">
        <v>0</v>
      </c>
      <c r="G27">
        <v>0</v>
      </c>
      <c r="H27">
        <v>50.5</v>
      </c>
      <c r="I27">
        <v>0</v>
      </c>
      <c r="J27">
        <v>3224</v>
      </c>
    </row>
    <row r="28" spans="1:10" x14ac:dyDescent="0.35">
      <c r="A28" t="s">
        <v>39</v>
      </c>
      <c r="B28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44</v>
      </c>
      <c r="I28">
        <v>0</v>
      </c>
      <c r="J28">
        <v>5218</v>
      </c>
    </row>
    <row r="29" spans="1:10" x14ac:dyDescent="0.35">
      <c r="A29" t="s">
        <v>40</v>
      </c>
      <c r="B29">
        <v>91.8</v>
      </c>
      <c r="C29">
        <v>0</v>
      </c>
      <c r="D29">
        <v>0</v>
      </c>
      <c r="E29">
        <v>0</v>
      </c>
      <c r="F29">
        <v>0</v>
      </c>
      <c r="G29">
        <v>0</v>
      </c>
      <c r="H29">
        <v>8.1999999999999993</v>
      </c>
      <c r="I29">
        <v>0</v>
      </c>
      <c r="J29">
        <v>4027</v>
      </c>
    </row>
    <row r="30" spans="1:10" x14ac:dyDescent="0.35">
      <c r="A30" t="s">
        <v>41</v>
      </c>
      <c r="B30">
        <v>100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3626</v>
      </c>
    </row>
    <row r="31" spans="1:10" x14ac:dyDescent="0.35">
      <c r="A31" t="s">
        <v>42</v>
      </c>
      <c r="B31">
        <v>100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3428</v>
      </c>
    </row>
    <row r="32" spans="1:10" x14ac:dyDescent="0.35">
      <c r="A32" t="s">
        <v>43</v>
      </c>
      <c r="B32">
        <v>100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2928</v>
      </c>
    </row>
    <row r="33" spans="1:10" x14ac:dyDescent="0.35">
      <c r="A33" t="s">
        <v>44</v>
      </c>
      <c r="B33">
        <v>100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3404</v>
      </c>
    </row>
    <row r="34" spans="1:10" x14ac:dyDescent="0.35">
      <c r="A34" t="s">
        <v>45</v>
      </c>
      <c r="B34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3287</v>
      </c>
    </row>
    <row r="35" spans="1:10" x14ac:dyDescent="0.35">
      <c r="A35" t="s">
        <v>46</v>
      </c>
      <c r="B35">
        <v>100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2890</v>
      </c>
    </row>
    <row r="36" spans="1:10" x14ac:dyDescent="0.35">
      <c r="A36" t="s">
        <v>47</v>
      </c>
      <c r="B36">
        <v>100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2310</v>
      </c>
    </row>
    <row r="37" spans="1:10" x14ac:dyDescent="0.35">
      <c r="A37" t="s">
        <v>48</v>
      </c>
      <c r="B37">
        <v>100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2227</v>
      </c>
    </row>
    <row r="38" spans="1:10" x14ac:dyDescent="0.35">
      <c r="A38" t="s">
        <v>49</v>
      </c>
      <c r="B38">
        <v>100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2319</v>
      </c>
    </row>
    <row r="39" spans="1:10" x14ac:dyDescent="0.35">
      <c r="A39" t="s">
        <v>50</v>
      </c>
      <c r="B39">
        <v>100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2180</v>
      </c>
    </row>
    <row r="40" spans="1:10" x14ac:dyDescent="0.35">
      <c r="A40" t="s">
        <v>51</v>
      </c>
      <c r="B40">
        <v>100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4069</v>
      </c>
    </row>
    <row r="41" spans="1:10" x14ac:dyDescent="0.35">
      <c r="A41" t="s">
        <v>52</v>
      </c>
      <c r="B41">
        <v>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2730</v>
      </c>
    </row>
    <row r="42" spans="1:10" x14ac:dyDescent="0.35">
      <c r="A42" t="s">
        <v>53</v>
      </c>
      <c r="B42">
        <v>100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2726</v>
      </c>
    </row>
    <row r="43" spans="1:10" x14ac:dyDescent="0.35">
      <c r="A43" t="s">
        <v>54</v>
      </c>
      <c r="B43">
        <v>100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2968</v>
      </c>
    </row>
    <row r="44" spans="1:10" x14ac:dyDescent="0.35">
      <c r="A44" t="s">
        <v>55</v>
      </c>
      <c r="B44">
        <v>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2845</v>
      </c>
    </row>
    <row r="45" spans="1:10" x14ac:dyDescent="0.35">
      <c r="A45" t="s">
        <v>56</v>
      </c>
      <c r="B45">
        <v>100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3312</v>
      </c>
    </row>
    <row r="46" spans="1:10" x14ac:dyDescent="0.35">
      <c r="A46" t="s">
        <v>57</v>
      </c>
      <c r="B46">
        <v>90.6</v>
      </c>
      <c r="C46">
        <v>9.3000000000000007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3020</v>
      </c>
    </row>
    <row r="47" spans="1:10" x14ac:dyDescent="0.35">
      <c r="A47" t="s">
        <v>58</v>
      </c>
      <c r="B47">
        <v>75.400000000000006</v>
      </c>
      <c r="C47">
        <v>24.6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3600</v>
      </c>
    </row>
    <row r="48" spans="1:10" x14ac:dyDescent="0.35">
      <c r="A48" t="s">
        <v>59</v>
      </c>
      <c r="B48">
        <v>32.9</v>
      </c>
      <c r="C48">
        <v>67.099999999999994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4401</v>
      </c>
    </row>
    <row r="49" spans="1:10" x14ac:dyDescent="0.35">
      <c r="A49" t="s">
        <v>60</v>
      </c>
      <c r="B49">
        <v>0</v>
      </c>
      <c r="C49">
        <v>100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3864</v>
      </c>
    </row>
    <row r="50" spans="1:10" x14ac:dyDescent="0.35">
      <c r="A50" t="s">
        <v>61</v>
      </c>
      <c r="B50">
        <v>0</v>
      </c>
      <c r="C50">
        <v>100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4465</v>
      </c>
    </row>
    <row r="51" spans="1:10" x14ac:dyDescent="0.35">
      <c r="A51" t="s">
        <v>62</v>
      </c>
      <c r="B51">
        <v>0</v>
      </c>
      <c r="C51">
        <v>100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5610</v>
      </c>
    </row>
    <row r="52" spans="1:10" x14ac:dyDescent="0.35">
      <c r="A52" t="s">
        <v>63</v>
      </c>
      <c r="B52">
        <v>0</v>
      </c>
      <c r="C52">
        <v>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9970</v>
      </c>
    </row>
    <row r="53" spans="1:10" x14ac:dyDescent="0.35">
      <c r="A53" t="s">
        <v>64</v>
      </c>
      <c r="B53">
        <v>0</v>
      </c>
      <c r="C53">
        <v>100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7751</v>
      </c>
    </row>
    <row r="54" spans="1:10" x14ac:dyDescent="0.35">
      <c r="A54" t="s">
        <v>65</v>
      </c>
      <c r="B54">
        <v>0</v>
      </c>
      <c r="C54">
        <v>100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6661</v>
      </c>
    </row>
    <row r="55" spans="1:10" x14ac:dyDescent="0.35">
      <c r="A55" t="s">
        <v>66</v>
      </c>
      <c r="B55">
        <v>0</v>
      </c>
      <c r="C55">
        <v>100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5849</v>
      </c>
    </row>
    <row r="56" spans="1:10" x14ac:dyDescent="0.35">
      <c r="A56" t="s">
        <v>67</v>
      </c>
      <c r="B56">
        <v>0</v>
      </c>
      <c r="C56">
        <v>100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5850</v>
      </c>
    </row>
    <row r="57" spans="1:10" x14ac:dyDescent="0.35">
      <c r="A57" t="s">
        <v>68</v>
      </c>
      <c r="B57">
        <v>0</v>
      </c>
      <c r="C57">
        <v>100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4574</v>
      </c>
    </row>
    <row r="58" spans="1:10" x14ac:dyDescent="0.35">
      <c r="A58" t="s">
        <v>69</v>
      </c>
      <c r="B58">
        <v>0</v>
      </c>
      <c r="C58">
        <v>100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4592</v>
      </c>
    </row>
    <row r="59" spans="1:10" x14ac:dyDescent="0.35">
      <c r="A59" t="s">
        <v>70</v>
      </c>
      <c r="B59">
        <v>0</v>
      </c>
      <c r="C59">
        <v>100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5634</v>
      </c>
    </row>
    <row r="60" spans="1:10" x14ac:dyDescent="0.35">
      <c r="A60" t="s">
        <v>71</v>
      </c>
      <c r="B60">
        <v>0</v>
      </c>
      <c r="C60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4711</v>
      </c>
    </row>
    <row r="61" spans="1:10" x14ac:dyDescent="0.35">
      <c r="A61" t="s">
        <v>72</v>
      </c>
      <c r="B61">
        <v>0</v>
      </c>
      <c r="C61">
        <v>62.1</v>
      </c>
      <c r="D61">
        <v>37.9</v>
      </c>
      <c r="E61">
        <v>0</v>
      </c>
      <c r="F61">
        <v>0</v>
      </c>
      <c r="G61">
        <v>0</v>
      </c>
      <c r="H61">
        <v>0</v>
      </c>
      <c r="I61">
        <v>0</v>
      </c>
      <c r="J61">
        <v>5235</v>
      </c>
    </row>
    <row r="62" spans="1:10" x14ac:dyDescent="0.35">
      <c r="A62" t="s">
        <v>73</v>
      </c>
      <c r="B62">
        <v>0</v>
      </c>
      <c r="C62">
        <v>1.1000000000000001</v>
      </c>
      <c r="D62">
        <v>98.9</v>
      </c>
      <c r="E62">
        <v>0</v>
      </c>
      <c r="F62">
        <v>0</v>
      </c>
      <c r="G62">
        <v>0</v>
      </c>
      <c r="H62">
        <v>0</v>
      </c>
      <c r="I62">
        <v>0</v>
      </c>
      <c r="J62">
        <v>6382</v>
      </c>
    </row>
    <row r="63" spans="1:10" x14ac:dyDescent="0.35">
      <c r="A63" t="s">
        <v>74</v>
      </c>
      <c r="B63">
        <v>0</v>
      </c>
      <c r="C63">
        <v>0</v>
      </c>
      <c r="D63">
        <v>98.5</v>
      </c>
      <c r="E63">
        <v>1.5</v>
      </c>
      <c r="F63">
        <v>0</v>
      </c>
      <c r="G63">
        <v>0</v>
      </c>
      <c r="H63">
        <v>0</v>
      </c>
      <c r="I63">
        <v>0</v>
      </c>
      <c r="J63">
        <v>6669</v>
      </c>
    </row>
    <row r="64" spans="1:10" x14ac:dyDescent="0.35">
      <c r="A64" t="s">
        <v>75</v>
      </c>
      <c r="B64">
        <v>0</v>
      </c>
      <c r="C64">
        <v>0</v>
      </c>
      <c r="D64">
        <v>95.3</v>
      </c>
      <c r="E64">
        <v>4.7</v>
      </c>
      <c r="F64">
        <v>0</v>
      </c>
      <c r="G64">
        <v>0</v>
      </c>
      <c r="H64">
        <v>0</v>
      </c>
      <c r="I64">
        <v>0</v>
      </c>
      <c r="J64">
        <v>12233</v>
      </c>
    </row>
    <row r="65" spans="1:10" x14ac:dyDescent="0.35">
      <c r="A65" t="s">
        <v>76</v>
      </c>
      <c r="B65">
        <v>0</v>
      </c>
      <c r="C65">
        <v>0</v>
      </c>
      <c r="D65">
        <v>94.1</v>
      </c>
      <c r="E65">
        <v>5.9</v>
      </c>
      <c r="F65">
        <v>0</v>
      </c>
      <c r="G65">
        <v>0</v>
      </c>
      <c r="H65">
        <v>0</v>
      </c>
      <c r="I65">
        <v>0</v>
      </c>
      <c r="J65">
        <v>8951</v>
      </c>
    </row>
    <row r="66" spans="1:10" x14ac:dyDescent="0.35">
      <c r="A66" t="s">
        <v>77</v>
      </c>
      <c r="B66">
        <v>0</v>
      </c>
      <c r="C66">
        <v>0</v>
      </c>
      <c r="D66">
        <v>90.2</v>
      </c>
      <c r="E66">
        <v>9.8000000000000007</v>
      </c>
      <c r="F66">
        <v>0</v>
      </c>
      <c r="G66">
        <v>0</v>
      </c>
      <c r="H66">
        <v>0</v>
      </c>
      <c r="I66">
        <v>0</v>
      </c>
      <c r="J66">
        <v>7499</v>
      </c>
    </row>
    <row r="67" spans="1:10" x14ac:dyDescent="0.35">
      <c r="A67" t="s">
        <v>78</v>
      </c>
      <c r="B67">
        <v>0</v>
      </c>
      <c r="C67">
        <v>0</v>
      </c>
      <c r="D67">
        <v>78.7</v>
      </c>
      <c r="E67">
        <v>21.3</v>
      </c>
      <c r="F67">
        <v>0</v>
      </c>
      <c r="G67">
        <v>0</v>
      </c>
      <c r="H67">
        <v>0</v>
      </c>
      <c r="I67">
        <v>0</v>
      </c>
      <c r="J67">
        <v>6775</v>
      </c>
    </row>
    <row r="68" spans="1:10" x14ac:dyDescent="0.35">
      <c r="A68" t="s">
        <v>79</v>
      </c>
      <c r="B68">
        <v>0</v>
      </c>
      <c r="C68">
        <v>0</v>
      </c>
      <c r="D68">
        <v>78.7</v>
      </c>
      <c r="E68">
        <v>21.3</v>
      </c>
      <c r="F68">
        <v>0</v>
      </c>
      <c r="G68">
        <v>0</v>
      </c>
      <c r="H68">
        <v>0</v>
      </c>
      <c r="I68">
        <v>0</v>
      </c>
      <c r="J68">
        <v>6920</v>
      </c>
    </row>
    <row r="69" spans="1:10" x14ac:dyDescent="0.35">
      <c r="A69" t="s">
        <v>80</v>
      </c>
      <c r="B69">
        <v>0</v>
      </c>
      <c r="C69">
        <v>0</v>
      </c>
      <c r="D69">
        <v>71.8</v>
      </c>
      <c r="E69">
        <v>28.2</v>
      </c>
      <c r="F69">
        <v>0</v>
      </c>
      <c r="G69">
        <v>0</v>
      </c>
      <c r="H69">
        <v>0</v>
      </c>
      <c r="I69">
        <v>0</v>
      </c>
      <c r="J69">
        <v>6105</v>
      </c>
    </row>
    <row r="70" spans="1:10" x14ac:dyDescent="0.35">
      <c r="A70" t="s">
        <v>81</v>
      </c>
      <c r="B70">
        <v>0</v>
      </c>
      <c r="C70">
        <v>0</v>
      </c>
      <c r="D70">
        <v>58.9</v>
      </c>
      <c r="E70">
        <v>41.1</v>
      </c>
      <c r="F70">
        <v>0</v>
      </c>
      <c r="G70">
        <v>0</v>
      </c>
      <c r="H70">
        <v>0</v>
      </c>
      <c r="I70">
        <v>0</v>
      </c>
      <c r="J70">
        <v>5928</v>
      </c>
    </row>
    <row r="71" spans="1:10" x14ac:dyDescent="0.35">
      <c r="A71" t="s">
        <v>82</v>
      </c>
      <c r="B71">
        <v>0</v>
      </c>
      <c r="C71">
        <v>0</v>
      </c>
      <c r="D71">
        <v>57.6</v>
      </c>
      <c r="E71">
        <v>42.4</v>
      </c>
      <c r="F71">
        <v>0</v>
      </c>
      <c r="G71">
        <v>0</v>
      </c>
      <c r="H71">
        <v>0</v>
      </c>
      <c r="I71">
        <v>0</v>
      </c>
      <c r="J71">
        <v>5904</v>
      </c>
    </row>
    <row r="72" spans="1:10" x14ac:dyDescent="0.35">
      <c r="A72" t="s">
        <v>83</v>
      </c>
      <c r="B72">
        <v>0</v>
      </c>
      <c r="C72">
        <v>0</v>
      </c>
      <c r="D72">
        <v>54.7</v>
      </c>
      <c r="E72">
        <v>45.3</v>
      </c>
      <c r="F72">
        <v>0</v>
      </c>
      <c r="G72">
        <v>0</v>
      </c>
      <c r="H72">
        <v>0</v>
      </c>
      <c r="I72">
        <v>0</v>
      </c>
      <c r="J72">
        <v>4457</v>
      </c>
    </row>
    <row r="73" spans="1:10" x14ac:dyDescent="0.35">
      <c r="A73" t="s">
        <v>84</v>
      </c>
      <c r="B73">
        <v>0</v>
      </c>
      <c r="C73">
        <v>0</v>
      </c>
      <c r="D73">
        <v>14.8</v>
      </c>
      <c r="E73">
        <v>83.1</v>
      </c>
      <c r="F73">
        <v>2.1</v>
      </c>
      <c r="G73">
        <v>0</v>
      </c>
      <c r="H73">
        <v>0</v>
      </c>
      <c r="I73">
        <v>0</v>
      </c>
      <c r="J73">
        <v>4851</v>
      </c>
    </row>
    <row r="74" spans="1:10" x14ac:dyDescent="0.35">
      <c r="A74" t="s">
        <v>85</v>
      </c>
      <c r="B74">
        <v>0</v>
      </c>
      <c r="C74">
        <v>0</v>
      </c>
      <c r="D74">
        <v>11.5</v>
      </c>
      <c r="E74">
        <v>77.8</v>
      </c>
      <c r="F74">
        <v>10.8</v>
      </c>
      <c r="G74">
        <v>0</v>
      </c>
      <c r="H74">
        <v>0</v>
      </c>
      <c r="I74">
        <v>0</v>
      </c>
      <c r="J74">
        <v>4843</v>
      </c>
    </row>
    <row r="75" spans="1:10" x14ac:dyDescent="0.35">
      <c r="A75" t="s">
        <v>86</v>
      </c>
      <c r="B75">
        <v>0</v>
      </c>
      <c r="C75">
        <v>0</v>
      </c>
      <c r="D75">
        <v>9.6999999999999993</v>
      </c>
      <c r="E75">
        <v>68.2</v>
      </c>
      <c r="F75">
        <v>22.1</v>
      </c>
      <c r="G75">
        <v>0</v>
      </c>
      <c r="H75">
        <v>0</v>
      </c>
      <c r="I75">
        <v>0</v>
      </c>
      <c r="J75">
        <v>6103</v>
      </c>
    </row>
    <row r="76" spans="1:10" x14ac:dyDescent="0.35">
      <c r="A76" t="s">
        <v>87</v>
      </c>
      <c r="B76">
        <v>0</v>
      </c>
      <c r="C76">
        <v>0</v>
      </c>
      <c r="D76">
        <v>9.1999999999999993</v>
      </c>
      <c r="E76">
        <v>41.2</v>
      </c>
      <c r="F76">
        <v>49.6</v>
      </c>
      <c r="G76">
        <v>0</v>
      </c>
      <c r="H76">
        <v>0</v>
      </c>
      <c r="I76">
        <v>0</v>
      </c>
      <c r="J76">
        <v>10433</v>
      </c>
    </row>
    <row r="77" spans="1:10" x14ac:dyDescent="0.35">
      <c r="A77" t="s">
        <v>88</v>
      </c>
      <c r="B77">
        <v>0</v>
      </c>
      <c r="C77">
        <v>0</v>
      </c>
      <c r="D77">
        <v>8</v>
      </c>
      <c r="E77">
        <v>43</v>
      </c>
      <c r="F77">
        <v>49</v>
      </c>
      <c r="G77">
        <v>0</v>
      </c>
      <c r="H77">
        <v>0</v>
      </c>
      <c r="I77">
        <v>0</v>
      </c>
      <c r="J77">
        <v>7387</v>
      </c>
    </row>
    <row r="78" spans="1:10" x14ac:dyDescent="0.35">
      <c r="A78" t="s">
        <v>89</v>
      </c>
      <c r="B78">
        <v>0</v>
      </c>
      <c r="C78">
        <v>0</v>
      </c>
      <c r="D78">
        <v>4</v>
      </c>
      <c r="E78">
        <v>26.4</v>
      </c>
      <c r="F78">
        <v>69.599999999999994</v>
      </c>
      <c r="G78">
        <v>0</v>
      </c>
      <c r="H78">
        <v>0</v>
      </c>
      <c r="I78">
        <v>0</v>
      </c>
      <c r="J78">
        <v>6311</v>
      </c>
    </row>
    <row r="79" spans="1:10" x14ac:dyDescent="0.35">
      <c r="A79" t="s">
        <v>90</v>
      </c>
      <c r="B79">
        <v>0</v>
      </c>
      <c r="C79">
        <v>0</v>
      </c>
      <c r="D79">
        <v>0.2</v>
      </c>
      <c r="E79">
        <v>0.8</v>
      </c>
      <c r="F79">
        <v>99.1</v>
      </c>
      <c r="G79">
        <v>0</v>
      </c>
      <c r="H79">
        <v>0</v>
      </c>
      <c r="I79">
        <v>0</v>
      </c>
      <c r="J79">
        <v>5982</v>
      </c>
    </row>
    <row r="80" spans="1:10" x14ac:dyDescent="0.35">
      <c r="A80" t="s">
        <v>91</v>
      </c>
      <c r="B80">
        <v>0</v>
      </c>
      <c r="C80">
        <v>0</v>
      </c>
      <c r="D80">
        <v>0</v>
      </c>
      <c r="E80">
        <v>0</v>
      </c>
      <c r="F80">
        <v>100</v>
      </c>
      <c r="G80">
        <v>0</v>
      </c>
      <c r="H80">
        <v>0</v>
      </c>
      <c r="I80">
        <v>0</v>
      </c>
      <c r="J80">
        <v>5805</v>
      </c>
    </row>
    <row r="81" spans="1:10" x14ac:dyDescent="0.35">
      <c r="A81" t="s">
        <v>92</v>
      </c>
      <c r="B81">
        <v>0</v>
      </c>
      <c r="C81">
        <v>0</v>
      </c>
      <c r="D81">
        <v>0</v>
      </c>
      <c r="E81">
        <v>0</v>
      </c>
      <c r="F81">
        <v>100</v>
      </c>
      <c r="G81">
        <v>0</v>
      </c>
      <c r="H81">
        <v>0</v>
      </c>
      <c r="I81">
        <v>0</v>
      </c>
      <c r="J81">
        <v>2227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1"/>
  <sheetViews>
    <sheetView tabSelected="1" workbookViewId="0">
      <pane ySplit="1" topLeftCell="A65" activePane="bottomLeft" state="frozen"/>
      <selection pane="bottomLeft" activeCell="N69" sqref="N69"/>
    </sheetView>
  </sheetViews>
  <sheetFormatPr defaultRowHeight="14.5" x14ac:dyDescent="0.35"/>
  <cols>
    <col min="3" max="3" width="13.1796875" bestFit="1" customWidth="1"/>
    <col min="5" max="5" width="11.7265625" bestFit="1" customWidth="1"/>
  </cols>
  <sheetData>
    <row r="1" spans="1:10" x14ac:dyDescent="0.35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35">
      <c r="A2" t="s">
        <v>13</v>
      </c>
      <c r="G2">
        <v>129.9</v>
      </c>
      <c r="H2">
        <v>132.1</v>
      </c>
      <c r="J2">
        <v>130.6</v>
      </c>
    </row>
    <row r="3" spans="1:10" x14ac:dyDescent="0.35">
      <c r="A3" t="s">
        <v>14</v>
      </c>
      <c r="G3">
        <v>131.6</v>
      </c>
      <c r="H3">
        <v>131.9</v>
      </c>
      <c r="J3">
        <v>131.69999999999999</v>
      </c>
    </row>
    <row r="4" spans="1:10" x14ac:dyDescent="0.35">
      <c r="A4" t="s">
        <v>15</v>
      </c>
      <c r="G4">
        <v>131.19999999999999</v>
      </c>
      <c r="H4">
        <v>131.5</v>
      </c>
      <c r="J4">
        <v>131.30000000000001</v>
      </c>
    </row>
    <row r="5" spans="1:10" x14ac:dyDescent="0.35">
      <c r="A5" t="s">
        <v>16</v>
      </c>
      <c r="G5">
        <v>130.80000000000001</v>
      </c>
      <c r="H5">
        <v>131.4</v>
      </c>
      <c r="J5">
        <v>131</v>
      </c>
    </row>
    <row r="6" spans="1:10" x14ac:dyDescent="0.35">
      <c r="A6" t="s">
        <v>17</v>
      </c>
      <c r="G6">
        <v>132.80000000000001</v>
      </c>
      <c r="H6">
        <v>134.1</v>
      </c>
      <c r="J6">
        <v>133.80000000000001</v>
      </c>
    </row>
    <row r="7" spans="1:10" x14ac:dyDescent="0.35">
      <c r="A7" t="s">
        <v>18</v>
      </c>
      <c r="G7">
        <v>134</v>
      </c>
      <c r="H7">
        <v>135.30000000000001</v>
      </c>
      <c r="J7">
        <v>135.1</v>
      </c>
    </row>
    <row r="8" spans="1:10" x14ac:dyDescent="0.35">
      <c r="A8" t="s">
        <v>19</v>
      </c>
      <c r="G8">
        <v>134.69999999999999</v>
      </c>
      <c r="H8">
        <v>135.6</v>
      </c>
      <c r="J8">
        <v>135.6</v>
      </c>
    </row>
    <row r="9" spans="1:10" x14ac:dyDescent="0.35">
      <c r="A9" t="s">
        <v>20</v>
      </c>
      <c r="G9">
        <v>130</v>
      </c>
      <c r="H9">
        <v>135.69999999999999</v>
      </c>
      <c r="J9">
        <v>135.69999999999999</v>
      </c>
    </row>
    <row r="10" spans="1:10" x14ac:dyDescent="0.35">
      <c r="A10" t="s">
        <v>21</v>
      </c>
      <c r="H10">
        <v>135.5</v>
      </c>
      <c r="J10">
        <v>135.5</v>
      </c>
    </row>
    <row r="11" spans="1:10" x14ac:dyDescent="0.35">
      <c r="A11" t="s">
        <v>22</v>
      </c>
      <c r="H11">
        <v>135.19999999999999</v>
      </c>
      <c r="J11">
        <v>135.19999999999999</v>
      </c>
    </row>
    <row r="12" spans="1:10" x14ac:dyDescent="0.35">
      <c r="A12" t="s">
        <v>23</v>
      </c>
      <c r="H12">
        <v>134.9</v>
      </c>
      <c r="J12">
        <v>134.9</v>
      </c>
    </row>
    <row r="13" spans="1:10" x14ac:dyDescent="0.35">
      <c r="A13" t="s">
        <v>24</v>
      </c>
      <c r="H13">
        <v>135.30000000000001</v>
      </c>
      <c r="J13">
        <v>135.30000000000001</v>
      </c>
    </row>
    <row r="14" spans="1:10" x14ac:dyDescent="0.35">
      <c r="A14" t="s">
        <v>25</v>
      </c>
      <c r="H14">
        <v>135.30000000000001</v>
      </c>
      <c r="J14">
        <v>135.30000000000001</v>
      </c>
    </row>
    <row r="15" spans="1:10" x14ac:dyDescent="0.35">
      <c r="A15" t="s">
        <v>26</v>
      </c>
      <c r="H15">
        <v>134.9</v>
      </c>
      <c r="J15">
        <v>134.9</v>
      </c>
    </row>
    <row r="16" spans="1:10" x14ac:dyDescent="0.35">
      <c r="A16" t="s">
        <v>27</v>
      </c>
      <c r="H16">
        <v>134.5</v>
      </c>
      <c r="J16">
        <v>134.5</v>
      </c>
    </row>
    <row r="17" spans="1:10" x14ac:dyDescent="0.35">
      <c r="A17" t="s">
        <v>28</v>
      </c>
      <c r="H17">
        <v>134.19999999999999</v>
      </c>
      <c r="J17">
        <v>134.19999999999999</v>
      </c>
    </row>
    <row r="18" spans="1:10" x14ac:dyDescent="0.35">
      <c r="A18" t="s">
        <v>29</v>
      </c>
      <c r="H18">
        <v>134.30000000000001</v>
      </c>
      <c r="J18">
        <v>134.30000000000001</v>
      </c>
    </row>
    <row r="19" spans="1:10" x14ac:dyDescent="0.35">
      <c r="A19" t="s">
        <v>30</v>
      </c>
      <c r="H19">
        <v>133.9</v>
      </c>
      <c r="J19">
        <v>133.9</v>
      </c>
    </row>
    <row r="20" spans="1:10" x14ac:dyDescent="0.35">
      <c r="A20" t="s">
        <v>31</v>
      </c>
      <c r="H20">
        <v>133.19999999999999</v>
      </c>
      <c r="J20">
        <v>133.19999999999999</v>
      </c>
    </row>
    <row r="21" spans="1:10" x14ac:dyDescent="0.35">
      <c r="A21" t="s">
        <v>32</v>
      </c>
      <c r="B21">
        <v>132.80000000000001</v>
      </c>
      <c r="H21">
        <v>134.80000000000001</v>
      </c>
      <c r="J21">
        <v>134.69999999999999</v>
      </c>
    </row>
    <row r="22" spans="1:10" x14ac:dyDescent="0.35">
      <c r="A22" t="s">
        <v>33</v>
      </c>
      <c r="B22">
        <v>133.19999999999999</v>
      </c>
      <c r="H22">
        <v>133.4</v>
      </c>
      <c r="J22">
        <v>133.30000000000001</v>
      </c>
    </row>
    <row r="23" spans="1:10" x14ac:dyDescent="0.35">
      <c r="A23" t="s">
        <v>34</v>
      </c>
      <c r="B23">
        <v>133</v>
      </c>
      <c r="H23">
        <v>133.19999999999999</v>
      </c>
      <c r="J23">
        <v>133.19999999999999</v>
      </c>
    </row>
    <row r="24" spans="1:10" x14ac:dyDescent="0.35">
      <c r="A24" t="s">
        <v>35</v>
      </c>
      <c r="B24">
        <v>131.80000000000001</v>
      </c>
      <c r="H24">
        <v>131.9</v>
      </c>
      <c r="J24">
        <v>131.9</v>
      </c>
    </row>
    <row r="25" spans="1:10" x14ac:dyDescent="0.35">
      <c r="A25" t="s">
        <v>36</v>
      </c>
      <c r="B25">
        <v>132.1</v>
      </c>
      <c r="H25">
        <v>131.80000000000001</v>
      </c>
      <c r="J25">
        <v>131.9</v>
      </c>
    </row>
    <row r="26" spans="1:10" x14ac:dyDescent="0.35">
      <c r="A26" t="s">
        <v>37</v>
      </c>
      <c r="B26">
        <v>132.19999999999999</v>
      </c>
      <c r="H26">
        <v>132.4</v>
      </c>
      <c r="J26">
        <v>132.30000000000001</v>
      </c>
    </row>
    <row r="27" spans="1:10" x14ac:dyDescent="0.35">
      <c r="A27" t="s">
        <v>38</v>
      </c>
      <c r="B27">
        <v>132.4</v>
      </c>
      <c r="H27">
        <v>132.5</v>
      </c>
      <c r="J27">
        <v>132.5</v>
      </c>
    </row>
    <row r="28" spans="1:10" x14ac:dyDescent="0.35">
      <c r="A28" t="s">
        <v>39</v>
      </c>
      <c r="B28">
        <v>133.4</v>
      </c>
      <c r="H28">
        <v>132.5</v>
      </c>
      <c r="J28">
        <v>133</v>
      </c>
    </row>
    <row r="29" spans="1:10" x14ac:dyDescent="0.35">
      <c r="A29" t="s">
        <v>40</v>
      </c>
      <c r="B29">
        <v>134.5</v>
      </c>
      <c r="H29">
        <v>132.30000000000001</v>
      </c>
      <c r="J29">
        <v>134.30000000000001</v>
      </c>
    </row>
    <row r="30" spans="1:10" x14ac:dyDescent="0.35">
      <c r="A30" t="s">
        <v>41</v>
      </c>
      <c r="B30">
        <v>135.30000000000001</v>
      </c>
      <c r="H30">
        <v>122</v>
      </c>
      <c r="J30">
        <v>135.30000000000001</v>
      </c>
    </row>
    <row r="31" spans="1:10" x14ac:dyDescent="0.35">
      <c r="A31" t="s">
        <v>42</v>
      </c>
      <c r="B31">
        <v>135.5</v>
      </c>
      <c r="J31">
        <v>135.5</v>
      </c>
    </row>
    <row r="32" spans="1:10" x14ac:dyDescent="0.35">
      <c r="A32" t="s">
        <v>43</v>
      </c>
      <c r="B32">
        <v>135.9</v>
      </c>
      <c r="J32">
        <v>135.9</v>
      </c>
    </row>
    <row r="33" spans="1:10" x14ac:dyDescent="0.35">
      <c r="A33" t="s">
        <v>44</v>
      </c>
      <c r="B33">
        <v>135.80000000000001</v>
      </c>
      <c r="J33">
        <v>135.80000000000001</v>
      </c>
    </row>
    <row r="34" spans="1:10" x14ac:dyDescent="0.35">
      <c r="A34" t="s">
        <v>45</v>
      </c>
      <c r="B34">
        <v>135.4</v>
      </c>
      <c r="J34">
        <v>135.4</v>
      </c>
    </row>
    <row r="35" spans="1:10" x14ac:dyDescent="0.35">
      <c r="A35" t="s">
        <v>46</v>
      </c>
      <c r="B35">
        <v>134.80000000000001</v>
      </c>
      <c r="J35">
        <v>134.80000000000001</v>
      </c>
    </row>
    <row r="36" spans="1:10" x14ac:dyDescent="0.35">
      <c r="A36" t="s">
        <v>47</v>
      </c>
      <c r="B36">
        <v>135.80000000000001</v>
      </c>
      <c r="J36">
        <v>135.80000000000001</v>
      </c>
    </row>
    <row r="37" spans="1:10" x14ac:dyDescent="0.35">
      <c r="A37" t="s">
        <v>48</v>
      </c>
      <c r="B37">
        <v>135.5</v>
      </c>
      <c r="J37">
        <v>135.5</v>
      </c>
    </row>
    <row r="38" spans="1:10" x14ac:dyDescent="0.35">
      <c r="A38" t="s">
        <v>49</v>
      </c>
      <c r="B38">
        <v>135.5</v>
      </c>
      <c r="J38">
        <v>135.5</v>
      </c>
    </row>
    <row r="39" spans="1:10" x14ac:dyDescent="0.35">
      <c r="A39" t="s">
        <v>50</v>
      </c>
      <c r="B39">
        <v>135.80000000000001</v>
      </c>
      <c r="J39">
        <v>135.80000000000001</v>
      </c>
    </row>
    <row r="40" spans="1:10" x14ac:dyDescent="0.35">
      <c r="A40" t="s">
        <v>51</v>
      </c>
      <c r="B40">
        <v>135.69999999999999</v>
      </c>
      <c r="J40">
        <v>135.69999999999999</v>
      </c>
    </row>
    <row r="41" spans="1:10" x14ac:dyDescent="0.35">
      <c r="A41" t="s">
        <v>52</v>
      </c>
      <c r="B41">
        <v>136.30000000000001</v>
      </c>
      <c r="J41">
        <v>136.30000000000001</v>
      </c>
    </row>
    <row r="42" spans="1:10" x14ac:dyDescent="0.35">
      <c r="A42" t="s">
        <v>53</v>
      </c>
      <c r="B42">
        <v>136.69999999999999</v>
      </c>
      <c r="J42">
        <v>136.69999999999999</v>
      </c>
    </row>
    <row r="43" spans="1:10" x14ac:dyDescent="0.35">
      <c r="A43" t="s">
        <v>54</v>
      </c>
      <c r="B43">
        <v>135.6</v>
      </c>
      <c r="J43">
        <v>135.6</v>
      </c>
    </row>
    <row r="44" spans="1:10" x14ac:dyDescent="0.35">
      <c r="A44" t="s">
        <v>55</v>
      </c>
      <c r="B44">
        <v>135.4</v>
      </c>
      <c r="J44">
        <v>135.4</v>
      </c>
    </row>
    <row r="45" spans="1:10" x14ac:dyDescent="0.35">
      <c r="A45" t="s">
        <v>56</v>
      </c>
      <c r="B45">
        <v>137.19999999999999</v>
      </c>
      <c r="J45">
        <v>137.19999999999999</v>
      </c>
    </row>
    <row r="46" spans="1:10" x14ac:dyDescent="0.35">
      <c r="A46" t="s">
        <v>57</v>
      </c>
      <c r="B46">
        <v>137.9</v>
      </c>
      <c r="C46">
        <v>138.80000000000001</v>
      </c>
      <c r="I46">
        <v>134</v>
      </c>
      <c r="J46">
        <v>137.9</v>
      </c>
    </row>
    <row r="47" spans="1:10" x14ac:dyDescent="0.35">
      <c r="A47" t="s">
        <v>58</v>
      </c>
      <c r="B47">
        <v>137.4</v>
      </c>
      <c r="C47">
        <v>138.4</v>
      </c>
      <c r="J47">
        <v>137.69999999999999</v>
      </c>
    </row>
    <row r="48" spans="1:10" x14ac:dyDescent="0.35">
      <c r="A48" t="s">
        <v>59</v>
      </c>
      <c r="B48">
        <v>136.69999999999999</v>
      </c>
      <c r="C48">
        <v>137.4</v>
      </c>
      <c r="J48">
        <v>137.1</v>
      </c>
    </row>
    <row r="49" spans="1:10" x14ac:dyDescent="0.35">
      <c r="A49" t="s">
        <v>60</v>
      </c>
      <c r="C49">
        <v>137.30000000000001</v>
      </c>
      <c r="J49">
        <v>137.30000000000001</v>
      </c>
    </row>
    <row r="50" spans="1:10" x14ac:dyDescent="0.35">
      <c r="A50" t="s">
        <v>61</v>
      </c>
      <c r="C50">
        <v>137.5</v>
      </c>
      <c r="J50">
        <v>137.5</v>
      </c>
    </row>
    <row r="51" spans="1:10" x14ac:dyDescent="0.35">
      <c r="A51" t="s">
        <v>62</v>
      </c>
      <c r="C51">
        <v>137.30000000000001</v>
      </c>
      <c r="J51">
        <v>137.30000000000001</v>
      </c>
    </row>
    <row r="52" spans="1:10" x14ac:dyDescent="0.35">
      <c r="A52" t="s">
        <v>63</v>
      </c>
      <c r="C52">
        <v>136.9</v>
      </c>
      <c r="J52">
        <v>136.9</v>
      </c>
    </row>
    <row r="53" spans="1:10" x14ac:dyDescent="0.35">
      <c r="A53" t="s">
        <v>64</v>
      </c>
      <c r="C53">
        <v>137.80000000000001</v>
      </c>
      <c r="J53">
        <v>137.80000000000001</v>
      </c>
    </row>
    <row r="54" spans="1:10" x14ac:dyDescent="0.35">
      <c r="A54" t="s">
        <v>65</v>
      </c>
      <c r="C54">
        <v>138.30000000000001</v>
      </c>
      <c r="J54">
        <v>138.30000000000001</v>
      </c>
    </row>
    <row r="55" spans="1:10" x14ac:dyDescent="0.35">
      <c r="A55" t="s">
        <v>66</v>
      </c>
      <c r="C55">
        <v>138.80000000000001</v>
      </c>
      <c r="J55">
        <v>138.80000000000001</v>
      </c>
    </row>
    <row r="56" spans="1:10" x14ac:dyDescent="0.35">
      <c r="A56" t="s">
        <v>67</v>
      </c>
      <c r="C56">
        <v>138.9</v>
      </c>
      <c r="J56">
        <v>138.9</v>
      </c>
    </row>
    <row r="57" spans="1:10" x14ac:dyDescent="0.35">
      <c r="A57" t="s">
        <v>68</v>
      </c>
      <c r="C57">
        <v>139.5</v>
      </c>
      <c r="J57">
        <v>139.5</v>
      </c>
    </row>
    <row r="58" spans="1:10" x14ac:dyDescent="0.35">
      <c r="A58" t="s">
        <v>69</v>
      </c>
      <c r="C58">
        <v>139.30000000000001</v>
      </c>
      <c r="J58">
        <v>139.30000000000001</v>
      </c>
    </row>
    <row r="59" spans="1:10" x14ac:dyDescent="0.35">
      <c r="A59" t="s">
        <v>70</v>
      </c>
      <c r="C59">
        <v>138.30000000000001</v>
      </c>
      <c r="J59">
        <v>138.30000000000001</v>
      </c>
    </row>
    <row r="60" spans="1:10" x14ac:dyDescent="0.35">
      <c r="A60" t="s">
        <v>71</v>
      </c>
      <c r="C60">
        <v>137.4</v>
      </c>
      <c r="J60">
        <v>137.4</v>
      </c>
    </row>
    <row r="61" spans="1:10" x14ac:dyDescent="0.35">
      <c r="A61" t="s">
        <v>72</v>
      </c>
      <c r="C61">
        <v>137</v>
      </c>
      <c r="D61">
        <v>137.19999999999999</v>
      </c>
      <c r="J61">
        <v>137.1</v>
      </c>
    </row>
    <row r="62" spans="1:10" x14ac:dyDescent="0.35">
      <c r="A62" t="s">
        <v>73</v>
      </c>
      <c r="C62">
        <v>135.5</v>
      </c>
      <c r="D62">
        <v>137.1</v>
      </c>
      <c r="I62">
        <v>146</v>
      </c>
      <c r="J62">
        <v>137.1</v>
      </c>
    </row>
    <row r="63" spans="1:10" x14ac:dyDescent="0.35">
      <c r="A63" t="s">
        <v>74</v>
      </c>
      <c r="D63">
        <v>137</v>
      </c>
      <c r="E63">
        <v>137.80000000000001</v>
      </c>
      <c r="J63">
        <v>137</v>
      </c>
    </row>
    <row r="64" spans="1:10" x14ac:dyDescent="0.35">
      <c r="A64" t="s">
        <v>75</v>
      </c>
      <c r="D64">
        <v>137.19999999999999</v>
      </c>
      <c r="E64">
        <v>138.4</v>
      </c>
      <c r="J64">
        <v>137.30000000000001</v>
      </c>
    </row>
    <row r="65" spans="1:10" x14ac:dyDescent="0.35">
      <c r="A65" t="s">
        <v>76</v>
      </c>
      <c r="D65">
        <v>138</v>
      </c>
      <c r="E65">
        <v>140.19999999999999</v>
      </c>
      <c r="J65">
        <v>138.1</v>
      </c>
    </row>
    <row r="66" spans="1:10" x14ac:dyDescent="0.35">
      <c r="A66" t="s">
        <v>77</v>
      </c>
      <c r="D66">
        <v>138.4</v>
      </c>
      <c r="E66">
        <v>141</v>
      </c>
      <c r="J66">
        <v>138.69999999999999</v>
      </c>
    </row>
    <row r="67" spans="1:10" x14ac:dyDescent="0.35">
      <c r="A67" t="s">
        <v>78</v>
      </c>
      <c r="D67">
        <v>138.19999999999999</v>
      </c>
      <c r="E67">
        <v>141.1</v>
      </c>
      <c r="J67">
        <v>138.9</v>
      </c>
    </row>
    <row r="68" spans="1:10" x14ac:dyDescent="0.35">
      <c r="A68" t="s">
        <v>79</v>
      </c>
      <c r="D68">
        <v>138.5</v>
      </c>
      <c r="E68">
        <v>141.30000000000001</v>
      </c>
      <c r="J68">
        <v>139.1</v>
      </c>
    </row>
    <row r="69" spans="1:10" x14ac:dyDescent="0.35">
      <c r="A69" t="s">
        <v>80</v>
      </c>
      <c r="D69">
        <v>137.9</v>
      </c>
      <c r="E69">
        <v>140.9</v>
      </c>
      <c r="J69">
        <v>138.80000000000001</v>
      </c>
    </row>
    <row r="70" spans="1:10" x14ac:dyDescent="0.35">
      <c r="A70" t="s">
        <v>81</v>
      </c>
      <c r="D70">
        <v>137.6</v>
      </c>
      <c r="E70">
        <v>141.1</v>
      </c>
      <c r="J70">
        <v>139.1</v>
      </c>
    </row>
    <row r="71" spans="1:10" x14ac:dyDescent="0.35">
      <c r="A71" t="s">
        <v>82</v>
      </c>
      <c r="D71">
        <v>137.80000000000001</v>
      </c>
      <c r="E71">
        <v>141</v>
      </c>
      <c r="J71">
        <v>139.19999999999999</v>
      </c>
    </row>
    <row r="72" spans="1:10" x14ac:dyDescent="0.35">
      <c r="A72" t="s">
        <v>83</v>
      </c>
      <c r="D72">
        <v>137.69999999999999</v>
      </c>
      <c r="E72">
        <v>141.30000000000001</v>
      </c>
      <c r="J72">
        <v>139.30000000000001</v>
      </c>
    </row>
    <row r="73" spans="1:10" x14ac:dyDescent="0.35">
      <c r="A73" t="s">
        <v>84</v>
      </c>
      <c r="D73">
        <v>136.30000000000001</v>
      </c>
      <c r="E73">
        <v>141.5</v>
      </c>
      <c r="F73">
        <v>143.6</v>
      </c>
      <c r="J73">
        <v>140.80000000000001</v>
      </c>
    </row>
    <row r="74" spans="1:10" x14ac:dyDescent="0.35">
      <c r="A74" t="s">
        <v>85</v>
      </c>
      <c r="D74">
        <v>137</v>
      </c>
      <c r="E74">
        <v>141.80000000000001</v>
      </c>
      <c r="F74">
        <v>142.80000000000001</v>
      </c>
      <c r="J74">
        <v>141.30000000000001</v>
      </c>
    </row>
    <row r="75" spans="1:10" x14ac:dyDescent="0.35">
      <c r="A75" t="s">
        <v>86</v>
      </c>
      <c r="D75">
        <v>137.19999999999999</v>
      </c>
      <c r="E75">
        <v>141.5</v>
      </c>
      <c r="F75">
        <v>142.4</v>
      </c>
      <c r="J75">
        <v>141.30000000000001</v>
      </c>
    </row>
    <row r="76" spans="1:10" x14ac:dyDescent="0.35">
      <c r="A76" t="s">
        <v>87</v>
      </c>
      <c r="D76">
        <v>137.30000000000001</v>
      </c>
      <c r="E76">
        <v>141.4</v>
      </c>
      <c r="F76">
        <v>142.1</v>
      </c>
      <c r="J76">
        <v>141.4</v>
      </c>
    </row>
    <row r="77" spans="1:10" x14ac:dyDescent="0.35">
      <c r="A77" t="s">
        <v>88</v>
      </c>
      <c r="D77">
        <v>137.69999999999999</v>
      </c>
      <c r="E77">
        <v>141.9</v>
      </c>
      <c r="F77">
        <v>142.4</v>
      </c>
      <c r="J77">
        <v>141.80000000000001</v>
      </c>
    </row>
    <row r="78" spans="1:10" x14ac:dyDescent="0.35">
      <c r="A78" t="s">
        <v>89</v>
      </c>
      <c r="D78">
        <v>137.5</v>
      </c>
      <c r="E78">
        <v>141.6</v>
      </c>
      <c r="F78">
        <v>142.4</v>
      </c>
      <c r="J78">
        <v>142</v>
      </c>
    </row>
    <row r="79" spans="1:10" x14ac:dyDescent="0.35">
      <c r="A79" t="s">
        <v>90</v>
      </c>
      <c r="D79">
        <v>136.69999999999999</v>
      </c>
      <c r="E79">
        <v>140.1</v>
      </c>
      <c r="F79">
        <v>142.5</v>
      </c>
      <c r="J79">
        <v>142.4</v>
      </c>
    </row>
    <row r="80" spans="1:10" x14ac:dyDescent="0.35">
      <c r="A80" t="s">
        <v>91</v>
      </c>
      <c r="F80">
        <v>142.5</v>
      </c>
      <c r="J80">
        <v>142.5</v>
      </c>
    </row>
    <row r="81" spans="1:10" x14ac:dyDescent="0.35">
      <c r="A81" t="s">
        <v>92</v>
      </c>
      <c r="F81">
        <v>142.9</v>
      </c>
      <c r="J81">
        <v>142.9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81"/>
  <sheetViews>
    <sheetView zoomScale="115" zoomScaleNormal="115" workbookViewId="0">
      <selection activeCell="P5" sqref="P5"/>
    </sheetView>
  </sheetViews>
  <sheetFormatPr defaultRowHeight="14.5" x14ac:dyDescent="0.35"/>
  <cols>
    <col min="2" max="3" width="13.1796875" customWidth="1"/>
    <col min="4" max="4" width="11.7265625" customWidth="1"/>
    <col min="5" max="6" width="11.7265625" bestFit="1" customWidth="1"/>
    <col min="7" max="11" width="13.54296875" customWidth="1"/>
    <col min="12" max="14" width="12" customWidth="1"/>
    <col min="15" max="16" width="12" bestFit="1" customWidth="1"/>
    <col min="17" max="18" width="9.7265625" hidden="1" customWidth="1"/>
    <col min="19" max="19" width="0" hidden="1" customWidth="1"/>
  </cols>
  <sheetData>
    <row r="1" spans="1:20" x14ac:dyDescent="0.35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98</v>
      </c>
      <c r="R1" t="s">
        <v>99</v>
      </c>
      <c r="S1" t="s">
        <v>100</v>
      </c>
      <c r="T1" t="s">
        <v>12</v>
      </c>
    </row>
    <row r="2" spans="1:20" x14ac:dyDescent="0.3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21.1</v>
      </c>
      <c r="H2">
        <v>39.200000000000003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27.9</v>
      </c>
      <c r="R2">
        <v>11.8</v>
      </c>
      <c r="S2">
        <v>0</v>
      </c>
      <c r="T2">
        <v>9390</v>
      </c>
    </row>
    <row r="3" spans="1:20" x14ac:dyDescent="0.3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0.1</v>
      </c>
      <c r="H3">
        <v>65.7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21.8</v>
      </c>
      <c r="R3">
        <v>12.4</v>
      </c>
      <c r="S3">
        <v>0</v>
      </c>
      <c r="T3">
        <v>10762</v>
      </c>
    </row>
    <row r="4" spans="1:20" x14ac:dyDescent="0.3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23</v>
      </c>
      <c r="R4">
        <v>16</v>
      </c>
      <c r="S4">
        <v>0</v>
      </c>
      <c r="T4">
        <v>15986</v>
      </c>
    </row>
    <row r="5" spans="1:20" x14ac:dyDescent="0.35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49.5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28.9</v>
      </c>
      <c r="R5">
        <v>21.6</v>
      </c>
      <c r="S5">
        <v>0</v>
      </c>
      <c r="T5">
        <v>7335</v>
      </c>
    </row>
    <row r="6" spans="1:20" x14ac:dyDescent="0.3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59.5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30.5</v>
      </c>
      <c r="S6">
        <v>0</v>
      </c>
      <c r="T6">
        <v>10833</v>
      </c>
    </row>
    <row r="7" spans="1:20" x14ac:dyDescent="0.3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58.8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6.4</v>
      </c>
      <c r="R7">
        <v>32.799999999999997</v>
      </c>
      <c r="S7">
        <v>0</v>
      </c>
      <c r="T7">
        <v>12857</v>
      </c>
    </row>
    <row r="8" spans="1:20" x14ac:dyDescent="0.3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57.1</v>
      </c>
      <c r="I8">
        <v>6.1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</v>
      </c>
      <c r="R8">
        <v>36.5</v>
      </c>
      <c r="S8">
        <v>0</v>
      </c>
      <c r="T8">
        <v>13543</v>
      </c>
    </row>
    <row r="9" spans="1:20" x14ac:dyDescent="0.3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50.5</v>
      </c>
      <c r="I9">
        <v>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36.4</v>
      </c>
      <c r="S9">
        <v>0</v>
      </c>
      <c r="T9">
        <v>11648</v>
      </c>
    </row>
    <row r="10" spans="1:20" x14ac:dyDescent="0.3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32.4</v>
      </c>
      <c r="I10">
        <v>31.6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36</v>
      </c>
      <c r="S10">
        <v>0</v>
      </c>
      <c r="T10">
        <v>10253</v>
      </c>
    </row>
    <row r="11" spans="1:20" x14ac:dyDescent="0.3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30.9</v>
      </c>
      <c r="I11">
        <v>31.8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37.299999999999997</v>
      </c>
      <c r="S11">
        <v>0</v>
      </c>
      <c r="T11">
        <v>9579</v>
      </c>
    </row>
    <row r="12" spans="1:20" x14ac:dyDescent="0.3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1.4</v>
      </c>
      <c r="I12">
        <v>65.3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33.4</v>
      </c>
      <c r="S12">
        <v>0</v>
      </c>
      <c r="T12">
        <v>9339</v>
      </c>
    </row>
    <row r="13" spans="1:20" x14ac:dyDescent="0.3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61.4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38.5</v>
      </c>
      <c r="S13">
        <v>0</v>
      </c>
      <c r="T13">
        <v>8500</v>
      </c>
    </row>
    <row r="14" spans="1:20" x14ac:dyDescent="0.3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63.1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36.9</v>
      </c>
      <c r="S14">
        <v>0</v>
      </c>
      <c r="T14">
        <v>10002</v>
      </c>
    </row>
    <row r="15" spans="1:20" x14ac:dyDescent="0.3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64.599999999999994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35.4</v>
      </c>
      <c r="S15">
        <v>0</v>
      </c>
      <c r="T15">
        <v>10480</v>
      </c>
    </row>
    <row r="16" spans="1:20" x14ac:dyDescent="0.3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60.8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39.200000000000003</v>
      </c>
      <c r="S16">
        <v>0</v>
      </c>
      <c r="T16">
        <v>21337</v>
      </c>
    </row>
    <row r="17" spans="1:20" x14ac:dyDescent="0.3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52.3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47.7</v>
      </c>
      <c r="S17">
        <v>0</v>
      </c>
      <c r="T17">
        <v>16653</v>
      </c>
    </row>
    <row r="18" spans="1:20" x14ac:dyDescent="0.3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49.4</v>
      </c>
      <c r="S18">
        <v>0</v>
      </c>
      <c r="T18">
        <v>11972</v>
      </c>
    </row>
    <row r="19" spans="1:20" x14ac:dyDescent="0.3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49.8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50.2</v>
      </c>
      <c r="S19">
        <v>0</v>
      </c>
      <c r="T19">
        <v>11513</v>
      </c>
    </row>
    <row r="20" spans="1:20" x14ac:dyDescent="0.3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54.5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45.5</v>
      </c>
      <c r="S20">
        <v>0</v>
      </c>
      <c r="T20">
        <v>10966</v>
      </c>
    </row>
    <row r="21" spans="1:20" x14ac:dyDescent="0.35">
      <c r="A21" t="s">
        <v>32</v>
      </c>
      <c r="B21">
        <v>1.5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51.9</v>
      </c>
      <c r="J21">
        <v>3.1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43.6</v>
      </c>
      <c r="S21">
        <v>0</v>
      </c>
      <c r="T21">
        <v>10339</v>
      </c>
    </row>
    <row r="22" spans="1:20" x14ac:dyDescent="0.35">
      <c r="A22" t="s">
        <v>33</v>
      </c>
      <c r="B22">
        <v>5.2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49.5</v>
      </c>
      <c r="J22">
        <v>5.3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40</v>
      </c>
      <c r="S22">
        <v>0</v>
      </c>
      <c r="T22">
        <v>9660</v>
      </c>
    </row>
    <row r="23" spans="1:20" x14ac:dyDescent="0.35">
      <c r="A23" t="s">
        <v>34</v>
      </c>
      <c r="B23">
        <v>5.0999999999999996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49.6</v>
      </c>
      <c r="J23">
        <v>5.4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39.9</v>
      </c>
      <c r="S23">
        <v>0</v>
      </c>
      <c r="T23">
        <v>8804</v>
      </c>
    </row>
    <row r="24" spans="1:20" x14ac:dyDescent="0.35">
      <c r="A24" t="s">
        <v>35</v>
      </c>
      <c r="B24">
        <v>8.3000000000000007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46.5</v>
      </c>
      <c r="J24">
        <v>10.3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34.9</v>
      </c>
      <c r="S24">
        <v>0</v>
      </c>
      <c r="T24">
        <v>8761</v>
      </c>
    </row>
    <row r="25" spans="1:20" x14ac:dyDescent="0.35">
      <c r="A25" t="s">
        <v>36</v>
      </c>
      <c r="B25">
        <v>13.3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38.799999999999997</v>
      </c>
      <c r="J25">
        <v>11.8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36.1</v>
      </c>
      <c r="S25">
        <v>0</v>
      </c>
      <c r="T25">
        <v>7438</v>
      </c>
    </row>
    <row r="26" spans="1:20" x14ac:dyDescent="0.35">
      <c r="A26" t="s">
        <v>37</v>
      </c>
      <c r="B26">
        <v>12.3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40.700000000000003</v>
      </c>
      <c r="J26">
        <v>16.3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30.7</v>
      </c>
      <c r="S26">
        <v>0</v>
      </c>
      <c r="T26">
        <v>6983</v>
      </c>
    </row>
    <row r="27" spans="1:20" x14ac:dyDescent="0.35">
      <c r="A27" t="s">
        <v>38</v>
      </c>
      <c r="B27">
        <v>18.8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28.8</v>
      </c>
      <c r="J27">
        <v>33.200000000000003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19.2</v>
      </c>
      <c r="S27">
        <v>0</v>
      </c>
      <c r="T27">
        <v>8473</v>
      </c>
    </row>
    <row r="28" spans="1:20" x14ac:dyDescent="0.35">
      <c r="A28" t="s">
        <v>39</v>
      </c>
      <c r="B28">
        <v>23.9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26.4</v>
      </c>
      <c r="J28">
        <v>30.8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18.8</v>
      </c>
      <c r="S28">
        <v>0</v>
      </c>
      <c r="T28">
        <v>12215</v>
      </c>
    </row>
    <row r="29" spans="1:20" x14ac:dyDescent="0.35">
      <c r="A29" t="s">
        <v>40</v>
      </c>
      <c r="B29">
        <v>41.3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</v>
      </c>
      <c r="J29">
        <v>54.3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3.7</v>
      </c>
      <c r="S29">
        <v>0</v>
      </c>
      <c r="T29">
        <v>8958</v>
      </c>
    </row>
    <row r="30" spans="1:20" x14ac:dyDescent="0.35">
      <c r="A30" t="s">
        <v>41</v>
      </c>
      <c r="B30">
        <v>40.200000000000003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59.7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9007</v>
      </c>
    </row>
    <row r="31" spans="1:20" x14ac:dyDescent="0.35">
      <c r="A31" t="s">
        <v>42</v>
      </c>
      <c r="B31">
        <v>42.7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57.2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8019</v>
      </c>
    </row>
    <row r="32" spans="1:20" x14ac:dyDescent="0.35">
      <c r="A32" t="s">
        <v>43</v>
      </c>
      <c r="B32">
        <v>40.799999999999997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59.2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7171</v>
      </c>
    </row>
    <row r="33" spans="1:20" x14ac:dyDescent="0.35">
      <c r="A33" t="s">
        <v>44</v>
      </c>
      <c r="B33">
        <v>43.8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56.2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7767</v>
      </c>
    </row>
    <row r="34" spans="1:20" x14ac:dyDescent="0.35">
      <c r="A34" t="s">
        <v>45</v>
      </c>
      <c r="B34">
        <v>45.7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54.3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7185</v>
      </c>
    </row>
    <row r="35" spans="1:20" x14ac:dyDescent="0.35">
      <c r="A35" t="s">
        <v>46</v>
      </c>
      <c r="B35">
        <v>45.5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54.5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6350</v>
      </c>
    </row>
    <row r="36" spans="1:20" x14ac:dyDescent="0.35">
      <c r="A36" t="s">
        <v>47</v>
      </c>
      <c r="B36">
        <v>40.6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59.4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5694</v>
      </c>
    </row>
    <row r="37" spans="1:20" x14ac:dyDescent="0.35">
      <c r="A37" t="s">
        <v>48</v>
      </c>
      <c r="B37">
        <v>41.4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58.6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5376</v>
      </c>
    </row>
    <row r="38" spans="1:20" x14ac:dyDescent="0.35">
      <c r="A38" t="s">
        <v>49</v>
      </c>
      <c r="B38">
        <v>40.700000000000003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59.3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5702</v>
      </c>
    </row>
    <row r="39" spans="1:20" x14ac:dyDescent="0.35">
      <c r="A39" t="s">
        <v>50</v>
      </c>
      <c r="B39">
        <v>31.9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68.099999999999994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6831</v>
      </c>
    </row>
    <row r="40" spans="1:20" x14ac:dyDescent="0.35">
      <c r="A40" t="s">
        <v>51</v>
      </c>
      <c r="B40">
        <v>39.1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60.9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10410</v>
      </c>
    </row>
    <row r="41" spans="1:20" x14ac:dyDescent="0.35">
      <c r="A41" t="s">
        <v>52</v>
      </c>
      <c r="B41">
        <v>39.9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60.1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6843</v>
      </c>
    </row>
    <row r="42" spans="1:20" x14ac:dyDescent="0.35">
      <c r="A42" t="s">
        <v>53</v>
      </c>
      <c r="B42">
        <v>37.4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62.6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7291</v>
      </c>
    </row>
    <row r="43" spans="1:20" x14ac:dyDescent="0.35">
      <c r="A43" t="s">
        <v>54</v>
      </c>
      <c r="B43">
        <v>42.4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57.6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7007</v>
      </c>
    </row>
    <row r="44" spans="1:20" x14ac:dyDescent="0.35">
      <c r="A44" t="s">
        <v>55</v>
      </c>
      <c r="B44">
        <v>41.3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58.7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6884</v>
      </c>
    </row>
    <row r="45" spans="1:20" x14ac:dyDescent="0.35">
      <c r="A45" t="s">
        <v>56</v>
      </c>
      <c r="B45">
        <v>42.1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57.9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7858</v>
      </c>
    </row>
    <row r="46" spans="1:20" x14ac:dyDescent="0.35">
      <c r="A46" t="s">
        <v>57</v>
      </c>
      <c r="B46">
        <v>37.299999999999997</v>
      </c>
      <c r="C46">
        <v>3.8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58.9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7347</v>
      </c>
    </row>
    <row r="47" spans="1:20" x14ac:dyDescent="0.35">
      <c r="A47" t="s">
        <v>58</v>
      </c>
      <c r="B47">
        <v>34.700000000000003</v>
      </c>
      <c r="C47">
        <v>11.3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7822</v>
      </c>
    </row>
    <row r="48" spans="1:20" x14ac:dyDescent="0.35">
      <c r="A48" t="s">
        <v>59</v>
      </c>
      <c r="B48">
        <v>18.5</v>
      </c>
      <c r="C48">
        <v>37.6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43.9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7845</v>
      </c>
    </row>
    <row r="49" spans="1:20" x14ac:dyDescent="0.35">
      <c r="A49" t="s">
        <v>60</v>
      </c>
      <c r="B49">
        <v>0</v>
      </c>
      <c r="C49">
        <v>57.3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42.7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6747</v>
      </c>
    </row>
    <row r="50" spans="1:20" x14ac:dyDescent="0.35">
      <c r="A50" t="s">
        <v>61</v>
      </c>
      <c r="B50">
        <v>0</v>
      </c>
      <c r="C50">
        <v>54.5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45.5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8190</v>
      </c>
    </row>
    <row r="51" spans="1:20" x14ac:dyDescent="0.35">
      <c r="A51" t="s">
        <v>62</v>
      </c>
      <c r="B51">
        <v>0</v>
      </c>
      <c r="C51">
        <v>44.7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55.3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12539</v>
      </c>
    </row>
    <row r="52" spans="1:20" x14ac:dyDescent="0.35">
      <c r="A52" t="s">
        <v>63</v>
      </c>
      <c r="B52">
        <v>0</v>
      </c>
      <c r="C52">
        <v>57.1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42.9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17466</v>
      </c>
    </row>
    <row r="53" spans="1:20" x14ac:dyDescent="0.35">
      <c r="A53" t="s">
        <v>64</v>
      </c>
      <c r="B53">
        <v>0</v>
      </c>
      <c r="C53">
        <v>61.8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38.200000000000003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12534</v>
      </c>
    </row>
    <row r="54" spans="1:20" x14ac:dyDescent="0.35">
      <c r="A54" t="s">
        <v>65</v>
      </c>
      <c r="B54">
        <v>0</v>
      </c>
      <c r="C54">
        <v>58.8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41.2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11336</v>
      </c>
    </row>
    <row r="55" spans="1:20" x14ac:dyDescent="0.35">
      <c r="A55" t="s">
        <v>66</v>
      </c>
      <c r="B55">
        <v>0</v>
      </c>
      <c r="C55">
        <v>57.1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42.9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10243</v>
      </c>
    </row>
    <row r="56" spans="1:20" x14ac:dyDescent="0.35">
      <c r="A56" t="s">
        <v>67</v>
      </c>
      <c r="B56">
        <v>0</v>
      </c>
      <c r="C56">
        <v>55.7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44.3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10499</v>
      </c>
    </row>
    <row r="57" spans="1:20" x14ac:dyDescent="0.35">
      <c r="A57" t="s">
        <v>68</v>
      </c>
      <c r="B57">
        <v>0</v>
      </c>
      <c r="C57">
        <v>50.3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49.7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9093</v>
      </c>
    </row>
    <row r="58" spans="1:20" x14ac:dyDescent="0.35">
      <c r="A58" t="s">
        <v>69</v>
      </c>
      <c r="B58">
        <v>0</v>
      </c>
      <c r="C58">
        <v>54.4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45.6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8444</v>
      </c>
    </row>
    <row r="59" spans="1:20" x14ac:dyDescent="0.35">
      <c r="A59" t="s">
        <v>70</v>
      </c>
      <c r="B59">
        <v>0</v>
      </c>
      <c r="C59">
        <v>59.1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38.700000000000003</v>
      </c>
      <c r="K59">
        <v>2.2000000000000002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9533</v>
      </c>
    </row>
    <row r="60" spans="1:20" x14ac:dyDescent="0.35">
      <c r="A60" t="s">
        <v>71</v>
      </c>
      <c r="B60">
        <v>0</v>
      </c>
      <c r="C60">
        <v>52.9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33.1</v>
      </c>
      <c r="K60">
        <v>14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8898</v>
      </c>
    </row>
    <row r="61" spans="1:20" x14ac:dyDescent="0.35">
      <c r="A61" t="s">
        <v>72</v>
      </c>
      <c r="B61">
        <v>0</v>
      </c>
      <c r="C61">
        <v>35</v>
      </c>
      <c r="D61">
        <v>21.4</v>
      </c>
      <c r="E61">
        <v>0</v>
      </c>
      <c r="F61">
        <v>0</v>
      </c>
      <c r="G61">
        <v>0</v>
      </c>
      <c r="H61">
        <v>0</v>
      </c>
      <c r="I61">
        <v>0</v>
      </c>
      <c r="J61">
        <v>9.6</v>
      </c>
      <c r="K61">
        <v>5.5</v>
      </c>
      <c r="L61">
        <v>15</v>
      </c>
      <c r="M61">
        <v>13.6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9296</v>
      </c>
    </row>
    <row r="62" spans="1:20" x14ac:dyDescent="0.35">
      <c r="A62" t="s">
        <v>73</v>
      </c>
      <c r="B62">
        <v>0</v>
      </c>
      <c r="C62">
        <v>0.7</v>
      </c>
      <c r="D62">
        <v>60.7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16.5</v>
      </c>
      <c r="M62">
        <v>22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10397</v>
      </c>
    </row>
    <row r="63" spans="1:20" x14ac:dyDescent="0.35">
      <c r="A63" t="s">
        <v>74</v>
      </c>
      <c r="B63">
        <v>0</v>
      </c>
      <c r="C63">
        <v>0</v>
      </c>
      <c r="D63">
        <v>52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22.5</v>
      </c>
      <c r="M63">
        <v>24.8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12637</v>
      </c>
    </row>
    <row r="64" spans="1:20" x14ac:dyDescent="0.35">
      <c r="A64" t="s">
        <v>75</v>
      </c>
      <c r="B64">
        <v>0</v>
      </c>
      <c r="C64">
        <v>0</v>
      </c>
      <c r="D64">
        <v>55.8</v>
      </c>
      <c r="E64">
        <v>2.8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20.100000000000001</v>
      </c>
      <c r="M64">
        <v>21.3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20878</v>
      </c>
    </row>
    <row r="65" spans="1:20" x14ac:dyDescent="0.35">
      <c r="A65" t="s">
        <v>76</v>
      </c>
      <c r="B65">
        <v>0</v>
      </c>
      <c r="C65">
        <v>0</v>
      </c>
      <c r="D65">
        <v>58.5</v>
      </c>
      <c r="E65">
        <v>3.6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18.100000000000001</v>
      </c>
      <c r="M65">
        <v>19.8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14414</v>
      </c>
    </row>
    <row r="66" spans="1:20" x14ac:dyDescent="0.35">
      <c r="A66" t="s">
        <v>77</v>
      </c>
      <c r="B66">
        <v>0</v>
      </c>
      <c r="C66">
        <v>0</v>
      </c>
      <c r="D66">
        <v>53.3</v>
      </c>
      <c r="E66">
        <v>5.8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19.600000000000001</v>
      </c>
      <c r="M66">
        <v>21.3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12693</v>
      </c>
    </row>
    <row r="67" spans="1:20" x14ac:dyDescent="0.35">
      <c r="A67" t="s">
        <v>78</v>
      </c>
      <c r="B67">
        <v>0</v>
      </c>
      <c r="C67">
        <v>0</v>
      </c>
      <c r="D67">
        <v>45.9</v>
      </c>
      <c r="E67">
        <v>12.4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19.899999999999999</v>
      </c>
      <c r="M67">
        <v>21.8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11615</v>
      </c>
    </row>
    <row r="68" spans="1:20" x14ac:dyDescent="0.35">
      <c r="A68" t="s">
        <v>79</v>
      </c>
      <c r="B68">
        <v>0</v>
      </c>
      <c r="C68">
        <v>0</v>
      </c>
      <c r="D68">
        <v>46.5</v>
      </c>
      <c r="E68">
        <v>12.6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19.8</v>
      </c>
      <c r="M68">
        <v>21.1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11720</v>
      </c>
    </row>
    <row r="69" spans="1:20" x14ac:dyDescent="0.35">
      <c r="A69" t="s">
        <v>80</v>
      </c>
      <c r="B69">
        <v>0</v>
      </c>
      <c r="C69">
        <v>0</v>
      </c>
      <c r="D69">
        <v>39.200000000000003</v>
      </c>
      <c r="E69">
        <v>15.4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21.8</v>
      </c>
      <c r="M69">
        <v>23.5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11168</v>
      </c>
    </row>
    <row r="70" spans="1:20" x14ac:dyDescent="0.35">
      <c r="A70" t="s">
        <v>81</v>
      </c>
      <c r="B70">
        <v>0</v>
      </c>
      <c r="C70">
        <v>0</v>
      </c>
      <c r="D70">
        <v>30.6</v>
      </c>
      <c r="E70">
        <v>21.4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21.5</v>
      </c>
      <c r="M70">
        <v>26.5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11408</v>
      </c>
    </row>
    <row r="71" spans="1:20" x14ac:dyDescent="0.35">
      <c r="A71" t="s">
        <v>82</v>
      </c>
      <c r="B71">
        <v>0</v>
      </c>
      <c r="C71">
        <v>0</v>
      </c>
      <c r="D71">
        <v>31.6</v>
      </c>
      <c r="E71">
        <v>23.3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21.9</v>
      </c>
      <c r="M71">
        <v>23.2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10751</v>
      </c>
    </row>
    <row r="72" spans="1:20" x14ac:dyDescent="0.35">
      <c r="A72" t="s">
        <v>83</v>
      </c>
      <c r="B72">
        <v>0</v>
      </c>
      <c r="C72">
        <v>0</v>
      </c>
      <c r="D72">
        <v>28.2</v>
      </c>
      <c r="E72">
        <v>23.3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23.5</v>
      </c>
      <c r="M72">
        <v>24.9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8650</v>
      </c>
    </row>
    <row r="73" spans="1:20" x14ac:dyDescent="0.35">
      <c r="A73" t="s">
        <v>84</v>
      </c>
      <c r="B73">
        <v>0</v>
      </c>
      <c r="C73">
        <v>0</v>
      </c>
      <c r="D73">
        <v>7.6</v>
      </c>
      <c r="E73">
        <v>42.9</v>
      </c>
      <c r="F73">
        <v>1.1000000000000001</v>
      </c>
      <c r="G73">
        <v>0</v>
      </c>
      <c r="H73">
        <v>0</v>
      </c>
      <c r="I73">
        <v>0</v>
      </c>
      <c r="J73">
        <v>0</v>
      </c>
      <c r="K73">
        <v>0</v>
      </c>
      <c r="L73">
        <v>4.2</v>
      </c>
      <c r="M73">
        <v>41.8</v>
      </c>
      <c r="N73">
        <v>0</v>
      </c>
      <c r="O73">
        <v>2.2999999999999998</v>
      </c>
      <c r="P73">
        <v>0</v>
      </c>
      <c r="Q73">
        <v>0</v>
      </c>
      <c r="R73">
        <v>0</v>
      </c>
      <c r="S73">
        <v>0</v>
      </c>
      <c r="T73">
        <v>9402</v>
      </c>
    </row>
    <row r="74" spans="1:20" x14ac:dyDescent="0.35">
      <c r="A74" t="s">
        <v>85</v>
      </c>
      <c r="B74">
        <v>0</v>
      </c>
      <c r="C74">
        <v>0</v>
      </c>
      <c r="D74">
        <v>5.5</v>
      </c>
      <c r="E74">
        <v>37.1</v>
      </c>
      <c r="F74">
        <v>5.0999999999999996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45.4</v>
      </c>
      <c r="N74">
        <v>0.3</v>
      </c>
      <c r="O74">
        <v>6.5</v>
      </c>
      <c r="P74">
        <v>0</v>
      </c>
      <c r="Q74">
        <v>0</v>
      </c>
      <c r="R74">
        <v>0</v>
      </c>
      <c r="S74">
        <v>0</v>
      </c>
      <c r="T74">
        <v>10142</v>
      </c>
    </row>
    <row r="75" spans="1:20" x14ac:dyDescent="0.35">
      <c r="A75" t="s">
        <v>86</v>
      </c>
      <c r="B75">
        <v>0</v>
      </c>
      <c r="C75">
        <v>0</v>
      </c>
      <c r="D75">
        <v>4.5</v>
      </c>
      <c r="E75">
        <v>31.9</v>
      </c>
      <c r="F75">
        <v>10.3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32.6</v>
      </c>
      <c r="N75">
        <v>15.1</v>
      </c>
      <c r="O75">
        <v>5.6</v>
      </c>
      <c r="P75">
        <v>0</v>
      </c>
      <c r="Q75">
        <v>0</v>
      </c>
      <c r="R75">
        <v>0</v>
      </c>
      <c r="S75">
        <v>0</v>
      </c>
      <c r="T75">
        <v>13063</v>
      </c>
    </row>
    <row r="76" spans="1:20" x14ac:dyDescent="0.35">
      <c r="A76" t="s">
        <v>87</v>
      </c>
      <c r="B76">
        <v>0</v>
      </c>
      <c r="C76">
        <v>0</v>
      </c>
      <c r="D76">
        <v>4.5999999999999996</v>
      </c>
      <c r="E76">
        <v>20.399999999999999</v>
      </c>
      <c r="F76">
        <v>24.6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19.5</v>
      </c>
      <c r="N76">
        <v>25.7</v>
      </c>
      <c r="O76">
        <v>5.2</v>
      </c>
      <c r="P76">
        <v>0</v>
      </c>
      <c r="Q76">
        <v>0</v>
      </c>
      <c r="R76">
        <v>0</v>
      </c>
      <c r="S76">
        <v>0</v>
      </c>
      <c r="T76">
        <v>21051</v>
      </c>
    </row>
    <row r="77" spans="1:20" x14ac:dyDescent="0.35">
      <c r="A77" t="s">
        <v>88</v>
      </c>
      <c r="B77">
        <v>0</v>
      </c>
      <c r="C77">
        <v>0</v>
      </c>
      <c r="D77">
        <v>4.4000000000000004</v>
      </c>
      <c r="E77">
        <v>23.7</v>
      </c>
      <c r="F77">
        <v>27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5.3</v>
      </c>
      <c r="N77">
        <v>34.700000000000003</v>
      </c>
      <c r="O77">
        <v>5</v>
      </c>
      <c r="P77">
        <v>0</v>
      </c>
      <c r="Q77">
        <v>0</v>
      </c>
      <c r="R77">
        <v>0</v>
      </c>
      <c r="S77">
        <v>0</v>
      </c>
      <c r="T77">
        <v>13431</v>
      </c>
    </row>
    <row r="78" spans="1:20" x14ac:dyDescent="0.35">
      <c r="A78" t="s">
        <v>89</v>
      </c>
      <c r="B78">
        <v>0</v>
      </c>
      <c r="C78">
        <v>0</v>
      </c>
      <c r="D78">
        <v>2</v>
      </c>
      <c r="E78">
        <v>13.6</v>
      </c>
      <c r="F78">
        <v>35.9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40.6</v>
      </c>
      <c r="O78">
        <v>7.8</v>
      </c>
      <c r="P78">
        <v>0</v>
      </c>
      <c r="Q78">
        <v>0</v>
      </c>
      <c r="R78">
        <v>0</v>
      </c>
      <c r="S78">
        <v>0</v>
      </c>
      <c r="T78">
        <v>12230</v>
      </c>
    </row>
    <row r="79" spans="1:20" x14ac:dyDescent="0.35">
      <c r="A79" t="s">
        <v>90</v>
      </c>
      <c r="B79">
        <v>0</v>
      </c>
      <c r="C79">
        <v>0</v>
      </c>
      <c r="D79">
        <v>0.1</v>
      </c>
      <c r="E79">
        <v>0.4</v>
      </c>
      <c r="F79">
        <v>48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40.200000000000003</v>
      </c>
      <c r="O79">
        <v>11.4</v>
      </c>
      <c r="P79">
        <v>0</v>
      </c>
      <c r="Q79">
        <v>0</v>
      </c>
      <c r="R79">
        <v>0</v>
      </c>
      <c r="S79">
        <v>0</v>
      </c>
      <c r="T79">
        <v>12354</v>
      </c>
    </row>
    <row r="80" spans="1:20" x14ac:dyDescent="0.35">
      <c r="A80" t="s">
        <v>91</v>
      </c>
      <c r="B80">
        <v>0</v>
      </c>
      <c r="C80">
        <v>0</v>
      </c>
      <c r="D80">
        <v>0</v>
      </c>
      <c r="E80">
        <v>0</v>
      </c>
      <c r="F80">
        <v>48.4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40.299999999999997</v>
      </c>
      <c r="O80">
        <v>11.3</v>
      </c>
      <c r="P80">
        <v>0</v>
      </c>
      <c r="Q80">
        <v>0</v>
      </c>
      <c r="R80">
        <v>0</v>
      </c>
      <c r="S80">
        <v>0</v>
      </c>
      <c r="T80">
        <v>12003</v>
      </c>
    </row>
    <row r="81" spans="1:20" x14ac:dyDescent="0.35">
      <c r="A81" t="s">
        <v>92</v>
      </c>
      <c r="B81">
        <v>0</v>
      </c>
      <c r="C81">
        <v>0</v>
      </c>
      <c r="D81">
        <v>0</v>
      </c>
      <c r="E81">
        <v>0</v>
      </c>
      <c r="F81">
        <v>46.4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42.1</v>
      </c>
      <c r="O81">
        <v>11.5</v>
      </c>
      <c r="P81">
        <v>0.1</v>
      </c>
      <c r="Q81">
        <v>0</v>
      </c>
      <c r="R81">
        <v>0</v>
      </c>
      <c r="S81">
        <v>0</v>
      </c>
      <c r="T81">
        <v>4804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F4A7-14E8-4357-AC51-C944D011A0B6}">
  <dimension ref="A1:T81"/>
  <sheetViews>
    <sheetView zoomScale="69" zoomScaleNormal="69" workbookViewId="0">
      <selection activeCell="E9" sqref="E9"/>
    </sheetView>
  </sheetViews>
  <sheetFormatPr defaultRowHeight="14.5" x14ac:dyDescent="0.35"/>
  <cols>
    <col min="2" max="3" width="12" bestFit="1" customWidth="1"/>
    <col min="5" max="5" width="12.1796875" bestFit="1" customWidth="1"/>
    <col min="6" max="6" width="8.7265625" style="1"/>
  </cols>
  <sheetData>
    <row r="1" spans="1:20" x14ac:dyDescent="0.35">
      <c r="A1" t="s">
        <v>0</v>
      </c>
      <c r="B1" t="s">
        <v>96</v>
      </c>
      <c r="C1" t="s">
        <v>97</v>
      </c>
      <c r="D1" t="s">
        <v>10</v>
      </c>
      <c r="E1" t="s">
        <v>11</v>
      </c>
      <c r="G1" t="s">
        <v>1</v>
      </c>
      <c r="H1" t="s">
        <v>94</v>
      </c>
      <c r="I1" t="s">
        <v>95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12</v>
      </c>
      <c r="Q1" t="s">
        <v>0</v>
      </c>
      <c r="R1" t="s">
        <v>102</v>
      </c>
      <c r="S1" t="s">
        <v>103</v>
      </c>
      <c r="T1" t="s">
        <v>104</v>
      </c>
    </row>
    <row r="2" spans="1:20" x14ac:dyDescent="0.35">
      <c r="A2" t="s">
        <v>13</v>
      </c>
      <c r="B2">
        <v>0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9390</v>
      </c>
      <c r="Q2" t="s">
        <v>13</v>
      </c>
      <c r="R2">
        <f>SUM(B2:E2)</f>
        <v>0</v>
      </c>
      <c r="S2">
        <f>SUM(G2:N2)</f>
        <v>0</v>
      </c>
      <c r="T2">
        <f>SUM(R2:S2)</f>
        <v>0</v>
      </c>
    </row>
    <row r="3" spans="1:20" x14ac:dyDescent="0.35">
      <c r="A3" t="s">
        <v>14</v>
      </c>
      <c r="B3">
        <v>0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10762</v>
      </c>
      <c r="Q3" t="s">
        <v>14</v>
      </c>
      <c r="R3">
        <f t="shared" ref="R3:R66" si="0">SUM(B3:E3)</f>
        <v>0</v>
      </c>
      <c r="S3">
        <f t="shared" ref="S3:S66" si="1">SUM(G3:N3)</f>
        <v>0</v>
      </c>
      <c r="T3">
        <f t="shared" ref="T3:T66" si="2">SUM(R3:S3)</f>
        <v>0</v>
      </c>
    </row>
    <row r="4" spans="1:20" x14ac:dyDescent="0.35">
      <c r="A4" t="s">
        <v>15</v>
      </c>
      <c r="B4">
        <v>0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15986</v>
      </c>
      <c r="Q4" t="s">
        <v>15</v>
      </c>
      <c r="R4">
        <f t="shared" si="0"/>
        <v>0</v>
      </c>
      <c r="S4">
        <f t="shared" si="1"/>
        <v>0</v>
      </c>
      <c r="T4">
        <f t="shared" si="2"/>
        <v>0</v>
      </c>
    </row>
    <row r="5" spans="1:20" x14ac:dyDescent="0.35">
      <c r="A5" t="s">
        <v>16</v>
      </c>
      <c r="B5">
        <v>0</v>
      </c>
      <c r="C5">
        <v>0</v>
      </c>
      <c r="D5">
        <v>0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7335</v>
      </c>
      <c r="Q5" t="s">
        <v>16</v>
      </c>
      <c r="R5">
        <f t="shared" si="0"/>
        <v>0</v>
      </c>
      <c r="S5">
        <f t="shared" si="1"/>
        <v>0</v>
      </c>
      <c r="T5">
        <f t="shared" si="2"/>
        <v>0</v>
      </c>
    </row>
    <row r="6" spans="1:20" x14ac:dyDescent="0.35">
      <c r="A6" t="s">
        <v>17</v>
      </c>
      <c r="B6">
        <v>0</v>
      </c>
      <c r="C6">
        <v>0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10833</v>
      </c>
      <c r="Q6" t="s">
        <v>17</v>
      </c>
      <c r="R6">
        <f t="shared" si="0"/>
        <v>0</v>
      </c>
      <c r="S6">
        <f t="shared" si="1"/>
        <v>0</v>
      </c>
      <c r="T6">
        <f t="shared" si="2"/>
        <v>0</v>
      </c>
    </row>
    <row r="7" spans="1:20" x14ac:dyDescent="0.35">
      <c r="A7" t="s">
        <v>18</v>
      </c>
      <c r="B7">
        <v>0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12857</v>
      </c>
      <c r="Q7" t="s">
        <v>18</v>
      </c>
      <c r="R7">
        <f t="shared" si="0"/>
        <v>0</v>
      </c>
      <c r="S7">
        <f t="shared" si="1"/>
        <v>0</v>
      </c>
      <c r="T7">
        <f t="shared" si="2"/>
        <v>0</v>
      </c>
    </row>
    <row r="8" spans="1:20" x14ac:dyDescent="0.35">
      <c r="A8" t="s">
        <v>19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13543</v>
      </c>
      <c r="Q8" t="s">
        <v>19</v>
      </c>
      <c r="R8">
        <f t="shared" si="0"/>
        <v>0</v>
      </c>
      <c r="S8">
        <f t="shared" si="1"/>
        <v>0</v>
      </c>
      <c r="T8">
        <f t="shared" si="2"/>
        <v>0</v>
      </c>
    </row>
    <row r="9" spans="1:20" x14ac:dyDescent="0.35">
      <c r="A9" t="s">
        <v>20</v>
      </c>
      <c r="B9">
        <v>0</v>
      </c>
      <c r="C9">
        <v>0</v>
      </c>
      <c r="D9">
        <v>0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11648</v>
      </c>
      <c r="Q9" t="s">
        <v>20</v>
      </c>
      <c r="R9">
        <f t="shared" si="0"/>
        <v>0</v>
      </c>
      <c r="S9">
        <f t="shared" si="1"/>
        <v>0</v>
      </c>
      <c r="T9">
        <f t="shared" si="2"/>
        <v>0</v>
      </c>
    </row>
    <row r="10" spans="1:20" x14ac:dyDescent="0.35">
      <c r="A10" t="s">
        <v>21</v>
      </c>
      <c r="B10">
        <v>0</v>
      </c>
      <c r="C10">
        <v>0</v>
      </c>
      <c r="D10">
        <v>0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10253</v>
      </c>
      <c r="Q10" t="s">
        <v>21</v>
      </c>
      <c r="R10">
        <f t="shared" si="0"/>
        <v>0</v>
      </c>
      <c r="S10">
        <f t="shared" si="1"/>
        <v>0</v>
      </c>
      <c r="T10">
        <f t="shared" si="2"/>
        <v>0</v>
      </c>
    </row>
    <row r="11" spans="1:20" x14ac:dyDescent="0.35">
      <c r="A11" t="s">
        <v>22</v>
      </c>
      <c r="B11">
        <v>0</v>
      </c>
      <c r="C11">
        <v>0</v>
      </c>
      <c r="D11">
        <v>0</v>
      </c>
      <c r="E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9579</v>
      </c>
      <c r="Q11" t="s">
        <v>22</v>
      </c>
      <c r="R11">
        <f t="shared" si="0"/>
        <v>0</v>
      </c>
      <c r="S11">
        <f t="shared" si="1"/>
        <v>0</v>
      </c>
      <c r="T11">
        <f t="shared" si="2"/>
        <v>0</v>
      </c>
    </row>
    <row r="12" spans="1:20" x14ac:dyDescent="0.35">
      <c r="A12" t="s">
        <v>23</v>
      </c>
      <c r="B12">
        <v>0</v>
      </c>
      <c r="C12">
        <v>0</v>
      </c>
      <c r="D12">
        <v>0</v>
      </c>
      <c r="E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9339</v>
      </c>
      <c r="Q12" t="s">
        <v>23</v>
      </c>
      <c r="R12">
        <f t="shared" si="0"/>
        <v>0</v>
      </c>
      <c r="S12">
        <f t="shared" si="1"/>
        <v>0</v>
      </c>
      <c r="T12">
        <f t="shared" si="2"/>
        <v>0</v>
      </c>
    </row>
    <row r="13" spans="1:20" x14ac:dyDescent="0.35">
      <c r="A13" t="s">
        <v>24</v>
      </c>
      <c r="B13">
        <v>0</v>
      </c>
      <c r="C13">
        <v>0</v>
      </c>
      <c r="D13">
        <v>0</v>
      </c>
      <c r="E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8500</v>
      </c>
      <c r="Q13" t="s">
        <v>24</v>
      </c>
      <c r="R13">
        <f t="shared" si="0"/>
        <v>0</v>
      </c>
      <c r="S13">
        <f t="shared" si="1"/>
        <v>0</v>
      </c>
      <c r="T13">
        <f t="shared" si="2"/>
        <v>0</v>
      </c>
    </row>
    <row r="14" spans="1:20" x14ac:dyDescent="0.35">
      <c r="A14" t="s">
        <v>25</v>
      </c>
      <c r="B14">
        <v>0</v>
      </c>
      <c r="C14">
        <v>0</v>
      </c>
      <c r="D14">
        <v>0</v>
      </c>
      <c r="E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10002</v>
      </c>
      <c r="Q14" t="s">
        <v>25</v>
      </c>
      <c r="R14">
        <f t="shared" si="0"/>
        <v>0</v>
      </c>
      <c r="S14">
        <f t="shared" si="1"/>
        <v>0</v>
      </c>
      <c r="T14">
        <f t="shared" si="2"/>
        <v>0</v>
      </c>
    </row>
    <row r="15" spans="1:20" x14ac:dyDescent="0.35">
      <c r="A15" t="s">
        <v>26</v>
      </c>
      <c r="B15">
        <v>0</v>
      </c>
      <c r="C15">
        <v>0</v>
      </c>
      <c r="D15">
        <v>0</v>
      </c>
      <c r="E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10480</v>
      </c>
      <c r="Q15" t="s">
        <v>26</v>
      </c>
      <c r="R15">
        <f t="shared" si="0"/>
        <v>0</v>
      </c>
      <c r="S15">
        <f t="shared" si="1"/>
        <v>0</v>
      </c>
      <c r="T15">
        <f t="shared" si="2"/>
        <v>0</v>
      </c>
    </row>
    <row r="16" spans="1:20" x14ac:dyDescent="0.35">
      <c r="A16" t="s">
        <v>27</v>
      </c>
      <c r="B16">
        <v>0</v>
      </c>
      <c r="C16">
        <v>0</v>
      </c>
      <c r="D16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21337</v>
      </c>
      <c r="Q16" t="s">
        <v>27</v>
      </c>
      <c r="R16">
        <f t="shared" si="0"/>
        <v>0</v>
      </c>
      <c r="S16">
        <f t="shared" si="1"/>
        <v>0</v>
      </c>
      <c r="T16">
        <f t="shared" si="2"/>
        <v>0</v>
      </c>
    </row>
    <row r="17" spans="1:20" x14ac:dyDescent="0.35">
      <c r="A17" t="s">
        <v>28</v>
      </c>
      <c r="B17">
        <v>0</v>
      </c>
      <c r="C17">
        <v>0</v>
      </c>
      <c r="D17">
        <v>0</v>
      </c>
      <c r="E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16653</v>
      </c>
      <c r="Q17" t="s">
        <v>28</v>
      </c>
      <c r="R17">
        <f t="shared" si="0"/>
        <v>0</v>
      </c>
      <c r="S17">
        <f t="shared" si="1"/>
        <v>0</v>
      </c>
      <c r="T17">
        <f t="shared" si="2"/>
        <v>0</v>
      </c>
    </row>
    <row r="18" spans="1:20" x14ac:dyDescent="0.35">
      <c r="A18" t="s">
        <v>29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11972</v>
      </c>
      <c r="Q18" t="s">
        <v>29</v>
      </c>
      <c r="R18">
        <f t="shared" si="0"/>
        <v>0</v>
      </c>
      <c r="S18">
        <f t="shared" si="1"/>
        <v>0</v>
      </c>
      <c r="T18">
        <f t="shared" si="2"/>
        <v>0</v>
      </c>
    </row>
    <row r="19" spans="1:20" x14ac:dyDescent="0.35">
      <c r="A19" t="s">
        <v>30</v>
      </c>
      <c r="B19">
        <v>0</v>
      </c>
      <c r="C19">
        <v>0</v>
      </c>
      <c r="D19">
        <v>0</v>
      </c>
      <c r="E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11513</v>
      </c>
      <c r="Q19" t="s">
        <v>30</v>
      </c>
      <c r="R19">
        <f t="shared" si="0"/>
        <v>0</v>
      </c>
      <c r="S19">
        <f t="shared" si="1"/>
        <v>0</v>
      </c>
      <c r="T19">
        <f t="shared" si="2"/>
        <v>0</v>
      </c>
    </row>
    <row r="20" spans="1:20" x14ac:dyDescent="0.35">
      <c r="A20" t="s">
        <v>31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10966</v>
      </c>
      <c r="Q20" t="s">
        <v>31</v>
      </c>
      <c r="R20">
        <f t="shared" si="0"/>
        <v>0</v>
      </c>
      <c r="S20">
        <f t="shared" si="1"/>
        <v>0</v>
      </c>
      <c r="T20">
        <f t="shared" si="2"/>
        <v>0</v>
      </c>
    </row>
    <row r="21" spans="1:20" x14ac:dyDescent="0.35">
      <c r="A21" t="s">
        <v>32</v>
      </c>
      <c r="B21">
        <v>0</v>
      </c>
      <c r="C21">
        <v>0</v>
      </c>
      <c r="D21">
        <v>0</v>
      </c>
      <c r="E21">
        <v>0</v>
      </c>
      <c r="G21">
        <v>1.5</v>
      </c>
      <c r="H21">
        <v>0</v>
      </c>
      <c r="I21">
        <v>0</v>
      </c>
      <c r="J21">
        <v>3.1</v>
      </c>
      <c r="K21">
        <v>0</v>
      </c>
      <c r="L21">
        <v>0</v>
      </c>
      <c r="M21">
        <v>0</v>
      </c>
      <c r="N21">
        <v>0</v>
      </c>
      <c r="O21">
        <v>10339</v>
      </c>
      <c r="Q21" t="s">
        <v>32</v>
      </c>
      <c r="R21">
        <f t="shared" si="0"/>
        <v>0</v>
      </c>
      <c r="S21">
        <f t="shared" si="1"/>
        <v>4.5999999999999996</v>
      </c>
      <c r="T21">
        <f t="shared" si="2"/>
        <v>4.5999999999999996</v>
      </c>
    </row>
    <row r="22" spans="1:20" x14ac:dyDescent="0.35">
      <c r="A22" t="s">
        <v>33</v>
      </c>
      <c r="B22">
        <v>0</v>
      </c>
      <c r="C22">
        <v>0</v>
      </c>
      <c r="D22">
        <v>0</v>
      </c>
      <c r="E22">
        <v>0</v>
      </c>
      <c r="G22">
        <v>5.2</v>
      </c>
      <c r="H22">
        <v>0</v>
      </c>
      <c r="I22">
        <v>0</v>
      </c>
      <c r="J22">
        <v>5.3</v>
      </c>
      <c r="K22">
        <v>0</v>
      </c>
      <c r="L22">
        <v>0</v>
      </c>
      <c r="M22">
        <v>0</v>
      </c>
      <c r="N22">
        <v>0</v>
      </c>
      <c r="O22">
        <v>9660</v>
      </c>
      <c r="Q22" t="s">
        <v>33</v>
      </c>
      <c r="R22">
        <f t="shared" si="0"/>
        <v>0</v>
      </c>
      <c r="S22">
        <f t="shared" si="1"/>
        <v>10.5</v>
      </c>
      <c r="T22">
        <f t="shared" si="2"/>
        <v>10.5</v>
      </c>
    </row>
    <row r="23" spans="1:20" x14ac:dyDescent="0.35">
      <c r="A23" t="s">
        <v>34</v>
      </c>
      <c r="B23">
        <v>0</v>
      </c>
      <c r="C23">
        <v>0</v>
      </c>
      <c r="D23">
        <v>0</v>
      </c>
      <c r="E23">
        <v>0</v>
      </c>
      <c r="G23">
        <v>5.0999999999999996</v>
      </c>
      <c r="H23">
        <v>0</v>
      </c>
      <c r="I23">
        <v>0</v>
      </c>
      <c r="J23">
        <v>5.4</v>
      </c>
      <c r="K23">
        <v>0</v>
      </c>
      <c r="L23">
        <v>0</v>
      </c>
      <c r="M23">
        <v>0</v>
      </c>
      <c r="N23">
        <v>0</v>
      </c>
      <c r="O23">
        <v>8804</v>
      </c>
      <c r="Q23" t="s">
        <v>34</v>
      </c>
      <c r="R23">
        <f t="shared" si="0"/>
        <v>0</v>
      </c>
      <c r="S23">
        <f t="shared" si="1"/>
        <v>10.5</v>
      </c>
      <c r="T23">
        <f t="shared" si="2"/>
        <v>10.5</v>
      </c>
    </row>
    <row r="24" spans="1:20" x14ac:dyDescent="0.35">
      <c r="A24" t="s">
        <v>35</v>
      </c>
      <c r="B24">
        <v>0</v>
      </c>
      <c r="C24">
        <v>0</v>
      </c>
      <c r="D24">
        <v>0</v>
      </c>
      <c r="E24">
        <v>0</v>
      </c>
      <c r="G24">
        <v>8.3000000000000007</v>
      </c>
      <c r="H24">
        <v>0</v>
      </c>
      <c r="I24">
        <v>0</v>
      </c>
      <c r="J24">
        <v>10.3</v>
      </c>
      <c r="K24">
        <v>0</v>
      </c>
      <c r="L24">
        <v>0</v>
      </c>
      <c r="M24">
        <v>0</v>
      </c>
      <c r="N24">
        <v>0</v>
      </c>
      <c r="O24">
        <v>8761</v>
      </c>
      <c r="Q24" t="s">
        <v>35</v>
      </c>
      <c r="R24">
        <f t="shared" si="0"/>
        <v>0</v>
      </c>
      <c r="S24">
        <f t="shared" si="1"/>
        <v>18.600000000000001</v>
      </c>
      <c r="T24">
        <f t="shared" si="2"/>
        <v>18.600000000000001</v>
      </c>
    </row>
    <row r="25" spans="1:20" x14ac:dyDescent="0.35">
      <c r="A25" t="s">
        <v>36</v>
      </c>
      <c r="B25">
        <v>0</v>
      </c>
      <c r="C25">
        <v>0</v>
      </c>
      <c r="D25">
        <v>0</v>
      </c>
      <c r="E25">
        <v>0</v>
      </c>
      <c r="G25">
        <v>13.3</v>
      </c>
      <c r="H25">
        <v>0</v>
      </c>
      <c r="I25">
        <v>0</v>
      </c>
      <c r="J25">
        <v>11.8</v>
      </c>
      <c r="K25">
        <v>0</v>
      </c>
      <c r="L25">
        <v>0</v>
      </c>
      <c r="M25">
        <v>0</v>
      </c>
      <c r="N25">
        <v>0</v>
      </c>
      <c r="O25">
        <v>7438</v>
      </c>
      <c r="Q25" t="s">
        <v>36</v>
      </c>
      <c r="R25">
        <f t="shared" si="0"/>
        <v>0</v>
      </c>
      <c r="S25">
        <f t="shared" si="1"/>
        <v>25.1</v>
      </c>
      <c r="T25">
        <f t="shared" si="2"/>
        <v>25.1</v>
      </c>
    </row>
    <row r="26" spans="1:20" x14ac:dyDescent="0.35">
      <c r="A26" t="s">
        <v>37</v>
      </c>
      <c r="B26">
        <v>0</v>
      </c>
      <c r="C26">
        <v>0</v>
      </c>
      <c r="D26">
        <v>0</v>
      </c>
      <c r="E26">
        <v>0</v>
      </c>
      <c r="G26">
        <v>12.3</v>
      </c>
      <c r="H26">
        <v>0</v>
      </c>
      <c r="I26">
        <v>0</v>
      </c>
      <c r="J26">
        <v>16.3</v>
      </c>
      <c r="K26">
        <v>0</v>
      </c>
      <c r="L26">
        <v>0</v>
      </c>
      <c r="M26">
        <v>0</v>
      </c>
      <c r="N26">
        <v>0</v>
      </c>
      <c r="O26">
        <v>6983</v>
      </c>
      <c r="Q26" t="s">
        <v>37</v>
      </c>
      <c r="R26">
        <f t="shared" si="0"/>
        <v>0</v>
      </c>
      <c r="S26">
        <f t="shared" si="1"/>
        <v>28.6</v>
      </c>
      <c r="T26">
        <f t="shared" si="2"/>
        <v>28.6</v>
      </c>
    </row>
    <row r="27" spans="1:20" x14ac:dyDescent="0.35">
      <c r="A27" t="s">
        <v>38</v>
      </c>
      <c r="B27">
        <v>0</v>
      </c>
      <c r="C27">
        <v>0</v>
      </c>
      <c r="D27">
        <v>0</v>
      </c>
      <c r="E27">
        <v>0</v>
      </c>
      <c r="G27">
        <v>18.8</v>
      </c>
      <c r="H27">
        <v>0</v>
      </c>
      <c r="I27">
        <v>0</v>
      </c>
      <c r="J27">
        <v>33.200000000000003</v>
      </c>
      <c r="K27">
        <v>0</v>
      </c>
      <c r="L27">
        <v>0</v>
      </c>
      <c r="M27">
        <v>0</v>
      </c>
      <c r="N27">
        <v>0</v>
      </c>
      <c r="O27">
        <v>8473</v>
      </c>
      <c r="Q27" t="s">
        <v>38</v>
      </c>
      <c r="R27">
        <f t="shared" si="0"/>
        <v>0</v>
      </c>
      <c r="S27">
        <f t="shared" si="1"/>
        <v>52</v>
      </c>
      <c r="T27">
        <f t="shared" si="2"/>
        <v>52</v>
      </c>
    </row>
    <row r="28" spans="1:20" x14ac:dyDescent="0.35">
      <c r="A28" t="s">
        <v>39</v>
      </c>
      <c r="B28">
        <v>0</v>
      </c>
      <c r="C28">
        <v>0</v>
      </c>
      <c r="D28">
        <v>0</v>
      </c>
      <c r="E28">
        <v>0</v>
      </c>
      <c r="G28">
        <v>23.9</v>
      </c>
      <c r="H28">
        <v>0</v>
      </c>
      <c r="I28">
        <v>0</v>
      </c>
      <c r="J28">
        <v>30.8</v>
      </c>
      <c r="K28">
        <v>0</v>
      </c>
      <c r="L28">
        <v>0</v>
      </c>
      <c r="M28">
        <v>0</v>
      </c>
      <c r="N28">
        <v>0</v>
      </c>
      <c r="O28">
        <v>12215</v>
      </c>
      <c r="Q28" t="s">
        <v>39</v>
      </c>
      <c r="R28">
        <f t="shared" si="0"/>
        <v>0</v>
      </c>
      <c r="S28">
        <f t="shared" si="1"/>
        <v>54.7</v>
      </c>
      <c r="T28">
        <f t="shared" si="2"/>
        <v>54.7</v>
      </c>
    </row>
    <row r="29" spans="1:20" x14ac:dyDescent="0.35">
      <c r="A29" t="s">
        <v>40</v>
      </c>
      <c r="B29">
        <v>0</v>
      </c>
      <c r="C29">
        <v>0</v>
      </c>
      <c r="D29">
        <v>0</v>
      </c>
      <c r="E29">
        <v>0</v>
      </c>
      <c r="G29">
        <v>41.3</v>
      </c>
      <c r="H29">
        <v>0</v>
      </c>
      <c r="I29">
        <v>0</v>
      </c>
      <c r="J29">
        <v>54.3</v>
      </c>
      <c r="K29">
        <v>0</v>
      </c>
      <c r="L29">
        <v>0</v>
      </c>
      <c r="M29">
        <v>0</v>
      </c>
      <c r="N29">
        <v>0</v>
      </c>
      <c r="O29">
        <v>8958</v>
      </c>
      <c r="Q29" t="s">
        <v>40</v>
      </c>
      <c r="R29">
        <f t="shared" si="0"/>
        <v>0</v>
      </c>
      <c r="S29">
        <f t="shared" si="1"/>
        <v>95.6</v>
      </c>
      <c r="T29">
        <f t="shared" si="2"/>
        <v>95.6</v>
      </c>
    </row>
    <row r="30" spans="1:20" x14ac:dyDescent="0.35">
      <c r="A30" t="s">
        <v>41</v>
      </c>
      <c r="B30">
        <v>0</v>
      </c>
      <c r="C30">
        <v>0</v>
      </c>
      <c r="D30">
        <v>0</v>
      </c>
      <c r="E30">
        <v>0</v>
      </c>
      <c r="G30">
        <v>40.200000000000003</v>
      </c>
      <c r="H30">
        <v>0</v>
      </c>
      <c r="I30">
        <v>0</v>
      </c>
      <c r="J30">
        <v>59.7</v>
      </c>
      <c r="K30">
        <v>0</v>
      </c>
      <c r="L30">
        <v>0</v>
      </c>
      <c r="M30">
        <v>0</v>
      </c>
      <c r="N30">
        <v>0</v>
      </c>
      <c r="O30">
        <v>9007</v>
      </c>
      <c r="Q30" t="s">
        <v>41</v>
      </c>
      <c r="R30">
        <f t="shared" si="0"/>
        <v>0</v>
      </c>
      <c r="S30">
        <f t="shared" si="1"/>
        <v>99.9</v>
      </c>
      <c r="T30">
        <f t="shared" si="2"/>
        <v>99.9</v>
      </c>
    </row>
    <row r="31" spans="1:20" x14ac:dyDescent="0.35">
      <c r="A31" t="s">
        <v>42</v>
      </c>
      <c r="B31">
        <v>0</v>
      </c>
      <c r="C31">
        <v>0</v>
      </c>
      <c r="D31">
        <v>0</v>
      </c>
      <c r="E31">
        <v>0</v>
      </c>
      <c r="G31">
        <v>42.7</v>
      </c>
      <c r="H31">
        <v>0</v>
      </c>
      <c r="I31">
        <v>0</v>
      </c>
      <c r="J31">
        <v>57.2</v>
      </c>
      <c r="K31">
        <v>0</v>
      </c>
      <c r="L31">
        <v>0</v>
      </c>
      <c r="M31">
        <v>0</v>
      </c>
      <c r="N31">
        <v>0</v>
      </c>
      <c r="O31">
        <v>8019</v>
      </c>
      <c r="Q31" t="s">
        <v>42</v>
      </c>
      <c r="R31">
        <f t="shared" si="0"/>
        <v>0</v>
      </c>
      <c r="S31">
        <f t="shared" si="1"/>
        <v>99.9</v>
      </c>
      <c r="T31">
        <f t="shared" si="2"/>
        <v>99.9</v>
      </c>
    </row>
    <row r="32" spans="1:20" x14ac:dyDescent="0.35">
      <c r="A32" t="s">
        <v>43</v>
      </c>
      <c r="B32">
        <v>0</v>
      </c>
      <c r="C32">
        <v>0</v>
      </c>
      <c r="D32">
        <v>0</v>
      </c>
      <c r="E32">
        <v>0</v>
      </c>
      <c r="G32">
        <v>40.799999999999997</v>
      </c>
      <c r="H32">
        <v>0</v>
      </c>
      <c r="I32">
        <v>0</v>
      </c>
      <c r="J32">
        <v>59.2</v>
      </c>
      <c r="K32">
        <v>0</v>
      </c>
      <c r="L32">
        <v>0</v>
      </c>
      <c r="M32">
        <v>0</v>
      </c>
      <c r="N32">
        <v>0</v>
      </c>
      <c r="O32">
        <v>7171</v>
      </c>
      <c r="Q32" t="s">
        <v>43</v>
      </c>
      <c r="R32">
        <f t="shared" si="0"/>
        <v>0</v>
      </c>
      <c r="S32">
        <f t="shared" si="1"/>
        <v>100</v>
      </c>
      <c r="T32">
        <f t="shared" si="2"/>
        <v>100</v>
      </c>
    </row>
    <row r="33" spans="1:20" x14ac:dyDescent="0.35">
      <c r="A33" t="s">
        <v>44</v>
      </c>
      <c r="B33">
        <v>0</v>
      </c>
      <c r="C33">
        <v>0</v>
      </c>
      <c r="D33">
        <v>0</v>
      </c>
      <c r="E33">
        <v>0</v>
      </c>
      <c r="G33">
        <v>43.8</v>
      </c>
      <c r="H33">
        <v>0</v>
      </c>
      <c r="I33">
        <v>0</v>
      </c>
      <c r="J33">
        <v>56.2</v>
      </c>
      <c r="K33">
        <v>0</v>
      </c>
      <c r="L33">
        <v>0</v>
      </c>
      <c r="M33">
        <v>0</v>
      </c>
      <c r="N33">
        <v>0</v>
      </c>
      <c r="O33">
        <v>7767</v>
      </c>
      <c r="Q33" t="s">
        <v>44</v>
      </c>
      <c r="R33">
        <f t="shared" si="0"/>
        <v>0</v>
      </c>
      <c r="S33">
        <f t="shared" si="1"/>
        <v>100</v>
      </c>
      <c r="T33">
        <f t="shared" si="2"/>
        <v>100</v>
      </c>
    </row>
    <row r="34" spans="1:20" x14ac:dyDescent="0.35">
      <c r="A34" t="s">
        <v>45</v>
      </c>
      <c r="B34">
        <v>0</v>
      </c>
      <c r="C34">
        <v>0</v>
      </c>
      <c r="D34">
        <v>0</v>
      </c>
      <c r="E34">
        <v>0</v>
      </c>
      <c r="G34">
        <v>45.7</v>
      </c>
      <c r="H34">
        <v>0</v>
      </c>
      <c r="I34">
        <v>0</v>
      </c>
      <c r="J34">
        <v>54.3</v>
      </c>
      <c r="K34">
        <v>0</v>
      </c>
      <c r="L34">
        <v>0</v>
      </c>
      <c r="M34">
        <v>0</v>
      </c>
      <c r="N34">
        <v>0</v>
      </c>
      <c r="O34">
        <v>7185</v>
      </c>
      <c r="Q34" t="s">
        <v>45</v>
      </c>
      <c r="R34">
        <f t="shared" si="0"/>
        <v>0</v>
      </c>
      <c r="S34">
        <f t="shared" si="1"/>
        <v>100</v>
      </c>
      <c r="T34">
        <f t="shared" si="2"/>
        <v>100</v>
      </c>
    </row>
    <row r="35" spans="1:20" x14ac:dyDescent="0.35">
      <c r="A35" t="s">
        <v>46</v>
      </c>
      <c r="B35">
        <v>0</v>
      </c>
      <c r="C35">
        <v>0</v>
      </c>
      <c r="D35">
        <v>0</v>
      </c>
      <c r="E35">
        <v>0</v>
      </c>
      <c r="G35">
        <v>45.5</v>
      </c>
      <c r="H35">
        <v>0</v>
      </c>
      <c r="I35">
        <v>0</v>
      </c>
      <c r="J35">
        <v>54.5</v>
      </c>
      <c r="K35">
        <v>0</v>
      </c>
      <c r="L35">
        <v>0</v>
      </c>
      <c r="M35">
        <v>0</v>
      </c>
      <c r="N35">
        <v>0</v>
      </c>
      <c r="O35">
        <v>6350</v>
      </c>
      <c r="Q35" t="s">
        <v>46</v>
      </c>
      <c r="R35">
        <f t="shared" si="0"/>
        <v>0</v>
      </c>
      <c r="S35">
        <f t="shared" si="1"/>
        <v>100</v>
      </c>
      <c r="T35">
        <f t="shared" si="2"/>
        <v>100</v>
      </c>
    </row>
    <row r="36" spans="1:20" x14ac:dyDescent="0.35">
      <c r="A36" t="s">
        <v>47</v>
      </c>
      <c r="B36">
        <v>0</v>
      </c>
      <c r="C36">
        <v>0</v>
      </c>
      <c r="D36">
        <v>0</v>
      </c>
      <c r="E36">
        <v>0</v>
      </c>
      <c r="G36">
        <v>40.6</v>
      </c>
      <c r="H36">
        <v>0</v>
      </c>
      <c r="I36">
        <v>0</v>
      </c>
      <c r="J36">
        <v>59.4</v>
      </c>
      <c r="K36">
        <v>0</v>
      </c>
      <c r="L36">
        <v>0</v>
      </c>
      <c r="M36">
        <v>0</v>
      </c>
      <c r="N36">
        <v>0</v>
      </c>
      <c r="O36">
        <v>5694</v>
      </c>
      <c r="Q36" t="s">
        <v>47</v>
      </c>
      <c r="R36">
        <f t="shared" si="0"/>
        <v>0</v>
      </c>
      <c r="S36">
        <f t="shared" si="1"/>
        <v>100</v>
      </c>
      <c r="T36">
        <f t="shared" si="2"/>
        <v>100</v>
      </c>
    </row>
    <row r="37" spans="1:20" x14ac:dyDescent="0.35">
      <c r="A37" t="s">
        <v>48</v>
      </c>
      <c r="B37">
        <v>0</v>
      </c>
      <c r="C37">
        <v>0</v>
      </c>
      <c r="D37">
        <v>0</v>
      </c>
      <c r="E37">
        <v>0</v>
      </c>
      <c r="G37">
        <v>41.4</v>
      </c>
      <c r="H37">
        <v>0</v>
      </c>
      <c r="I37">
        <v>0</v>
      </c>
      <c r="J37">
        <v>58.6</v>
      </c>
      <c r="K37">
        <v>0</v>
      </c>
      <c r="L37">
        <v>0</v>
      </c>
      <c r="M37">
        <v>0</v>
      </c>
      <c r="N37">
        <v>0</v>
      </c>
      <c r="O37">
        <v>5376</v>
      </c>
      <c r="Q37" t="s">
        <v>48</v>
      </c>
      <c r="R37">
        <f t="shared" si="0"/>
        <v>0</v>
      </c>
      <c r="S37">
        <f t="shared" si="1"/>
        <v>100</v>
      </c>
      <c r="T37">
        <f t="shared" si="2"/>
        <v>100</v>
      </c>
    </row>
    <row r="38" spans="1:20" x14ac:dyDescent="0.35">
      <c r="A38" t="s">
        <v>49</v>
      </c>
      <c r="B38">
        <v>0</v>
      </c>
      <c r="C38">
        <v>0</v>
      </c>
      <c r="D38">
        <v>0</v>
      </c>
      <c r="E38">
        <v>0</v>
      </c>
      <c r="G38">
        <v>40.700000000000003</v>
      </c>
      <c r="H38">
        <v>0</v>
      </c>
      <c r="I38">
        <v>0</v>
      </c>
      <c r="J38">
        <v>59.3</v>
      </c>
      <c r="K38">
        <v>0</v>
      </c>
      <c r="L38">
        <v>0</v>
      </c>
      <c r="M38">
        <v>0</v>
      </c>
      <c r="N38">
        <v>0</v>
      </c>
      <c r="O38">
        <v>5702</v>
      </c>
      <c r="Q38" t="s">
        <v>49</v>
      </c>
      <c r="R38">
        <f t="shared" si="0"/>
        <v>0</v>
      </c>
      <c r="S38">
        <f t="shared" si="1"/>
        <v>100</v>
      </c>
      <c r="T38">
        <f t="shared" si="2"/>
        <v>100</v>
      </c>
    </row>
    <row r="39" spans="1:20" x14ac:dyDescent="0.35">
      <c r="A39" t="s">
        <v>50</v>
      </c>
      <c r="B39">
        <v>0</v>
      </c>
      <c r="C39">
        <v>0</v>
      </c>
      <c r="D39">
        <v>0</v>
      </c>
      <c r="E39">
        <v>0</v>
      </c>
      <c r="G39">
        <v>31.9</v>
      </c>
      <c r="H39">
        <v>0</v>
      </c>
      <c r="I39">
        <v>0</v>
      </c>
      <c r="J39">
        <v>68.099999999999994</v>
      </c>
      <c r="K39">
        <v>0</v>
      </c>
      <c r="L39">
        <v>0</v>
      </c>
      <c r="M39">
        <v>0</v>
      </c>
      <c r="N39">
        <v>0</v>
      </c>
      <c r="O39">
        <v>6831</v>
      </c>
      <c r="Q39" t="s">
        <v>50</v>
      </c>
      <c r="R39">
        <f t="shared" si="0"/>
        <v>0</v>
      </c>
      <c r="S39">
        <f t="shared" si="1"/>
        <v>100</v>
      </c>
      <c r="T39">
        <f t="shared" si="2"/>
        <v>100</v>
      </c>
    </row>
    <row r="40" spans="1:20" x14ac:dyDescent="0.35">
      <c r="A40" t="s">
        <v>51</v>
      </c>
      <c r="B40">
        <v>0</v>
      </c>
      <c r="C40">
        <v>0</v>
      </c>
      <c r="D40">
        <v>0</v>
      </c>
      <c r="E40">
        <v>0</v>
      </c>
      <c r="G40">
        <v>39.1</v>
      </c>
      <c r="H40">
        <v>0</v>
      </c>
      <c r="I40">
        <v>0</v>
      </c>
      <c r="J40">
        <v>60.9</v>
      </c>
      <c r="K40">
        <v>0</v>
      </c>
      <c r="L40">
        <v>0</v>
      </c>
      <c r="M40">
        <v>0</v>
      </c>
      <c r="N40">
        <v>0</v>
      </c>
      <c r="O40">
        <v>10410</v>
      </c>
      <c r="Q40" t="s">
        <v>51</v>
      </c>
      <c r="R40">
        <f t="shared" si="0"/>
        <v>0</v>
      </c>
      <c r="S40">
        <f t="shared" si="1"/>
        <v>100</v>
      </c>
      <c r="T40">
        <f t="shared" si="2"/>
        <v>100</v>
      </c>
    </row>
    <row r="41" spans="1:20" x14ac:dyDescent="0.35">
      <c r="A41" t="s">
        <v>52</v>
      </c>
      <c r="B41">
        <v>0</v>
      </c>
      <c r="C41">
        <v>0</v>
      </c>
      <c r="D41">
        <v>0</v>
      </c>
      <c r="E41">
        <v>0</v>
      </c>
      <c r="G41">
        <v>39.9</v>
      </c>
      <c r="H41">
        <v>0</v>
      </c>
      <c r="I41">
        <v>0</v>
      </c>
      <c r="J41">
        <v>60.1</v>
      </c>
      <c r="K41">
        <v>0</v>
      </c>
      <c r="L41">
        <v>0</v>
      </c>
      <c r="M41">
        <v>0</v>
      </c>
      <c r="N41">
        <v>0</v>
      </c>
      <c r="O41">
        <v>6843</v>
      </c>
      <c r="Q41" t="s">
        <v>52</v>
      </c>
      <c r="R41">
        <f t="shared" si="0"/>
        <v>0</v>
      </c>
      <c r="S41">
        <f t="shared" si="1"/>
        <v>100</v>
      </c>
      <c r="T41">
        <f t="shared" si="2"/>
        <v>100</v>
      </c>
    </row>
    <row r="42" spans="1:20" x14ac:dyDescent="0.35">
      <c r="A42" t="s">
        <v>53</v>
      </c>
      <c r="B42">
        <v>0</v>
      </c>
      <c r="C42">
        <v>0</v>
      </c>
      <c r="D42">
        <v>0</v>
      </c>
      <c r="E42">
        <v>0</v>
      </c>
      <c r="G42">
        <v>37.4</v>
      </c>
      <c r="H42">
        <v>0</v>
      </c>
      <c r="I42">
        <v>0</v>
      </c>
      <c r="J42">
        <v>62.6</v>
      </c>
      <c r="K42">
        <v>0</v>
      </c>
      <c r="L42">
        <v>0</v>
      </c>
      <c r="M42">
        <v>0</v>
      </c>
      <c r="N42">
        <v>0</v>
      </c>
      <c r="O42">
        <v>7291</v>
      </c>
      <c r="Q42" t="s">
        <v>53</v>
      </c>
      <c r="R42">
        <f t="shared" si="0"/>
        <v>0</v>
      </c>
      <c r="S42">
        <f t="shared" si="1"/>
        <v>100</v>
      </c>
      <c r="T42">
        <f t="shared" si="2"/>
        <v>100</v>
      </c>
    </row>
    <row r="43" spans="1:20" x14ac:dyDescent="0.35">
      <c r="A43" t="s">
        <v>54</v>
      </c>
      <c r="B43">
        <v>0</v>
      </c>
      <c r="C43">
        <v>0</v>
      </c>
      <c r="D43">
        <v>0</v>
      </c>
      <c r="E43">
        <v>0</v>
      </c>
      <c r="G43">
        <v>42.4</v>
      </c>
      <c r="H43">
        <v>0</v>
      </c>
      <c r="I43">
        <v>0</v>
      </c>
      <c r="J43">
        <v>57.6</v>
      </c>
      <c r="K43">
        <v>0</v>
      </c>
      <c r="L43">
        <v>0</v>
      </c>
      <c r="M43">
        <v>0</v>
      </c>
      <c r="N43">
        <v>0</v>
      </c>
      <c r="O43">
        <v>7007</v>
      </c>
      <c r="Q43" t="s">
        <v>54</v>
      </c>
      <c r="R43">
        <f t="shared" si="0"/>
        <v>0</v>
      </c>
      <c r="S43">
        <f t="shared" si="1"/>
        <v>100</v>
      </c>
      <c r="T43">
        <f t="shared" si="2"/>
        <v>100</v>
      </c>
    </row>
    <row r="44" spans="1:20" x14ac:dyDescent="0.35">
      <c r="A44" t="s">
        <v>55</v>
      </c>
      <c r="B44">
        <v>0</v>
      </c>
      <c r="C44">
        <v>0</v>
      </c>
      <c r="D44">
        <v>0</v>
      </c>
      <c r="E44">
        <v>0</v>
      </c>
      <c r="G44">
        <v>41.3</v>
      </c>
      <c r="H44">
        <v>0</v>
      </c>
      <c r="I44">
        <v>0</v>
      </c>
      <c r="J44">
        <v>58.7</v>
      </c>
      <c r="K44">
        <v>0</v>
      </c>
      <c r="L44">
        <v>0</v>
      </c>
      <c r="M44">
        <v>0</v>
      </c>
      <c r="N44">
        <v>0</v>
      </c>
      <c r="O44">
        <v>6884</v>
      </c>
      <c r="Q44" t="s">
        <v>55</v>
      </c>
      <c r="R44">
        <f t="shared" si="0"/>
        <v>0</v>
      </c>
      <c r="S44">
        <f t="shared" si="1"/>
        <v>100</v>
      </c>
      <c r="T44">
        <f t="shared" si="2"/>
        <v>100</v>
      </c>
    </row>
    <row r="45" spans="1:20" x14ac:dyDescent="0.35">
      <c r="A45" t="s">
        <v>56</v>
      </c>
      <c r="B45">
        <v>0</v>
      </c>
      <c r="C45">
        <v>0</v>
      </c>
      <c r="D45">
        <v>0</v>
      </c>
      <c r="E45">
        <v>0</v>
      </c>
      <c r="G45">
        <v>42.1</v>
      </c>
      <c r="H45">
        <v>0</v>
      </c>
      <c r="I45">
        <v>0</v>
      </c>
      <c r="J45">
        <v>57.9</v>
      </c>
      <c r="K45">
        <v>0</v>
      </c>
      <c r="L45">
        <v>0</v>
      </c>
      <c r="M45">
        <v>0</v>
      </c>
      <c r="N45">
        <v>0</v>
      </c>
      <c r="O45">
        <v>7858</v>
      </c>
      <c r="Q45" t="s">
        <v>56</v>
      </c>
      <c r="R45">
        <f t="shared" si="0"/>
        <v>0</v>
      </c>
      <c r="S45">
        <f t="shared" si="1"/>
        <v>100</v>
      </c>
      <c r="T45">
        <f t="shared" si="2"/>
        <v>100</v>
      </c>
    </row>
    <row r="46" spans="1:20" x14ac:dyDescent="0.35">
      <c r="A46" t="s">
        <v>57</v>
      </c>
      <c r="B46">
        <v>0</v>
      </c>
      <c r="C46">
        <v>0</v>
      </c>
      <c r="D46">
        <v>0</v>
      </c>
      <c r="E46">
        <v>0</v>
      </c>
      <c r="G46">
        <v>37.299999999999997</v>
      </c>
      <c r="H46">
        <v>3.8</v>
      </c>
      <c r="I46">
        <v>0</v>
      </c>
      <c r="J46">
        <v>58.9</v>
      </c>
      <c r="K46">
        <v>0</v>
      </c>
      <c r="L46">
        <v>0</v>
      </c>
      <c r="M46">
        <v>0</v>
      </c>
      <c r="N46">
        <v>0</v>
      </c>
      <c r="O46">
        <v>7347</v>
      </c>
      <c r="Q46" t="s">
        <v>57</v>
      </c>
      <c r="R46">
        <f t="shared" si="0"/>
        <v>0</v>
      </c>
      <c r="S46">
        <f t="shared" si="1"/>
        <v>100</v>
      </c>
      <c r="T46">
        <f t="shared" si="2"/>
        <v>100</v>
      </c>
    </row>
    <row r="47" spans="1:20" x14ac:dyDescent="0.35">
      <c r="A47" t="s">
        <v>58</v>
      </c>
      <c r="B47">
        <v>0</v>
      </c>
      <c r="C47">
        <v>0</v>
      </c>
      <c r="D47">
        <v>0</v>
      </c>
      <c r="E47">
        <v>0</v>
      </c>
      <c r="G47">
        <v>34.700000000000003</v>
      </c>
      <c r="H47">
        <v>11.3</v>
      </c>
      <c r="I47">
        <v>0</v>
      </c>
      <c r="J47">
        <v>54</v>
      </c>
      <c r="K47">
        <v>0</v>
      </c>
      <c r="L47">
        <v>0</v>
      </c>
      <c r="M47">
        <v>0</v>
      </c>
      <c r="N47">
        <v>0</v>
      </c>
      <c r="O47">
        <v>7822</v>
      </c>
      <c r="Q47" t="s">
        <v>58</v>
      </c>
      <c r="R47">
        <f t="shared" si="0"/>
        <v>0</v>
      </c>
      <c r="S47">
        <f t="shared" si="1"/>
        <v>100</v>
      </c>
      <c r="T47">
        <f t="shared" si="2"/>
        <v>100</v>
      </c>
    </row>
    <row r="48" spans="1:20" x14ac:dyDescent="0.35">
      <c r="A48" t="s">
        <v>59</v>
      </c>
      <c r="B48">
        <v>0</v>
      </c>
      <c r="C48">
        <v>0</v>
      </c>
      <c r="D48">
        <v>0</v>
      </c>
      <c r="E48">
        <v>0</v>
      </c>
      <c r="G48">
        <v>18.5</v>
      </c>
      <c r="H48">
        <v>37.6</v>
      </c>
      <c r="I48">
        <v>0</v>
      </c>
      <c r="J48">
        <v>43.9</v>
      </c>
      <c r="K48">
        <v>0</v>
      </c>
      <c r="L48">
        <v>0</v>
      </c>
      <c r="M48">
        <v>0</v>
      </c>
      <c r="N48">
        <v>0</v>
      </c>
      <c r="O48">
        <v>7845</v>
      </c>
      <c r="Q48" t="s">
        <v>59</v>
      </c>
      <c r="R48">
        <f t="shared" si="0"/>
        <v>0</v>
      </c>
      <c r="S48">
        <f t="shared" si="1"/>
        <v>100</v>
      </c>
      <c r="T48">
        <f t="shared" si="2"/>
        <v>100</v>
      </c>
    </row>
    <row r="49" spans="1:20" x14ac:dyDescent="0.35">
      <c r="A49" t="s">
        <v>60</v>
      </c>
      <c r="B49">
        <v>0</v>
      </c>
      <c r="C49">
        <v>0</v>
      </c>
      <c r="D49">
        <v>0</v>
      </c>
      <c r="E49">
        <v>0</v>
      </c>
      <c r="G49">
        <v>0</v>
      </c>
      <c r="H49">
        <v>57.3</v>
      </c>
      <c r="I49">
        <v>0</v>
      </c>
      <c r="J49">
        <v>42.7</v>
      </c>
      <c r="K49">
        <v>0</v>
      </c>
      <c r="L49">
        <v>0</v>
      </c>
      <c r="M49">
        <v>0</v>
      </c>
      <c r="N49">
        <v>0</v>
      </c>
      <c r="O49">
        <v>6747</v>
      </c>
      <c r="Q49" t="s">
        <v>60</v>
      </c>
      <c r="R49">
        <f t="shared" si="0"/>
        <v>0</v>
      </c>
      <c r="S49">
        <f t="shared" si="1"/>
        <v>100</v>
      </c>
      <c r="T49">
        <f t="shared" si="2"/>
        <v>100</v>
      </c>
    </row>
    <row r="50" spans="1:20" x14ac:dyDescent="0.35">
      <c r="A50" t="s">
        <v>61</v>
      </c>
      <c r="B50">
        <v>0</v>
      </c>
      <c r="C50">
        <v>0</v>
      </c>
      <c r="D50">
        <v>0</v>
      </c>
      <c r="E50">
        <v>0</v>
      </c>
      <c r="G50">
        <v>0</v>
      </c>
      <c r="H50">
        <v>54.5</v>
      </c>
      <c r="I50">
        <v>0</v>
      </c>
      <c r="J50">
        <v>45.5</v>
      </c>
      <c r="K50">
        <v>0</v>
      </c>
      <c r="L50">
        <v>0</v>
      </c>
      <c r="M50">
        <v>0</v>
      </c>
      <c r="N50">
        <v>0</v>
      </c>
      <c r="O50">
        <v>8190</v>
      </c>
      <c r="Q50" t="s">
        <v>61</v>
      </c>
      <c r="R50">
        <f t="shared" si="0"/>
        <v>0</v>
      </c>
      <c r="S50">
        <f t="shared" si="1"/>
        <v>100</v>
      </c>
      <c r="T50">
        <f t="shared" si="2"/>
        <v>100</v>
      </c>
    </row>
    <row r="51" spans="1:20" x14ac:dyDescent="0.35">
      <c r="A51" t="s">
        <v>62</v>
      </c>
      <c r="B51">
        <v>0</v>
      </c>
      <c r="C51">
        <v>0</v>
      </c>
      <c r="D51">
        <v>0</v>
      </c>
      <c r="E51">
        <v>0</v>
      </c>
      <c r="G51">
        <v>0</v>
      </c>
      <c r="H51">
        <v>44.7</v>
      </c>
      <c r="I51">
        <v>0</v>
      </c>
      <c r="J51">
        <v>55.3</v>
      </c>
      <c r="K51">
        <v>0</v>
      </c>
      <c r="L51">
        <v>0</v>
      </c>
      <c r="M51">
        <v>0</v>
      </c>
      <c r="N51">
        <v>0</v>
      </c>
      <c r="O51">
        <v>12539</v>
      </c>
      <c r="Q51" t="s">
        <v>62</v>
      </c>
      <c r="R51">
        <f t="shared" si="0"/>
        <v>0</v>
      </c>
      <c r="S51">
        <f t="shared" si="1"/>
        <v>100</v>
      </c>
      <c r="T51">
        <f t="shared" si="2"/>
        <v>100</v>
      </c>
    </row>
    <row r="52" spans="1:20" x14ac:dyDescent="0.35">
      <c r="A52" t="s">
        <v>63</v>
      </c>
      <c r="B52">
        <v>0</v>
      </c>
      <c r="C52">
        <v>0</v>
      </c>
      <c r="D52">
        <v>0</v>
      </c>
      <c r="E52">
        <v>0</v>
      </c>
      <c r="G52">
        <v>0</v>
      </c>
      <c r="H52">
        <v>57.1</v>
      </c>
      <c r="I52">
        <v>0</v>
      </c>
      <c r="J52">
        <v>42.9</v>
      </c>
      <c r="K52">
        <v>0</v>
      </c>
      <c r="L52">
        <v>0</v>
      </c>
      <c r="M52">
        <v>0</v>
      </c>
      <c r="N52">
        <v>0</v>
      </c>
      <c r="O52">
        <v>17466</v>
      </c>
      <c r="Q52" t="s">
        <v>63</v>
      </c>
      <c r="R52">
        <f t="shared" si="0"/>
        <v>0</v>
      </c>
      <c r="S52">
        <f t="shared" si="1"/>
        <v>100</v>
      </c>
      <c r="T52">
        <f t="shared" si="2"/>
        <v>100</v>
      </c>
    </row>
    <row r="53" spans="1:20" x14ac:dyDescent="0.35">
      <c r="A53" t="s">
        <v>64</v>
      </c>
      <c r="B53">
        <v>0</v>
      </c>
      <c r="C53">
        <v>0</v>
      </c>
      <c r="D53">
        <v>0</v>
      </c>
      <c r="E53">
        <v>0</v>
      </c>
      <c r="G53">
        <v>0</v>
      </c>
      <c r="H53">
        <v>61.8</v>
      </c>
      <c r="I53">
        <v>0</v>
      </c>
      <c r="J53">
        <v>38.200000000000003</v>
      </c>
      <c r="K53">
        <v>0</v>
      </c>
      <c r="L53">
        <v>0</v>
      </c>
      <c r="M53">
        <v>0</v>
      </c>
      <c r="N53">
        <v>0</v>
      </c>
      <c r="O53">
        <v>12534</v>
      </c>
      <c r="Q53" t="s">
        <v>64</v>
      </c>
      <c r="R53">
        <f t="shared" si="0"/>
        <v>0</v>
      </c>
      <c r="S53">
        <f t="shared" si="1"/>
        <v>100</v>
      </c>
      <c r="T53">
        <f t="shared" si="2"/>
        <v>100</v>
      </c>
    </row>
    <row r="54" spans="1:20" x14ac:dyDescent="0.35">
      <c r="A54" t="s">
        <v>65</v>
      </c>
      <c r="B54">
        <v>0</v>
      </c>
      <c r="C54">
        <v>0</v>
      </c>
      <c r="D54">
        <v>0</v>
      </c>
      <c r="E54">
        <v>0</v>
      </c>
      <c r="G54">
        <v>0</v>
      </c>
      <c r="H54">
        <v>58.8</v>
      </c>
      <c r="I54">
        <v>0</v>
      </c>
      <c r="J54">
        <v>41.2</v>
      </c>
      <c r="K54">
        <v>0</v>
      </c>
      <c r="L54">
        <v>0</v>
      </c>
      <c r="M54">
        <v>0</v>
      </c>
      <c r="N54">
        <v>0</v>
      </c>
      <c r="O54">
        <v>11336</v>
      </c>
      <c r="Q54" t="s">
        <v>65</v>
      </c>
      <c r="R54">
        <f t="shared" si="0"/>
        <v>0</v>
      </c>
      <c r="S54">
        <f t="shared" si="1"/>
        <v>100</v>
      </c>
      <c r="T54">
        <f t="shared" si="2"/>
        <v>100</v>
      </c>
    </row>
    <row r="55" spans="1:20" x14ac:dyDescent="0.35">
      <c r="A55" t="s">
        <v>66</v>
      </c>
      <c r="B55">
        <v>0</v>
      </c>
      <c r="C55">
        <v>0</v>
      </c>
      <c r="D55">
        <v>0</v>
      </c>
      <c r="E55">
        <v>0</v>
      </c>
      <c r="G55">
        <v>0</v>
      </c>
      <c r="H55">
        <v>57.1</v>
      </c>
      <c r="I55">
        <v>0</v>
      </c>
      <c r="J55">
        <v>42.9</v>
      </c>
      <c r="K55">
        <v>0</v>
      </c>
      <c r="L55">
        <v>0</v>
      </c>
      <c r="M55">
        <v>0</v>
      </c>
      <c r="N55">
        <v>0</v>
      </c>
      <c r="O55">
        <v>10243</v>
      </c>
      <c r="Q55" t="s">
        <v>66</v>
      </c>
      <c r="R55">
        <f t="shared" si="0"/>
        <v>0</v>
      </c>
      <c r="S55">
        <f t="shared" si="1"/>
        <v>100</v>
      </c>
      <c r="T55">
        <f t="shared" si="2"/>
        <v>100</v>
      </c>
    </row>
    <row r="56" spans="1:20" x14ac:dyDescent="0.35">
      <c r="A56" t="s">
        <v>67</v>
      </c>
      <c r="B56">
        <v>0</v>
      </c>
      <c r="C56">
        <v>0</v>
      </c>
      <c r="D56">
        <v>0</v>
      </c>
      <c r="E56">
        <v>0</v>
      </c>
      <c r="G56">
        <v>0</v>
      </c>
      <c r="H56">
        <v>55.7</v>
      </c>
      <c r="I56">
        <v>0</v>
      </c>
      <c r="J56">
        <v>44.3</v>
      </c>
      <c r="K56">
        <v>0</v>
      </c>
      <c r="L56">
        <v>0</v>
      </c>
      <c r="M56">
        <v>0</v>
      </c>
      <c r="N56">
        <v>0</v>
      </c>
      <c r="O56">
        <v>10499</v>
      </c>
      <c r="Q56" t="s">
        <v>67</v>
      </c>
      <c r="R56">
        <f t="shared" si="0"/>
        <v>0</v>
      </c>
      <c r="S56">
        <f t="shared" si="1"/>
        <v>100</v>
      </c>
      <c r="T56">
        <f t="shared" si="2"/>
        <v>100</v>
      </c>
    </row>
    <row r="57" spans="1:20" x14ac:dyDescent="0.35">
      <c r="A57" t="s">
        <v>68</v>
      </c>
      <c r="B57">
        <v>0</v>
      </c>
      <c r="C57">
        <v>0</v>
      </c>
      <c r="D57">
        <v>0</v>
      </c>
      <c r="E57">
        <v>0</v>
      </c>
      <c r="G57">
        <v>0</v>
      </c>
      <c r="H57">
        <v>50.3</v>
      </c>
      <c r="I57">
        <v>0</v>
      </c>
      <c r="J57">
        <v>49.7</v>
      </c>
      <c r="K57">
        <v>0</v>
      </c>
      <c r="L57">
        <v>0</v>
      </c>
      <c r="M57">
        <v>0</v>
      </c>
      <c r="N57">
        <v>0</v>
      </c>
      <c r="O57">
        <v>9093</v>
      </c>
      <c r="Q57" t="s">
        <v>68</v>
      </c>
      <c r="R57">
        <f t="shared" si="0"/>
        <v>0</v>
      </c>
      <c r="S57">
        <f t="shared" si="1"/>
        <v>100</v>
      </c>
      <c r="T57">
        <f t="shared" si="2"/>
        <v>100</v>
      </c>
    </row>
    <row r="58" spans="1:20" x14ac:dyDescent="0.35">
      <c r="A58" t="s">
        <v>69</v>
      </c>
      <c r="B58">
        <v>0</v>
      </c>
      <c r="C58">
        <v>0</v>
      </c>
      <c r="D58">
        <v>0</v>
      </c>
      <c r="E58">
        <v>0</v>
      </c>
      <c r="G58">
        <v>0</v>
      </c>
      <c r="H58">
        <v>54.4</v>
      </c>
      <c r="I58">
        <v>0</v>
      </c>
      <c r="J58">
        <v>45.6</v>
      </c>
      <c r="K58">
        <v>0</v>
      </c>
      <c r="L58">
        <v>0</v>
      </c>
      <c r="M58">
        <v>0</v>
      </c>
      <c r="N58">
        <v>0</v>
      </c>
      <c r="O58">
        <v>8444</v>
      </c>
      <c r="Q58" t="s">
        <v>69</v>
      </c>
      <c r="R58">
        <f t="shared" si="0"/>
        <v>0</v>
      </c>
      <c r="S58">
        <f t="shared" si="1"/>
        <v>100</v>
      </c>
      <c r="T58">
        <f t="shared" si="2"/>
        <v>100</v>
      </c>
    </row>
    <row r="59" spans="1:20" x14ac:dyDescent="0.35">
      <c r="A59" t="s">
        <v>70</v>
      </c>
      <c r="B59">
        <v>0</v>
      </c>
      <c r="C59">
        <v>0</v>
      </c>
      <c r="D59">
        <v>0</v>
      </c>
      <c r="E59">
        <v>0</v>
      </c>
      <c r="G59">
        <v>0</v>
      </c>
      <c r="H59">
        <v>59.1</v>
      </c>
      <c r="I59">
        <v>0</v>
      </c>
      <c r="J59">
        <v>38.700000000000003</v>
      </c>
      <c r="K59">
        <v>2.2000000000000002</v>
      </c>
      <c r="L59">
        <v>0</v>
      </c>
      <c r="M59">
        <v>0</v>
      </c>
      <c r="N59">
        <v>0</v>
      </c>
      <c r="O59">
        <v>9533</v>
      </c>
      <c r="Q59" t="s">
        <v>70</v>
      </c>
      <c r="R59">
        <f t="shared" si="0"/>
        <v>0</v>
      </c>
      <c r="S59">
        <f t="shared" si="1"/>
        <v>100.00000000000001</v>
      </c>
      <c r="T59">
        <f t="shared" si="2"/>
        <v>100.00000000000001</v>
      </c>
    </row>
    <row r="60" spans="1:20" x14ac:dyDescent="0.35">
      <c r="A60" t="s">
        <v>71</v>
      </c>
      <c r="B60">
        <v>0</v>
      </c>
      <c r="C60">
        <v>0</v>
      </c>
      <c r="D60">
        <v>0</v>
      </c>
      <c r="E60">
        <v>0</v>
      </c>
      <c r="G60">
        <v>0</v>
      </c>
      <c r="H60">
        <v>52.9</v>
      </c>
      <c r="I60">
        <v>0</v>
      </c>
      <c r="J60">
        <v>33.1</v>
      </c>
      <c r="K60">
        <v>14</v>
      </c>
      <c r="L60">
        <v>0</v>
      </c>
      <c r="M60">
        <v>0</v>
      </c>
      <c r="N60">
        <v>0</v>
      </c>
      <c r="O60">
        <v>8898</v>
      </c>
      <c r="Q60" t="s">
        <v>71</v>
      </c>
      <c r="R60">
        <f t="shared" si="0"/>
        <v>0</v>
      </c>
      <c r="S60">
        <f t="shared" si="1"/>
        <v>100</v>
      </c>
      <c r="T60">
        <f t="shared" si="2"/>
        <v>100</v>
      </c>
    </row>
    <row r="61" spans="1:20" x14ac:dyDescent="0.35">
      <c r="A61" t="s">
        <v>72</v>
      </c>
      <c r="B61">
        <v>0</v>
      </c>
      <c r="C61">
        <v>0</v>
      </c>
      <c r="D61">
        <v>0</v>
      </c>
      <c r="E61">
        <v>0</v>
      </c>
      <c r="G61">
        <v>0</v>
      </c>
      <c r="H61">
        <v>35</v>
      </c>
      <c r="I61">
        <v>21.4</v>
      </c>
      <c r="J61">
        <v>9.6</v>
      </c>
      <c r="K61">
        <v>5.5</v>
      </c>
      <c r="L61">
        <v>15</v>
      </c>
      <c r="M61">
        <v>13.6</v>
      </c>
      <c r="N61">
        <v>0</v>
      </c>
      <c r="O61">
        <v>9296</v>
      </c>
      <c r="Q61" t="s">
        <v>72</v>
      </c>
      <c r="R61">
        <f t="shared" si="0"/>
        <v>0</v>
      </c>
      <c r="S61">
        <f t="shared" si="1"/>
        <v>100.1</v>
      </c>
      <c r="T61">
        <f t="shared" si="2"/>
        <v>100.1</v>
      </c>
    </row>
    <row r="62" spans="1:20" x14ac:dyDescent="0.35">
      <c r="A62" t="s">
        <v>73</v>
      </c>
      <c r="B62">
        <v>0</v>
      </c>
      <c r="C62">
        <v>0</v>
      </c>
      <c r="D62">
        <v>0</v>
      </c>
      <c r="E62">
        <v>0</v>
      </c>
      <c r="G62">
        <v>0</v>
      </c>
      <c r="H62">
        <v>0.7</v>
      </c>
      <c r="I62">
        <v>60.7</v>
      </c>
      <c r="J62">
        <v>0</v>
      </c>
      <c r="K62">
        <v>0</v>
      </c>
      <c r="L62">
        <v>16.5</v>
      </c>
      <c r="M62">
        <v>22</v>
      </c>
      <c r="N62">
        <v>0</v>
      </c>
      <c r="O62">
        <v>10397</v>
      </c>
      <c r="Q62" s="2" t="s">
        <v>73</v>
      </c>
      <c r="R62">
        <f t="shared" si="0"/>
        <v>0</v>
      </c>
      <c r="S62">
        <f t="shared" si="1"/>
        <v>99.9</v>
      </c>
      <c r="T62">
        <f t="shared" si="2"/>
        <v>99.9</v>
      </c>
    </row>
    <row r="63" spans="1:20" x14ac:dyDescent="0.35">
      <c r="A63" t="s">
        <v>74</v>
      </c>
      <c r="B63">
        <v>0.8</v>
      </c>
      <c r="C63">
        <v>0</v>
      </c>
      <c r="D63">
        <v>0</v>
      </c>
      <c r="E63">
        <v>0</v>
      </c>
      <c r="G63">
        <v>0</v>
      </c>
      <c r="H63">
        <v>0</v>
      </c>
      <c r="I63">
        <v>52</v>
      </c>
      <c r="J63">
        <v>0</v>
      </c>
      <c r="K63">
        <v>0</v>
      </c>
      <c r="L63">
        <v>22.5</v>
      </c>
      <c r="M63">
        <v>24.8</v>
      </c>
      <c r="N63">
        <v>0</v>
      </c>
      <c r="O63">
        <v>12637</v>
      </c>
      <c r="Q63" s="2" t="s">
        <v>74</v>
      </c>
      <c r="R63">
        <f t="shared" si="0"/>
        <v>0.8</v>
      </c>
      <c r="S63">
        <f t="shared" si="1"/>
        <v>99.3</v>
      </c>
      <c r="T63">
        <f t="shared" si="2"/>
        <v>100.1</v>
      </c>
    </row>
    <row r="64" spans="1:20" x14ac:dyDescent="0.35">
      <c r="A64" t="s">
        <v>75</v>
      </c>
      <c r="B64">
        <v>2.8</v>
      </c>
      <c r="C64">
        <v>0</v>
      </c>
      <c r="D64">
        <v>0</v>
      </c>
      <c r="E64">
        <v>0</v>
      </c>
      <c r="G64">
        <v>0</v>
      </c>
      <c r="H64">
        <v>0</v>
      </c>
      <c r="I64">
        <v>55.8</v>
      </c>
      <c r="J64">
        <v>0</v>
      </c>
      <c r="K64">
        <v>0</v>
      </c>
      <c r="L64">
        <v>20.100000000000001</v>
      </c>
      <c r="M64">
        <v>21.3</v>
      </c>
      <c r="N64">
        <v>0</v>
      </c>
      <c r="O64">
        <v>20878</v>
      </c>
      <c r="Q64" s="2" t="s">
        <v>75</v>
      </c>
      <c r="R64">
        <f t="shared" si="0"/>
        <v>2.8</v>
      </c>
      <c r="S64">
        <f t="shared" si="1"/>
        <v>97.2</v>
      </c>
      <c r="T64">
        <f t="shared" si="2"/>
        <v>100</v>
      </c>
    </row>
    <row r="65" spans="1:20" x14ac:dyDescent="0.35">
      <c r="A65" t="s">
        <v>76</v>
      </c>
      <c r="B65">
        <v>3.6</v>
      </c>
      <c r="C65">
        <v>0</v>
      </c>
      <c r="D65">
        <v>0</v>
      </c>
      <c r="E65">
        <v>0</v>
      </c>
      <c r="G65">
        <v>0</v>
      </c>
      <c r="H65">
        <v>0</v>
      </c>
      <c r="I65">
        <v>58.5</v>
      </c>
      <c r="J65">
        <v>0</v>
      </c>
      <c r="K65">
        <v>0</v>
      </c>
      <c r="L65">
        <v>18.100000000000001</v>
      </c>
      <c r="M65">
        <v>19.8</v>
      </c>
      <c r="N65">
        <v>0</v>
      </c>
      <c r="O65">
        <v>14414</v>
      </c>
      <c r="Q65" s="2" t="s">
        <v>76</v>
      </c>
      <c r="R65">
        <f t="shared" si="0"/>
        <v>3.6</v>
      </c>
      <c r="S65">
        <f t="shared" si="1"/>
        <v>96.399999999999991</v>
      </c>
      <c r="T65">
        <f t="shared" si="2"/>
        <v>99.999999999999986</v>
      </c>
    </row>
    <row r="66" spans="1:20" x14ac:dyDescent="0.35">
      <c r="A66" t="s">
        <v>77</v>
      </c>
      <c r="B66">
        <v>5.8</v>
      </c>
      <c r="C66">
        <v>0</v>
      </c>
      <c r="D66">
        <v>0</v>
      </c>
      <c r="E66">
        <v>0</v>
      </c>
      <c r="G66">
        <v>0</v>
      </c>
      <c r="H66">
        <v>0</v>
      </c>
      <c r="I66">
        <v>53.3</v>
      </c>
      <c r="J66">
        <v>0</v>
      </c>
      <c r="K66">
        <v>0</v>
      </c>
      <c r="L66">
        <v>19.600000000000001</v>
      </c>
      <c r="M66">
        <v>21.3</v>
      </c>
      <c r="N66">
        <v>0</v>
      </c>
      <c r="O66">
        <v>12693</v>
      </c>
      <c r="Q66" s="2" t="s">
        <v>77</v>
      </c>
      <c r="R66">
        <f t="shared" si="0"/>
        <v>5.8</v>
      </c>
      <c r="S66">
        <f t="shared" si="1"/>
        <v>94.2</v>
      </c>
      <c r="T66">
        <f t="shared" si="2"/>
        <v>100</v>
      </c>
    </row>
    <row r="67" spans="1:20" x14ac:dyDescent="0.35">
      <c r="A67" t="s">
        <v>78</v>
      </c>
      <c r="B67">
        <v>12.4</v>
      </c>
      <c r="C67">
        <v>0</v>
      </c>
      <c r="D67">
        <v>0</v>
      </c>
      <c r="E67">
        <v>0</v>
      </c>
      <c r="G67">
        <v>0</v>
      </c>
      <c r="H67">
        <v>0</v>
      </c>
      <c r="I67">
        <v>45.9</v>
      </c>
      <c r="J67">
        <v>0</v>
      </c>
      <c r="K67">
        <v>0</v>
      </c>
      <c r="L67">
        <v>19.899999999999999</v>
      </c>
      <c r="M67">
        <v>21.8</v>
      </c>
      <c r="N67">
        <v>0</v>
      </c>
      <c r="O67">
        <v>11615</v>
      </c>
      <c r="Q67" s="2" t="s">
        <v>78</v>
      </c>
      <c r="R67">
        <f t="shared" ref="R67:R81" si="3">SUM(B67:E67)</f>
        <v>12.4</v>
      </c>
      <c r="S67">
        <f t="shared" ref="S67:S81" si="4">SUM(G67:N67)</f>
        <v>87.6</v>
      </c>
      <c r="T67">
        <f t="shared" ref="T67:T81" si="5">SUM(R67:S67)</f>
        <v>100</v>
      </c>
    </row>
    <row r="68" spans="1:20" x14ac:dyDescent="0.35">
      <c r="A68" t="s">
        <v>79</v>
      </c>
      <c r="B68">
        <v>12.6</v>
      </c>
      <c r="C68">
        <v>0</v>
      </c>
      <c r="D68">
        <v>0</v>
      </c>
      <c r="E68">
        <v>0</v>
      </c>
      <c r="G68">
        <v>0</v>
      </c>
      <c r="H68">
        <v>0</v>
      </c>
      <c r="I68">
        <v>46.5</v>
      </c>
      <c r="J68">
        <v>0</v>
      </c>
      <c r="K68">
        <v>0</v>
      </c>
      <c r="L68">
        <v>19.8</v>
      </c>
      <c r="M68">
        <v>21.1</v>
      </c>
      <c r="N68">
        <v>0</v>
      </c>
      <c r="O68">
        <v>11720</v>
      </c>
      <c r="Q68" s="2" t="s">
        <v>79</v>
      </c>
      <c r="R68">
        <f t="shared" si="3"/>
        <v>12.6</v>
      </c>
      <c r="S68">
        <f t="shared" si="4"/>
        <v>87.4</v>
      </c>
      <c r="T68">
        <f t="shared" si="5"/>
        <v>100</v>
      </c>
    </row>
    <row r="69" spans="1:20" x14ac:dyDescent="0.35">
      <c r="A69" t="s">
        <v>80</v>
      </c>
      <c r="B69">
        <v>15.4</v>
      </c>
      <c r="C69">
        <v>0</v>
      </c>
      <c r="D69">
        <v>0</v>
      </c>
      <c r="E69">
        <v>0</v>
      </c>
      <c r="G69">
        <v>0</v>
      </c>
      <c r="H69">
        <v>0</v>
      </c>
      <c r="I69">
        <v>39.200000000000003</v>
      </c>
      <c r="J69">
        <v>0</v>
      </c>
      <c r="K69">
        <v>0</v>
      </c>
      <c r="L69">
        <v>21.8</v>
      </c>
      <c r="M69">
        <v>23.5</v>
      </c>
      <c r="N69">
        <v>0</v>
      </c>
      <c r="O69">
        <v>11168</v>
      </c>
      <c r="Q69" s="2" t="s">
        <v>80</v>
      </c>
      <c r="R69">
        <f t="shared" si="3"/>
        <v>15.4</v>
      </c>
      <c r="S69">
        <f t="shared" si="4"/>
        <v>84.5</v>
      </c>
      <c r="T69">
        <f t="shared" si="5"/>
        <v>99.9</v>
      </c>
    </row>
    <row r="70" spans="1:20" x14ac:dyDescent="0.35">
      <c r="A70" t="s">
        <v>81</v>
      </c>
      <c r="B70">
        <v>21.4</v>
      </c>
      <c r="C70">
        <v>0</v>
      </c>
      <c r="D70">
        <v>0</v>
      </c>
      <c r="E70">
        <v>0</v>
      </c>
      <c r="G70">
        <v>0</v>
      </c>
      <c r="H70">
        <v>0</v>
      </c>
      <c r="I70">
        <v>30.6</v>
      </c>
      <c r="J70">
        <v>0</v>
      </c>
      <c r="K70">
        <v>0</v>
      </c>
      <c r="L70">
        <v>21.5</v>
      </c>
      <c r="M70">
        <v>26.5</v>
      </c>
      <c r="N70">
        <v>0</v>
      </c>
      <c r="O70">
        <v>11408</v>
      </c>
      <c r="Q70" s="2" t="s">
        <v>81</v>
      </c>
      <c r="R70">
        <f t="shared" si="3"/>
        <v>21.4</v>
      </c>
      <c r="S70">
        <f t="shared" si="4"/>
        <v>78.599999999999994</v>
      </c>
      <c r="T70">
        <f t="shared" si="5"/>
        <v>100</v>
      </c>
    </row>
    <row r="71" spans="1:20" x14ac:dyDescent="0.35">
      <c r="A71" t="s">
        <v>82</v>
      </c>
      <c r="B71">
        <v>23.3</v>
      </c>
      <c r="C71">
        <v>0</v>
      </c>
      <c r="D71">
        <v>0</v>
      </c>
      <c r="E71">
        <v>0</v>
      </c>
      <c r="G71">
        <v>0</v>
      </c>
      <c r="H71">
        <v>0</v>
      </c>
      <c r="I71">
        <v>31.6</v>
      </c>
      <c r="J71">
        <v>0</v>
      </c>
      <c r="K71">
        <v>0</v>
      </c>
      <c r="L71">
        <v>21.9</v>
      </c>
      <c r="M71">
        <v>23.2</v>
      </c>
      <c r="N71">
        <v>0</v>
      </c>
      <c r="O71">
        <v>10751</v>
      </c>
      <c r="Q71" s="2" t="s">
        <v>82</v>
      </c>
      <c r="R71">
        <f t="shared" si="3"/>
        <v>23.3</v>
      </c>
      <c r="S71">
        <f t="shared" si="4"/>
        <v>76.7</v>
      </c>
      <c r="T71">
        <f t="shared" si="5"/>
        <v>100</v>
      </c>
    </row>
    <row r="72" spans="1:20" x14ac:dyDescent="0.35">
      <c r="A72" t="s">
        <v>83</v>
      </c>
      <c r="B72">
        <v>23.3</v>
      </c>
      <c r="C72">
        <v>0</v>
      </c>
      <c r="D72">
        <v>0</v>
      </c>
      <c r="E72">
        <v>0</v>
      </c>
      <c r="G72">
        <v>0</v>
      </c>
      <c r="H72">
        <v>0</v>
      </c>
      <c r="I72">
        <v>28.2</v>
      </c>
      <c r="J72">
        <v>0</v>
      </c>
      <c r="K72">
        <v>0</v>
      </c>
      <c r="L72">
        <v>23.5</v>
      </c>
      <c r="M72">
        <v>24.9</v>
      </c>
      <c r="N72">
        <v>0</v>
      </c>
      <c r="O72">
        <v>8650</v>
      </c>
      <c r="Q72" s="2" t="s">
        <v>83</v>
      </c>
      <c r="R72">
        <f t="shared" si="3"/>
        <v>23.3</v>
      </c>
      <c r="S72">
        <f t="shared" si="4"/>
        <v>76.599999999999994</v>
      </c>
      <c r="T72">
        <f t="shared" si="5"/>
        <v>99.899999999999991</v>
      </c>
    </row>
    <row r="73" spans="1:20" x14ac:dyDescent="0.35">
      <c r="A73" t="s">
        <v>84</v>
      </c>
      <c r="B73">
        <v>42.9</v>
      </c>
      <c r="C73">
        <v>1.1000000000000001</v>
      </c>
      <c r="D73">
        <v>2.2999999999999998</v>
      </c>
      <c r="E73">
        <v>0</v>
      </c>
      <c r="G73">
        <v>0</v>
      </c>
      <c r="H73">
        <v>0</v>
      </c>
      <c r="I73">
        <v>7.6</v>
      </c>
      <c r="J73">
        <v>0</v>
      </c>
      <c r="K73">
        <v>0</v>
      </c>
      <c r="L73">
        <v>4.2</v>
      </c>
      <c r="M73">
        <v>41.8</v>
      </c>
      <c r="N73">
        <v>0</v>
      </c>
      <c r="O73">
        <v>9402</v>
      </c>
      <c r="Q73" s="2" t="s">
        <v>84</v>
      </c>
      <c r="R73">
        <f t="shared" si="3"/>
        <v>46.3</v>
      </c>
      <c r="S73">
        <f t="shared" si="4"/>
        <v>53.599999999999994</v>
      </c>
      <c r="T73">
        <f t="shared" si="5"/>
        <v>99.899999999999991</v>
      </c>
    </row>
    <row r="74" spans="1:20" x14ac:dyDescent="0.35">
      <c r="A74" t="s">
        <v>85</v>
      </c>
      <c r="B74">
        <v>37.1</v>
      </c>
      <c r="C74">
        <v>5.0999999999999996</v>
      </c>
      <c r="D74">
        <v>6.5</v>
      </c>
      <c r="E74">
        <v>0</v>
      </c>
      <c r="G74">
        <v>0</v>
      </c>
      <c r="H74">
        <v>0</v>
      </c>
      <c r="I74">
        <v>5.5</v>
      </c>
      <c r="J74">
        <v>0</v>
      </c>
      <c r="K74">
        <v>0</v>
      </c>
      <c r="L74">
        <v>0</v>
      </c>
      <c r="M74">
        <v>45.4</v>
      </c>
      <c r="N74">
        <v>0.3</v>
      </c>
      <c r="O74">
        <v>10142</v>
      </c>
      <c r="Q74" s="2" t="s">
        <v>85</v>
      </c>
      <c r="R74">
        <f t="shared" si="3"/>
        <v>48.7</v>
      </c>
      <c r="S74">
        <f t="shared" si="4"/>
        <v>51.199999999999996</v>
      </c>
      <c r="T74">
        <f t="shared" si="5"/>
        <v>99.9</v>
      </c>
    </row>
    <row r="75" spans="1:20" x14ac:dyDescent="0.35">
      <c r="A75" t="s">
        <v>86</v>
      </c>
      <c r="B75">
        <v>31.9</v>
      </c>
      <c r="C75">
        <v>10.3</v>
      </c>
      <c r="D75">
        <v>5.6</v>
      </c>
      <c r="E75">
        <v>0</v>
      </c>
      <c r="G75">
        <v>0</v>
      </c>
      <c r="H75">
        <v>0</v>
      </c>
      <c r="I75">
        <v>4.5</v>
      </c>
      <c r="J75">
        <v>0</v>
      </c>
      <c r="K75">
        <v>0</v>
      </c>
      <c r="L75">
        <v>0</v>
      </c>
      <c r="M75">
        <v>32.6</v>
      </c>
      <c r="N75">
        <v>15.1</v>
      </c>
      <c r="O75">
        <v>13063</v>
      </c>
      <c r="Q75" s="2" t="s">
        <v>86</v>
      </c>
      <c r="R75">
        <f t="shared" si="3"/>
        <v>47.800000000000004</v>
      </c>
      <c r="S75">
        <f t="shared" si="4"/>
        <v>52.2</v>
      </c>
      <c r="T75">
        <f t="shared" si="5"/>
        <v>100</v>
      </c>
    </row>
    <row r="76" spans="1:20" x14ac:dyDescent="0.35">
      <c r="A76" t="s">
        <v>87</v>
      </c>
      <c r="B76">
        <v>20.399999999999999</v>
      </c>
      <c r="C76">
        <v>24.6</v>
      </c>
      <c r="D76">
        <v>5.2</v>
      </c>
      <c r="E76">
        <v>0</v>
      </c>
      <c r="G76">
        <v>0</v>
      </c>
      <c r="H76">
        <v>0</v>
      </c>
      <c r="I76">
        <v>4.5999999999999996</v>
      </c>
      <c r="J76">
        <v>0</v>
      </c>
      <c r="K76">
        <v>0</v>
      </c>
      <c r="L76">
        <v>0</v>
      </c>
      <c r="M76">
        <v>19.5</v>
      </c>
      <c r="N76">
        <v>25.7</v>
      </c>
      <c r="O76">
        <v>21051</v>
      </c>
      <c r="Q76" s="2" t="s">
        <v>87</v>
      </c>
      <c r="R76">
        <f t="shared" si="3"/>
        <v>50.2</v>
      </c>
      <c r="S76">
        <f t="shared" si="4"/>
        <v>49.8</v>
      </c>
      <c r="T76">
        <f t="shared" si="5"/>
        <v>100</v>
      </c>
    </row>
    <row r="77" spans="1:20" x14ac:dyDescent="0.35">
      <c r="A77" t="s">
        <v>88</v>
      </c>
      <c r="B77">
        <v>23.7</v>
      </c>
      <c r="C77">
        <v>27</v>
      </c>
      <c r="D77">
        <v>5</v>
      </c>
      <c r="E77">
        <v>0</v>
      </c>
      <c r="G77">
        <v>0</v>
      </c>
      <c r="H77">
        <v>0</v>
      </c>
      <c r="I77">
        <v>4.4000000000000004</v>
      </c>
      <c r="J77">
        <v>0</v>
      </c>
      <c r="K77">
        <v>0</v>
      </c>
      <c r="L77">
        <v>0</v>
      </c>
      <c r="M77">
        <v>5.3</v>
      </c>
      <c r="N77">
        <v>34.700000000000003</v>
      </c>
      <c r="O77">
        <v>13431</v>
      </c>
      <c r="Q77" s="2" t="s">
        <v>88</v>
      </c>
      <c r="R77">
        <f t="shared" si="3"/>
        <v>55.7</v>
      </c>
      <c r="S77">
        <f t="shared" si="4"/>
        <v>44.400000000000006</v>
      </c>
      <c r="T77">
        <f t="shared" si="5"/>
        <v>100.10000000000001</v>
      </c>
    </row>
    <row r="78" spans="1:20" x14ac:dyDescent="0.35">
      <c r="A78" t="s">
        <v>89</v>
      </c>
      <c r="B78">
        <v>13.6</v>
      </c>
      <c r="C78">
        <v>35.9</v>
      </c>
      <c r="D78">
        <v>7.8</v>
      </c>
      <c r="E78">
        <v>0</v>
      </c>
      <c r="G78">
        <v>0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40.6</v>
      </c>
      <c r="O78">
        <v>12230</v>
      </c>
      <c r="Q78" s="2" t="s">
        <v>89</v>
      </c>
      <c r="R78">
        <f t="shared" si="3"/>
        <v>57.3</v>
      </c>
      <c r="S78">
        <f t="shared" si="4"/>
        <v>42.6</v>
      </c>
      <c r="T78">
        <f t="shared" si="5"/>
        <v>99.9</v>
      </c>
    </row>
    <row r="79" spans="1:20" x14ac:dyDescent="0.35">
      <c r="A79" t="s">
        <v>90</v>
      </c>
      <c r="B79">
        <v>0.4</v>
      </c>
      <c r="C79">
        <v>48</v>
      </c>
      <c r="D79">
        <v>11.4</v>
      </c>
      <c r="E79">
        <v>0</v>
      </c>
      <c r="G79">
        <v>0</v>
      </c>
      <c r="H79">
        <v>0</v>
      </c>
      <c r="I79">
        <v>0.1</v>
      </c>
      <c r="J79">
        <v>0</v>
      </c>
      <c r="K79">
        <v>0</v>
      </c>
      <c r="L79">
        <v>0</v>
      </c>
      <c r="M79">
        <v>0</v>
      </c>
      <c r="N79">
        <v>40.200000000000003</v>
      </c>
      <c r="O79">
        <v>12354</v>
      </c>
      <c r="Q79" s="2" t="s">
        <v>90</v>
      </c>
      <c r="R79">
        <f t="shared" si="3"/>
        <v>59.8</v>
      </c>
      <c r="S79">
        <f t="shared" si="4"/>
        <v>40.300000000000004</v>
      </c>
      <c r="T79">
        <f t="shared" si="5"/>
        <v>100.1</v>
      </c>
    </row>
    <row r="80" spans="1:20" x14ac:dyDescent="0.35">
      <c r="A80" t="s">
        <v>91</v>
      </c>
      <c r="B80">
        <v>0</v>
      </c>
      <c r="C80">
        <v>48.4</v>
      </c>
      <c r="D80">
        <v>11.3</v>
      </c>
      <c r="E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40.299999999999997</v>
      </c>
      <c r="O80">
        <v>12003</v>
      </c>
      <c r="Q80" s="2" t="s">
        <v>91</v>
      </c>
      <c r="R80">
        <f t="shared" si="3"/>
        <v>59.7</v>
      </c>
      <c r="S80">
        <f t="shared" si="4"/>
        <v>40.299999999999997</v>
      </c>
      <c r="T80">
        <f t="shared" si="5"/>
        <v>100</v>
      </c>
    </row>
    <row r="81" spans="1:20" x14ac:dyDescent="0.35">
      <c r="A81" t="s">
        <v>92</v>
      </c>
      <c r="B81">
        <v>0</v>
      </c>
      <c r="C81">
        <v>46.4</v>
      </c>
      <c r="D81">
        <v>11.5</v>
      </c>
      <c r="E81">
        <v>0.1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42.1</v>
      </c>
      <c r="O81">
        <v>4804</v>
      </c>
      <c r="Q81" s="2" t="s">
        <v>92</v>
      </c>
      <c r="R81">
        <f t="shared" si="3"/>
        <v>58</v>
      </c>
      <c r="S81">
        <f t="shared" si="4"/>
        <v>42.1</v>
      </c>
      <c r="T81">
        <f t="shared" si="5"/>
        <v>100.1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FAB7-304B-41E5-99EB-DB7EB0A3C83F}">
  <dimension ref="A2:E21"/>
  <sheetViews>
    <sheetView zoomScale="69" zoomScaleNormal="160" workbookViewId="0">
      <selection activeCell="E9" sqref="E9"/>
    </sheetView>
  </sheetViews>
  <sheetFormatPr defaultRowHeight="14.5" x14ac:dyDescent="0.35"/>
  <cols>
    <col min="3" max="3" width="12.6328125" bestFit="1" customWidth="1"/>
    <col min="4" max="4" width="9.08984375" bestFit="1" customWidth="1"/>
    <col min="5" max="5" width="21.36328125" bestFit="1" customWidth="1"/>
    <col min="6" max="6" width="17.7265625" bestFit="1" customWidth="1"/>
  </cols>
  <sheetData>
    <row r="2" spans="1:5" x14ac:dyDescent="0.35">
      <c r="A2" t="s">
        <v>116</v>
      </c>
      <c r="B2" t="s">
        <v>135</v>
      </c>
      <c r="C2" t="s">
        <v>136</v>
      </c>
      <c r="D2" t="s">
        <v>137</v>
      </c>
      <c r="E2" t="s">
        <v>138</v>
      </c>
    </row>
    <row r="3" spans="1:5" x14ac:dyDescent="0.35">
      <c r="A3" t="s">
        <v>105</v>
      </c>
      <c r="B3" s="5">
        <v>1.6716</v>
      </c>
      <c r="C3" s="5">
        <v>1.1860999999999999</v>
      </c>
      <c r="D3" s="5">
        <v>1.5556000000000001</v>
      </c>
      <c r="E3" s="5">
        <v>1.1472</v>
      </c>
    </row>
    <row r="4" spans="1:5" x14ac:dyDescent="0.35">
      <c r="A4" t="s">
        <v>117</v>
      </c>
      <c r="B4" s="5">
        <v>1.6521999999999999</v>
      </c>
      <c r="C4" s="5">
        <v>1.1544000000000001</v>
      </c>
      <c r="D4" s="5">
        <v>1.534</v>
      </c>
      <c r="E4" s="5">
        <v>1.1222000000000001</v>
      </c>
    </row>
    <row r="5" spans="1:5" x14ac:dyDescent="0.35">
      <c r="A5" t="s">
        <v>118</v>
      </c>
      <c r="B5" s="5">
        <v>1.7023999999999999</v>
      </c>
      <c r="C5" s="5">
        <v>1.1615</v>
      </c>
      <c r="D5" s="5">
        <v>1.5829</v>
      </c>
      <c r="E5" s="5">
        <v>1.127</v>
      </c>
    </row>
    <row r="6" spans="1:5" x14ac:dyDescent="0.35">
      <c r="A6" t="s">
        <v>119</v>
      </c>
      <c r="B6" s="5">
        <v>1.7528999999999999</v>
      </c>
      <c r="C6" s="5">
        <v>1.1499999999999999</v>
      </c>
      <c r="D6" s="5">
        <v>1.6474</v>
      </c>
      <c r="E6" s="5">
        <v>1.1254</v>
      </c>
    </row>
    <row r="7" spans="1:5" x14ac:dyDescent="0.35">
      <c r="A7" t="s">
        <v>120</v>
      </c>
      <c r="B7" s="5">
        <v>1.7853000000000001</v>
      </c>
      <c r="C7" s="5">
        <v>1.1032</v>
      </c>
      <c r="D7" s="5">
        <v>1.6952</v>
      </c>
      <c r="E7" s="5">
        <v>1.0933999999999999</v>
      </c>
    </row>
    <row r="8" spans="1:5" x14ac:dyDescent="0.35">
      <c r="A8" t="s">
        <v>121</v>
      </c>
      <c r="B8" s="5">
        <v>1.6821999999999999</v>
      </c>
      <c r="C8" s="5">
        <v>1.1053999999999999</v>
      </c>
      <c r="D8" s="5">
        <v>1.5789</v>
      </c>
      <c r="E8" s="5">
        <v>1.0882000000000001</v>
      </c>
    </row>
    <row r="9" spans="1:5" x14ac:dyDescent="0.35">
      <c r="A9" t="s">
        <v>122</v>
      </c>
      <c r="B9" s="5">
        <v>1.7103999999999999</v>
      </c>
      <c r="C9" s="5">
        <v>1.1657</v>
      </c>
      <c r="D9" s="5">
        <v>1.5971</v>
      </c>
      <c r="E9" s="5">
        <v>1.1332</v>
      </c>
    </row>
    <row r="10" spans="1:5" x14ac:dyDescent="0.35">
      <c r="A10" t="s">
        <v>123</v>
      </c>
      <c r="B10" s="5">
        <v>1.7030000000000001</v>
      </c>
      <c r="C10" s="5">
        <v>1.2031000000000001</v>
      </c>
      <c r="D10" s="5">
        <v>1.6042000000000001</v>
      </c>
      <c r="E10" s="5">
        <v>1.165</v>
      </c>
    </row>
    <row r="11" spans="1:5" x14ac:dyDescent="0.35">
      <c r="A11" t="s">
        <v>124</v>
      </c>
      <c r="B11" s="5">
        <v>1.7585</v>
      </c>
      <c r="C11" s="5">
        <v>1.1754</v>
      </c>
      <c r="D11" s="5">
        <v>1.6632</v>
      </c>
      <c r="E11" s="5">
        <v>1.1540999999999999</v>
      </c>
    </row>
    <row r="12" spans="1:5" x14ac:dyDescent="0.35">
      <c r="A12" t="s">
        <v>125</v>
      </c>
      <c r="B12" s="5">
        <v>1.6359999999999999</v>
      </c>
      <c r="C12" s="5">
        <v>1.2018</v>
      </c>
      <c r="D12" s="5">
        <v>1.5330999999999999</v>
      </c>
      <c r="E12" s="5">
        <v>1.1729000000000001</v>
      </c>
    </row>
    <row r="13" spans="1:5" x14ac:dyDescent="0.35">
      <c r="A13" t="s">
        <v>126</v>
      </c>
      <c r="B13" s="5">
        <v>1.6712</v>
      </c>
      <c r="C13" s="5">
        <v>1.1956</v>
      </c>
      <c r="D13" s="5">
        <v>1.5628</v>
      </c>
      <c r="E13" s="5">
        <v>1.1701999999999999</v>
      </c>
    </row>
    <row r="14" spans="1:5" x14ac:dyDescent="0.35">
      <c r="A14" t="s">
        <v>127</v>
      </c>
      <c r="B14" s="5">
        <v>1.6420999999999999</v>
      </c>
      <c r="C14" s="5">
        <v>1.2051000000000001</v>
      </c>
      <c r="D14" s="5">
        <v>1.5448999999999999</v>
      </c>
      <c r="E14" s="5">
        <v>1.1854</v>
      </c>
    </row>
    <row r="15" spans="1:5" x14ac:dyDescent="0.35">
      <c r="A15" t="s">
        <v>128</v>
      </c>
      <c r="B15" s="5">
        <v>1.6040000000000001</v>
      </c>
      <c r="C15" s="5">
        <v>1.1808000000000001</v>
      </c>
      <c r="D15" s="5">
        <v>1.5216000000000001</v>
      </c>
      <c r="E15" s="5">
        <v>1.1677</v>
      </c>
    </row>
    <row r="16" spans="1:5" x14ac:dyDescent="0.35">
      <c r="A16" t="s">
        <v>129</v>
      </c>
      <c r="B16" s="5">
        <v>1.5908</v>
      </c>
      <c r="C16" s="5">
        <v>1.1967000000000001</v>
      </c>
      <c r="D16" s="5">
        <v>1.4937</v>
      </c>
      <c r="E16" s="5">
        <v>1.1788000000000001</v>
      </c>
    </row>
    <row r="17" spans="1:5" x14ac:dyDescent="0.35">
      <c r="A17" t="s">
        <v>130</v>
      </c>
      <c r="B17" s="5">
        <v>1.6086</v>
      </c>
      <c r="C17" s="5">
        <v>1.1938</v>
      </c>
      <c r="D17" s="5">
        <v>1.5099</v>
      </c>
      <c r="E17" s="5">
        <v>1.1780999999999999</v>
      </c>
    </row>
    <row r="18" spans="1:5" x14ac:dyDescent="0.35">
      <c r="A18" t="s">
        <v>131</v>
      </c>
      <c r="B18" s="5">
        <v>1.5942000000000001</v>
      </c>
      <c r="C18" s="5">
        <v>1.1898</v>
      </c>
      <c r="D18" s="5">
        <v>1.5115000000000001</v>
      </c>
      <c r="E18" s="5">
        <v>1.1801999999999999</v>
      </c>
    </row>
    <row r="19" spans="1:5" x14ac:dyDescent="0.35">
      <c r="A19" t="s">
        <v>132</v>
      </c>
      <c r="B19" s="5">
        <v>1.5817000000000001</v>
      </c>
      <c r="C19" s="5">
        <v>1.2029000000000001</v>
      </c>
      <c r="D19" s="5">
        <v>1.5033000000000001</v>
      </c>
      <c r="E19" s="5">
        <v>1.194</v>
      </c>
    </row>
    <row r="20" spans="1:5" x14ac:dyDescent="0.35">
      <c r="A20" t="s">
        <v>106</v>
      </c>
      <c r="B20" s="5">
        <v>1.5969</v>
      </c>
      <c r="C20" s="5">
        <v>1.2023999999999999</v>
      </c>
      <c r="D20" s="5">
        <v>1.4974000000000001</v>
      </c>
      <c r="E20" s="5">
        <v>1.1849000000000001</v>
      </c>
    </row>
    <row r="21" spans="1:5" x14ac:dyDescent="0.35">
      <c r="A21" t="s">
        <v>134</v>
      </c>
      <c r="B21" s="5">
        <v>1.6184000000000001</v>
      </c>
      <c r="C21" s="5">
        <v>1.1967000000000001</v>
      </c>
      <c r="D21" s="5">
        <v>1.5098</v>
      </c>
      <c r="E21" s="5">
        <v>1.1791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EDD0-4E29-4742-B69D-1B30C8EBCD2C}">
  <dimension ref="A2:G27"/>
  <sheetViews>
    <sheetView zoomScale="69" zoomScaleNormal="69" workbookViewId="0">
      <selection activeCell="E9" sqref="E9"/>
    </sheetView>
  </sheetViews>
  <sheetFormatPr defaultRowHeight="14.5" x14ac:dyDescent="0.35"/>
  <cols>
    <col min="1" max="1" width="22.1796875" bestFit="1" customWidth="1"/>
    <col min="2" max="2" width="15.26953125" bestFit="1" customWidth="1"/>
    <col min="3" max="3" width="11.90625" bestFit="1" customWidth="1"/>
    <col min="4" max="4" width="15.1796875" bestFit="1" customWidth="1"/>
    <col min="5" max="5" width="11.81640625" bestFit="1" customWidth="1"/>
    <col min="6" max="6" width="15.6328125" bestFit="1" customWidth="1"/>
    <col min="7" max="7" width="12.26953125" bestFit="1" customWidth="1"/>
  </cols>
  <sheetData>
    <row r="2" spans="1:7" x14ac:dyDescent="0.35">
      <c r="A2" t="s">
        <v>116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</row>
    <row r="3" spans="1:7" x14ac:dyDescent="0.35">
      <c r="A3" t="s">
        <v>105</v>
      </c>
      <c r="B3" s="3">
        <v>9384</v>
      </c>
      <c r="C3" s="4">
        <v>0.33500000000000002</v>
      </c>
      <c r="D3" s="3">
        <v>9330</v>
      </c>
      <c r="E3" s="4">
        <v>0.33300000000000002</v>
      </c>
      <c r="F3" s="3">
        <v>9290</v>
      </c>
      <c r="G3" s="4">
        <v>0.33200000000000002</v>
      </c>
    </row>
    <row r="4" spans="1:7" x14ac:dyDescent="0.35">
      <c r="A4" t="s">
        <v>117</v>
      </c>
      <c r="B4" s="3">
        <v>8905</v>
      </c>
      <c r="C4" s="4">
        <v>0.34899999999999998</v>
      </c>
      <c r="D4" s="3">
        <v>8118</v>
      </c>
      <c r="E4" s="4">
        <v>0.318</v>
      </c>
      <c r="F4" s="3">
        <v>8498</v>
      </c>
      <c r="G4" s="4">
        <v>0.33300000000000002</v>
      </c>
    </row>
    <row r="5" spans="1:7" x14ac:dyDescent="0.35">
      <c r="A5" t="s">
        <v>118</v>
      </c>
      <c r="B5" s="3">
        <v>7264</v>
      </c>
      <c r="C5" s="4">
        <v>0.32700000000000001</v>
      </c>
      <c r="D5" s="3">
        <v>7318</v>
      </c>
      <c r="E5" s="4">
        <v>0.32900000000000001</v>
      </c>
      <c r="F5" s="3">
        <v>7632</v>
      </c>
      <c r="G5" s="4">
        <v>0.34399999999999997</v>
      </c>
    </row>
    <row r="6" spans="1:7" x14ac:dyDescent="0.35">
      <c r="A6" t="s">
        <v>119</v>
      </c>
      <c r="B6" s="3">
        <v>5194</v>
      </c>
      <c r="C6" s="4">
        <v>0.3</v>
      </c>
      <c r="D6" s="3">
        <v>6108</v>
      </c>
      <c r="E6" s="4">
        <v>0.35299999999999998</v>
      </c>
      <c r="F6" s="3">
        <v>6017</v>
      </c>
      <c r="G6" s="4">
        <v>0.34699999999999998</v>
      </c>
    </row>
    <row r="7" spans="1:7" x14ac:dyDescent="0.35">
      <c r="A7" t="s">
        <v>120</v>
      </c>
      <c r="B7" s="3">
        <v>6241</v>
      </c>
      <c r="C7" s="4">
        <v>0.26900000000000002</v>
      </c>
      <c r="D7" s="3">
        <v>8729</v>
      </c>
      <c r="E7" s="4">
        <v>0.377</v>
      </c>
      <c r="F7" s="3">
        <v>8188</v>
      </c>
      <c r="G7" s="4">
        <v>0.35399999999999998</v>
      </c>
    </row>
    <row r="8" spans="1:7" x14ac:dyDescent="0.35">
      <c r="A8" t="s">
        <v>121</v>
      </c>
      <c r="B8" s="3">
        <v>6184</v>
      </c>
      <c r="C8" s="4">
        <v>0.29899999999999999</v>
      </c>
      <c r="D8" s="3">
        <v>7188</v>
      </c>
      <c r="E8" s="4">
        <v>0.34799999999999998</v>
      </c>
      <c r="F8" s="3">
        <v>7298</v>
      </c>
      <c r="G8" s="4">
        <v>0.35299999999999998</v>
      </c>
    </row>
    <row r="9" spans="1:7" x14ac:dyDescent="0.35">
      <c r="A9" t="s">
        <v>122</v>
      </c>
      <c r="B9" s="3">
        <v>6820</v>
      </c>
      <c r="C9" s="4">
        <v>0.308</v>
      </c>
      <c r="D9" s="3">
        <v>7492</v>
      </c>
      <c r="E9" s="4">
        <v>0.33800000000000002</v>
      </c>
      <c r="F9" s="3">
        <v>7851</v>
      </c>
      <c r="G9" s="4">
        <v>0.35399999999999998</v>
      </c>
    </row>
    <row r="10" spans="1:7" x14ac:dyDescent="0.35">
      <c r="A10" t="s">
        <v>123</v>
      </c>
      <c r="B10" s="3">
        <v>7216</v>
      </c>
      <c r="C10" s="4">
        <v>0.31900000000000001</v>
      </c>
      <c r="D10" s="3">
        <v>7341</v>
      </c>
      <c r="E10" s="4">
        <v>0.32500000000000001</v>
      </c>
      <c r="F10" s="3">
        <v>8060</v>
      </c>
      <c r="G10" s="4">
        <v>0.35599999999999998</v>
      </c>
    </row>
    <row r="11" spans="1:7" x14ac:dyDescent="0.35">
      <c r="A11" t="s">
        <v>124</v>
      </c>
      <c r="B11" s="3">
        <v>11595</v>
      </c>
      <c r="C11" s="4">
        <v>0.29099999999999998</v>
      </c>
      <c r="D11" s="3">
        <v>13255</v>
      </c>
      <c r="E11" s="4">
        <v>0.33300000000000002</v>
      </c>
      <c r="F11" s="3">
        <v>14977</v>
      </c>
      <c r="G11" s="4">
        <v>0.376</v>
      </c>
    </row>
    <row r="12" spans="1:7" x14ac:dyDescent="0.35">
      <c r="A12" t="s">
        <v>125</v>
      </c>
      <c r="B12" s="3">
        <v>10975</v>
      </c>
      <c r="C12" s="4">
        <v>0.32900000000000001</v>
      </c>
      <c r="D12" s="3">
        <v>10197</v>
      </c>
      <c r="E12" s="4">
        <v>0.30599999999999999</v>
      </c>
      <c r="F12" s="3">
        <v>12149</v>
      </c>
      <c r="G12" s="4">
        <v>0.36499999999999999</v>
      </c>
    </row>
    <row r="13" spans="1:7" x14ac:dyDescent="0.35">
      <c r="A13" t="s">
        <v>126</v>
      </c>
      <c r="B13" s="3">
        <v>9779</v>
      </c>
      <c r="C13" s="4">
        <v>0.34399999999999997</v>
      </c>
      <c r="D13" s="3">
        <v>8712</v>
      </c>
      <c r="E13" s="4">
        <v>0.30599999999999999</v>
      </c>
      <c r="F13" s="3">
        <v>9953</v>
      </c>
      <c r="G13" s="4">
        <v>0.35</v>
      </c>
    </row>
    <row r="14" spans="1:7" x14ac:dyDescent="0.35">
      <c r="A14" t="s">
        <v>127</v>
      </c>
      <c r="B14" s="3">
        <v>12367</v>
      </c>
      <c r="C14" s="4">
        <v>0.40300000000000002</v>
      </c>
      <c r="D14" s="3">
        <v>8466</v>
      </c>
      <c r="E14" s="4">
        <v>0.27600000000000002</v>
      </c>
      <c r="F14" s="3">
        <v>9865</v>
      </c>
      <c r="G14" s="4">
        <v>0.32100000000000001</v>
      </c>
    </row>
    <row r="15" spans="1:7" x14ac:dyDescent="0.35">
      <c r="A15" t="s">
        <v>128</v>
      </c>
      <c r="B15" s="3">
        <v>20030</v>
      </c>
      <c r="C15" s="4">
        <v>0.40100000000000002</v>
      </c>
      <c r="D15" s="3">
        <v>13847</v>
      </c>
      <c r="E15" s="4">
        <v>0.27700000000000002</v>
      </c>
      <c r="F15" s="3">
        <v>16124</v>
      </c>
      <c r="G15" s="4">
        <v>0.32200000000000001</v>
      </c>
    </row>
    <row r="16" spans="1:7" x14ac:dyDescent="0.35">
      <c r="A16" t="s">
        <v>129</v>
      </c>
      <c r="B16" s="3">
        <v>17439</v>
      </c>
      <c r="C16" s="4">
        <v>0.42699999999999999</v>
      </c>
      <c r="D16" s="3">
        <v>10479</v>
      </c>
      <c r="E16" s="4">
        <v>0.25600000000000001</v>
      </c>
      <c r="F16" s="3">
        <v>12957</v>
      </c>
      <c r="G16" s="4">
        <v>0.317</v>
      </c>
    </row>
    <row r="17" spans="1:7" x14ac:dyDescent="0.35">
      <c r="A17" t="s">
        <v>130</v>
      </c>
      <c r="B17" s="3">
        <v>16064</v>
      </c>
      <c r="C17" s="4">
        <v>0.43099999999999999</v>
      </c>
      <c r="D17" s="3">
        <v>9856</v>
      </c>
      <c r="E17" s="4">
        <v>0.26400000000000001</v>
      </c>
      <c r="F17" s="3">
        <v>11379</v>
      </c>
      <c r="G17" s="4">
        <v>0.30499999999999999</v>
      </c>
    </row>
    <row r="18" spans="1:7" x14ac:dyDescent="0.35">
      <c r="A18" t="s">
        <v>131</v>
      </c>
      <c r="B18" s="3">
        <v>15199</v>
      </c>
      <c r="C18" s="4">
        <v>0.46</v>
      </c>
      <c r="D18" s="3">
        <v>8688</v>
      </c>
      <c r="E18" s="4">
        <v>0.26300000000000001</v>
      </c>
      <c r="F18" s="3">
        <v>9147</v>
      </c>
      <c r="G18" s="4">
        <v>0.27700000000000002</v>
      </c>
    </row>
    <row r="19" spans="1:7" x14ac:dyDescent="0.35">
      <c r="A19" t="s">
        <v>132</v>
      </c>
      <c r="B19" s="3">
        <v>20052</v>
      </c>
      <c r="C19" s="4">
        <v>0.38100000000000001</v>
      </c>
      <c r="D19" s="3">
        <v>16099</v>
      </c>
      <c r="E19" s="4">
        <v>0.30599999999999999</v>
      </c>
      <c r="F19" s="3">
        <v>16535</v>
      </c>
      <c r="G19" s="4">
        <v>0.314</v>
      </c>
    </row>
    <row r="20" spans="1:7" x14ac:dyDescent="0.35">
      <c r="A20" t="s">
        <v>106</v>
      </c>
      <c r="B20" s="3">
        <v>17185</v>
      </c>
      <c r="C20" s="4">
        <v>0.39400000000000002</v>
      </c>
      <c r="D20" s="3">
        <v>12653</v>
      </c>
      <c r="E20" s="4">
        <v>0.28999999999999998</v>
      </c>
      <c r="F20" s="3">
        <v>13742</v>
      </c>
      <c r="G20" s="4">
        <v>0.315</v>
      </c>
    </row>
    <row r="24" spans="1:7" x14ac:dyDescent="0.35">
      <c r="B24" t="s">
        <v>105</v>
      </c>
      <c r="C24" t="s">
        <v>106</v>
      </c>
      <c r="D24" t="s">
        <v>133</v>
      </c>
    </row>
    <row r="25" spans="1:7" x14ac:dyDescent="0.35">
      <c r="A25" t="s">
        <v>107</v>
      </c>
      <c r="B25" s="4">
        <v>0.33500000000000002</v>
      </c>
      <c r="C25" s="4">
        <v>0.39400000000000002</v>
      </c>
      <c r="D25" s="4">
        <f>C25-B25</f>
        <v>5.8999999999999997E-2</v>
      </c>
    </row>
    <row r="26" spans="1:7" x14ac:dyDescent="0.35">
      <c r="A26" t="s">
        <v>108</v>
      </c>
      <c r="B26" s="4">
        <v>0.33300000000000002</v>
      </c>
      <c r="C26" s="4">
        <v>0.28999999999999998</v>
      </c>
      <c r="D26" s="4">
        <f t="shared" ref="D26:D27" si="0">C26-B26</f>
        <v>-4.3000000000000038E-2</v>
      </c>
    </row>
    <row r="27" spans="1:7" x14ac:dyDescent="0.35">
      <c r="A27" t="s">
        <v>109</v>
      </c>
      <c r="B27" s="4">
        <v>0.33200000000000002</v>
      </c>
      <c r="C27" s="4">
        <v>0.315</v>
      </c>
      <c r="D27" s="4">
        <f t="shared" si="0"/>
        <v>-1.7000000000000015E-2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KMX Pct</vt:lpstr>
      <vt:lpstr>KMX Avg Score</vt:lpstr>
      <vt:lpstr>NonKMX Pct</vt:lpstr>
      <vt:lpstr>NonKMX Avg Score</vt:lpstr>
      <vt:lpstr>Combined Pct</vt:lpstr>
      <vt:lpstr>Gen 4 Models</vt:lpstr>
      <vt:lpstr>LTV</vt:lpstr>
      <vt:lpstr>Depreciation Buckets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2026-08-14T01:20:04Z</dcterms:created>
  <dcterms:modified xsi:type="dcterms:W3CDTF">2026-08-24T17:18:06Z</dcterms:modified>
</cp:coreProperties>
</file>