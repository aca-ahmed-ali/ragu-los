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F0ADB8C7-D839-4585-9EE8-D7E5092BE6D3}" xr6:coauthVersionLast="47" xr6:coauthVersionMax="47" xr10:uidLastSave="{00000000-0000-0000-0000-000000000000}"/>
  <bookViews>
    <workbookView xWindow="-23865" yWindow="-21765" windowWidth="38730" windowHeight="21210" activeTab="1" xr2:uid="{00000000-000D-0000-FFFF-FFFF00000000}"/>
  </bookViews>
  <sheets>
    <sheet name="POS Attribution" sheetId="1" r:id="rId1"/>
    <sheet name="Sheet1" sheetId="9" r:id="rId2"/>
    <sheet name="POS Flag Means" sheetId="2" r:id="rId3"/>
    <sheet name="AN Attribution" sheetId="3" r:id="rId4"/>
    <sheet name="FRN Attribution" sheetId="4" r:id="rId5"/>
    <sheet name="STG Attribution" sheetId="5" r:id="rId6"/>
    <sheet name="FLD Attribution" sheetId="6" r:id="rId7"/>
    <sheet name="ENT Attribution" sheetId="7" r:id="rId8"/>
    <sheet name="KMX Attribution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9" l="1"/>
  <c r="N23" i="9"/>
  <c r="N20" i="9"/>
  <c r="N21" i="9"/>
  <c r="N22" i="9"/>
  <c r="N19" i="9"/>
  <c r="K33" i="9"/>
  <c r="J21" i="9"/>
  <c r="K23" i="9"/>
  <c r="L23" i="9"/>
  <c r="M23" i="9"/>
  <c r="K24" i="9"/>
  <c r="K25" i="9" s="1"/>
  <c r="K21" i="9"/>
  <c r="L21" i="9"/>
  <c r="M21" i="9"/>
  <c r="I35" i="9"/>
  <c r="J22" i="9"/>
  <c r="J19" i="9"/>
  <c r="L24" i="9"/>
  <c r="L25" i="9" s="1"/>
  <c r="M24" i="9"/>
  <c r="M25" i="9" s="1"/>
  <c r="K22" i="9"/>
  <c r="L22" i="9"/>
  <c r="M22" i="9"/>
  <c r="M20" i="9"/>
  <c r="K20" i="9"/>
  <c r="L20" i="9"/>
  <c r="J20" i="9"/>
  <c r="K19" i="9"/>
  <c r="L19" i="9"/>
  <c r="M19" i="9"/>
  <c r="J24" i="9" l="1"/>
  <c r="J25" i="9" l="1"/>
  <c r="M26" i="9" s="1"/>
  <c r="N24" i="9"/>
</calcChain>
</file>

<file path=xl/sharedStrings.xml><?xml version="1.0" encoding="utf-8"?>
<sst xmlns="http://schemas.openxmlformats.org/spreadsheetml/2006/main" count="511" uniqueCount="151">
  <si>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</si>
  <si>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</si>
  <si>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</si>
  <si>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</si>
  <si>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</si>
  <si>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</si>
  <si>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</si>
  <si>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</si>
  <si>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</si>
  <si>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</si>
  <si>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</si>
  <si>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</si>
  <si>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</si>
  <si>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</si>
  <si>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</si>
  <si>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Previous ACA Chargeoff (nonKMX)</t>
  </si>
  <si>
    <t>Small Amount Financed (nonKMX)</t>
  </si>
  <si>
    <t>Zero Cash Down (nonKMX)</t>
  </si>
  <si>
    <t>Vehicle Age (KMX)</t>
  </si>
  <si>
    <t>High Mileage Vehicle (nonKMX)</t>
  </si>
  <si>
    <t>High Sales Price (KMX 4.1)</t>
  </si>
  <si>
    <t>High PTI (KMX 3.0)</t>
  </si>
  <si>
    <t>High PTI (nonKMX)</t>
  </si>
  <si>
    <t>Low PTI (nonKMX)</t>
  </si>
  <si>
    <t>NPC (KMX)</t>
  </si>
  <si>
    <t>Low FICO (KMX 3.0)</t>
  </si>
  <si>
    <t>Low Vantage (KMX 3.0)</t>
  </si>
  <si>
    <t>Car Make (nonKMX)</t>
  </si>
  <si>
    <t>Theft Risk (nonKMX)</t>
  </si>
  <si>
    <t>Louisiana (KMX)</t>
  </si>
  <si>
    <t>Georgia (KMX)</t>
  </si>
  <si>
    <t>TX / CA / FL / CO (KMX)</t>
  </si>
  <si>
    <t>Illinois (KMX)</t>
  </si>
  <si>
    <t>Mississippi (KMX)</t>
  </si>
  <si>
    <t>MCY Low Mileage (nonKMX)</t>
  </si>
  <si>
    <t>Weekend / Weekday (nonKMX)</t>
  </si>
  <si>
    <t>Student Loans (KMX)</t>
  </si>
  <si>
    <t>Student Loans (nonKMX)</t>
  </si>
  <si>
    <t>Chime / Secured Credit (KMX)</t>
  </si>
  <si>
    <t>Chime (nonKMX)</t>
  </si>
  <si>
    <t>Secured Credit (KMX 3.0)</t>
  </si>
  <si>
    <t>Auth Tradelines (KMX 3.0)</t>
  </si>
  <si>
    <t>Auth Tradelines (KMX 3.1+)</t>
  </si>
  <si>
    <t>Auth Tradelines (nonKMX)</t>
  </si>
  <si>
    <t>Low Bureau SP (KMX 3.1+)</t>
  </si>
  <si>
    <t>Low Bureau HP (KMX 3.1+)</t>
  </si>
  <si>
    <t>CD Perc (KMX 3.1+)</t>
  </si>
  <si>
    <t>Soft Pull (KMX 3.0)</t>
  </si>
  <si>
    <t>Job Time (KMX 3.1+)</t>
  </si>
  <si>
    <t>Employment Type (KMX)</t>
  </si>
  <si>
    <t>Employment Type (nonKMX)</t>
  </si>
  <si>
    <t>Fraud (KMX)</t>
  </si>
  <si>
    <t>Fraud (nonKMX)</t>
  </si>
  <si>
    <t>Driver Flag (KMX)</t>
  </si>
  <si>
    <t>Driver Flag (nonKMX)</t>
  </si>
  <si>
    <t>Existing DQ (KMX 3.1+)</t>
  </si>
  <si>
    <t>Dealer Level / Pricing Scalar (nonKMX)</t>
  </si>
  <si>
    <t>Loss Scale Div (KMX 3.0)</t>
  </si>
  <si>
    <t>Blanket Adjustment (KMX 3.1+)</t>
  </si>
  <si>
    <t>Clip (KMX 3.0)</t>
  </si>
  <si>
    <t>Clip (KMX 3.1+)</t>
  </si>
  <si>
    <t>Final Clip (nonKMX)</t>
  </si>
  <si>
    <t>--- Population Weighting / Mixing</t>
  </si>
  <si>
    <t>--- TOTAL (POS GLI)</t>
  </si>
  <si>
    <t>Flag</t>
  </si>
  <si>
    <t>LOB_Applicability</t>
  </si>
  <si>
    <t>--- POS-WIDE FLAGS ---</t>
  </si>
  <si>
    <t>student_loan_flag</t>
  </si>
  <si>
    <t>POS (all LOBs)</t>
  </si>
  <si>
    <t>fraud_adjustment_mean</t>
  </si>
  <si>
    <t>driver_flag</t>
  </si>
  <si>
    <t>seasonal_employment_flag</t>
  </si>
  <si>
    <t>toyho_flag</t>
  </si>
  <si>
    <t>Chime (POS-wide)</t>
  </si>
  <si>
    <t>--- NONKMX-ONLY FLAGS ---</t>
  </si>
  <si>
    <t>prev_co_flag</t>
  </si>
  <si>
    <t>NonKMX-only</t>
  </si>
  <si>
    <t>small_amt_financed_flag</t>
  </si>
  <si>
    <t>pricing_change_flag</t>
  </si>
  <si>
    <t>zero_cash_down_flag</t>
  </si>
  <si>
    <t>high_mileage_vehicle_flag</t>
  </si>
  <si>
    <t>high_pti_flag</t>
  </si>
  <si>
    <t>car_make_penalty_flag</t>
  </si>
  <si>
    <t>car_make_benefit_flag</t>
  </si>
  <si>
    <t>theft_risk_flag</t>
  </si>
  <si>
    <t>mcy_low_mileage_flag</t>
  </si>
  <si>
    <t>weekend_flag</t>
  </si>
  <si>
    <t>weekday_flag</t>
  </si>
  <si>
    <t>student_loans_cutoff_date</t>
  </si>
  <si>
    <t>low_pti_flag</t>
  </si>
  <si>
    <t>nonkmx_chime_flag</t>
  </si>
  <si>
    <t>waiter_employment_flag</t>
  </si>
  <si>
    <t>nonkmx_auth_tradelines_flag</t>
  </si>
  <si>
    <t>pricing_scalar_mean</t>
  </si>
  <si>
    <t>--- KMX-ONLY FLAGS ---</t>
  </si>
  <si>
    <t>low_fico_flag</t>
  </si>
  <si>
    <t>KMX-only</t>
  </si>
  <si>
    <t>low_vantage_flag</t>
  </si>
  <si>
    <t>high_model_score_flag</t>
  </si>
  <si>
    <t>normal_pti_flag</t>
  </si>
  <si>
    <t>high_pti_tier_1_flag</t>
  </si>
  <si>
    <t>high_pti_tier_2_flag</t>
  </si>
  <si>
    <t>high_pti_tier_3_flag</t>
  </si>
  <si>
    <t>secured_credit_flag</t>
  </si>
  <si>
    <t>chime_flag</t>
  </si>
  <si>
    <t>soft_pull_flag</t>
  </si>
  <si>
    <t>narrowed_soft_pull_flag</t>
  </si>
  <si>
    <t>job_time_flag</t>
  </si>
  <si>
    <t>existing_dq_flag</t>
  </si>
  <si>
    <t>kmx_auth_tradelines_flag</t>
  </si>
  <si>
    <t>null_fico_w_vantage_flag</t>
  </si>
  <si>
    <t>null_fico_null_vantage_flag</t>
  </si>
  <si>
    <t>continuous_vehicle_age_mean</t>
  </si>
  <si>
    <t>kmx_npc_flag</t>
  </si>
  <si>
    <t>high_pti_npc</t>
  </si>
  <si>
    <t>high_sales_price_flag</t>
  </si>
  <si>
    <t>louisiana_flag</t>
  </si>
  <si>
    <t>georgia_flag</t>
  </si>
  <si>
    <t>txca_flag</t>
  </si>
  <si>
    <t>illinois_flag</t>
  </si>
  <si>
    <t>mississippi_flag</t>
  </si>
  <si>
    <t>low_bureau_flag</t>
  </si>
  <si>
    <t>cd_perc_flag</t>
  </si>
  <si>
    <t>open_tl_flag</t>
  </si>
  <si>
    <t>mtn_model_3.0_pct</t>
  </si>
  <si>
    <t>mtn_model_3.1_pct</t>
  </si>
  <si>
    <t>mtn_model_3.2_pct</t>
  </si>
  <si>
    <t>mtn_model_4.1_pct</t>
  </si>
  <si>
    <t>--- RECORD COUNTS ---</t>
  </si>
  <si>
    <t>NONKMX_RECORDS</t>
  </si>
  <si>
    <t>KMX_RECORDS</t>
  </si>
  <si>
    <t>POS_TOTAL_RECORDS</t>
  </si>
  <si>
    <t>POS</t>
  </si>
  <si>
    <t>NONKMX_AMT_FINANCED</t>
  </si>
  <si>
    <t>KMX_AMT_FINANCED</t>
  </si>
  <si>
    <t>POS_TOTAL_AMT_FINANCED</t>
  </si>
  <si>
    <t>--- Population Weighting</t>
  </si>
  <si>
    <t>--- TOTAL (GLI)</t>
  </si>
  <si>
    <t>add count of all other adjustments</t>
  </si>
  <si>
    <t>Car Make</t>
  </si>
  <si>
    <t>State Level</t>
  </si>
  <si>
    <t>sp</t>
  </si>
  <si>
    <t>1) Chime</t>
  </si>
  <si>
    <t>2) Toyota Honda</t>
  </si>
  <si>
    <t>POS Gross Loss Breakdown</t>
  </si>
  <si>
    <t>3) Dealer/State Level</t>
  </si>
  <si>
    <t>4) Student Loans</t>
  </si>
  <si>
    <t>5) KMX Soft Pull</t>
  </si>
  <si>
    <t>6) Other (33 Adjustments)</t>
  </si>
  <si>
    <t>7) Total Gross Loss Impact</t>
  </si>
  <si>
    <t>8) Total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</si>
</sst>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0" formatCode="0.0"/>
    <numFmt numFmtId="171" formatCode="0.0%"/>
    <numFmt numFmtId="172" formatCode="\+0.0;\-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2" fontId="0" fillId="0" borderId="0" xfId="0" applyNumberFormat="1"/>
    <xf numFmtId="170" fontId="0" fillId="0" borderId="0" xfId="0" applyNumberFormat="1"/>
    <xf numFmtId="0" fontId="0" fillId="2" borderId="0" xfId="0" applyFill="1"/>
    <xf numFmtId="0" fontId="2" fillId="3" borderId="1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/>
    <xf numFmtId="170" fontId="0" fillId="0" borderId="7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0" fontId="2" fillId="4" borderId="9" xfId="0" applyFont="1" applyFill="1" applyBorder="1"/>
    <xf numFmtId="1" fontId="0" fillId="0" borderId="0" xfId="0" applyNumberFormat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11" xfId="2" applyFont="1" applyFill="1" applyBorder="1" applyAlignment="1">
      <alignment horizontal="center" vertical="center"/>
    </xf>
    <xf numFmtId="171" fontId="0" fillId="0" borderId="0" xfId="2" applyNumberFormat="1" applyFont="1" applyFill="1" applyBorder="1" applyAlignment="1">
      <alignment horizontal="center" vertical="center"/>
    </xf>
    <xf numFmtId="171" fontId="0" fillId="0" borderId="11" xfId="2" applyNumberFormat="1" applyFont="1" applyFill="1" applyBorder="1" applyAlignment="1">
      <alignment horizontal="center" vertical="center"/>
    </xf>
    <xf numFmtId="0" fontId="2" fillId="4" borderId="12" xfId="0" applyFont="1" applyFill="1" applyBorder="1"/>
    <xf numFmtId="9" fontId="0" fillId="0" borderId="14" xfId="2" applyFont="1" applyFill="1" applyBorder="1" applyAlignment="1">
      <alignment horizontal="center" vertical="center"/>
    </xf>
    <xf numFmtId="9" fontId="0" fillId="0" borderId="15" xfId="2" applyFont="1" applyFill="1" applyBorder="1" applyAlignment="1">
      <alignment horizontal="center" vertical="center"/>
    </xf>
    <xf numFmtId="170" fontId="0" fillId="0" borderId="10" xfId="0" applyNumberFormat="1" applyBorder="1" applyAlignment="1">
      <alignment horizontal="center" vertical="center"/>
    </xf>
    <xf numFmtId="170" fontId="0" fillId="0" borderId="6" xfId="1" applyNumberFormat="1" applyFont="1" applyBorder="1" applyAlignment="1">
      <alignment horizontal="center" vertical="center"/>
    </xf>
    <xf numFmtId="170" fontId="0" fillId="0" borderId="10" xfId="1" applyNumberFormat="1" applyFont="1" applyFill="1" applyBorder="1" applyAlignment="1">
      <alignment horizontal="center" vertical="center"/>
    </xf>
    <xf numFmtId="9" fontId="0" fillId="0" borderId="0" xfId="2" applyFont="1"/>
    <xf numFmtId="0" fontId="0" fillId="0" borderId="1" xfId="0" applyBorder="1"/>
    <xf numFmtId="0" fontId="2" fillId="5" borderId="9" xfId="0" applyFont="1" applyFill="1" applyBorder="1"/>
    <xf numFmtId="172" fontId="0" fillId="0" borderId="1" xfId="0" applyNumberFormat="1" applyBorder="1" applyAlignment="1">
      <alignment horizontal="center"/>
    </xf>
    <xf numFmtId="170" fontId="0" fillId="0" borderId="7" xfId="1" applyNumberFormat="1" applyFont="1" applyBorder="1" applyAlignment="1">
      <alignment horizontal="center" vertical="center"/>
    </xf>
    <xf numFmtId="170" fontId="0" fillId="0" borderId="8" xfId="1" applyNumberFormat="1" applyFont="1" applyBorder="1" applyAlignment="1">
      <alignment horizontal="center" vertical="center"/>
    </xf>
    <xf numFmtId="170" fontId="0" fillId="0" borderId="0" xfId="1" applyNumberFormat="1" applyFont="1" applyFill="1" applyBorder="1" applyAlignment="1">
      <alignment horizontal="center" vertical="center"/>
    </xf>
    <xf numFmtId="170" fontId="0" fillId="0" borderId="11" xfId="1" applyNumberFormat="1" applyFont="1" applyFill="1" applyBorder="1" applyAlignment="1">
      <alignment horizontal="center" vertical="center"/>
    </xf>
    <xf numFmtId="170" fontId="0" fillId="0" borderId="0" xfId="0" applyNumberFormat="1" applyBorder="1" applyAlignment="1">
      <alignment horizontal="center" vertical="center"/>
    </xf>
    <xf numFmtId="170" fontId="0" fillId="0" borderId="11" xfId="0" applyNumberFormat="1" applyBorder="1" applyAlignment="1">
      <alignment horizontal="center" vertical="center"/>
    </xf>
    <xf numFmtId="170" fontId="0" fillId="0" borderId="13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zoomScale="175" zoomScaleNormal="175" workbookViewId="0">
      <pane ySplit="1" topLeftCell="A12" activePane="bottomLeft" state="frozen"/>
      <selection pane="bottomLeft" activeCell="A34" sqref="A34"/>
    </sheetView>
  </sheetViews>
  <sheetFormatPr defaultRowHeight="14.5" x14ac:dyDescent="0.35"/>
  <cols>
    <col min="1" max="1" width="32.6328125" bestFit="1" customWidth="1"/>
    <col min="2" max="2" width="0" hidden="1" customWidth="1"/>
    <col min="3" max="3" width="12.81640625" bestFit="1" customWidth="1"/>
    <col min="4" max="6" width="12.81640625" hidden="1" customWidth="1"/>
    <col min="7" max="7" width="12.81640625" bestFit="1" customWidth="1"/>
    <col min="8" max="10" width="12.81640625" hidden="1" customWidth="1"/>
    <col min="11" max="11" width="12.81640625" bestFit="1" customWidth="1"/>
    <col min="12" max="14" width="12.81640625" hidden="1" customWidth="1"/>
    <col min="15" max="15" width="12.81640625" bestFit="1" customWidth="1"/>
    <col min="16" max="16" width="0" hidden="1" customWidth="1"/>
    <col min="17" max="17" width="22.26953125" bestFit="1" customWidth="1"/>
    <col min="19" max="19" width="23.6328125" bestFit="1" customWidth="1"/>
  </cols>
  <sheetData>
    <row r="1" spans="1:1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7" x14ac:dyDescent="0.35">
      <c r="A2" t="s">
        <v>15</v>
      </c>
      <c r="B2">
        <v>-1.844781432579099E-3</v>
      </c>
      <c r="C2">
        <v>-1.3781759997899979E-3</v>
      </c>
      <c r="D2">
        <v>-1.5558850871053879E-3</v>
      </c>
      <c r="E2">
        <v>-2.0217574626743332E-3</v>
      </c>
      <c r="F2">
        <v>-2.4752493011373691E-3</v>
      </c>
      <c r="G2">
        <v>-2.7914557680528899E-3</v>
      </c>
      <c r="H2">
        <v>-3.1628772325983578E-3</v>
      </c>
      <c r="I2">
        <v>-3.3304136493751651E-3</v>
      </c>
      <c r="J2">
        <v>-4.0947500904284879E-3</v>
      </c>
      <c r="K2">
        <v>-5.5257464535044126E-3</v>
      </c>
      <c r="L2">
        <v>-3.5195874677904689E-3</v>
      </c>
      <c r="M2">
        <v>-3.5535879460537722E-3</v>
      </c>
      <c r="N2">
        <v>-6.5337992878233423E-3</v>
      </c>
      <c r="O2">
        <v>-8.4220862690345417E-3</v>
      </c>
      <c r="P2">
        <v>-7.3257970534208487E-3</v>
      </c>
    </row>
    <row r="3" spans="1:17" x14ac:dyDescent="0.35">
      <c r="A3" t="s">
        <v>16</v>
      </c>
      <c r="B3">
        <v>-4.7241645542140448E-3</v>
      </c>
      <c r="C3">
        <v>-3.9896644664343013E-3</v>
      </c>
      <c r="D3">
        <v>-6.0297248146848441E-3</v>
      </c>
      <c r="E3">
        <v>-6.3674807251372723E-3</v>
      </c>
      <c r="F3">
        <v>-5.9626548258805076E-3</v>
      </c>
      <c r="G3">
        <v>-5.9266908779179216E-3</v>
      </c>
      <c r="H3">
        <v>-6.3220553561441403E-3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7" x14ac:dyDescent="0.35">
      <c r="A4" t="s">
        <v>17</v>
      </c>
      <c r="B4">
        <v>-3.1487731795727648E-2</v>
      </c>
      <c r="C4">
        <v>-3.057501463023108E-2</v>
      </c>
      <c r="D4">
        <v>-3.5462115106434232E-2</v>
      </c>
      <c r="E4">
        <v>-4.4521911639710428E-2</v>
      </c>
      <c r="F4">
        <v>-2.731538279285517E-2</v>
      </c>
      <c r="G4">
        <v>-2.9747186266953361E-2</v>
      </c>
      <c r="H4">
        <v>-3.423746645592475E-2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7" x14ac:dyDescent="0.35">
      <c r="A5" t="s">
        <v>18</v>
      </c>
      <c r="B5">
        <v>0.133477026078787</v>
      </c>
      <c r="C5">
        <v>0.13585593057657999</v>
      </c>
      <c r="D5">
        <v>0.1287321231882371</v>
      </c>
      <c r="E5">
        <v>0.20141030625137121</v>
      </c>
      <c r="F5">
        <v>0.21103193314030769</v>
      </c>
      <c r="G5">
        <v>0.36921551774520911</v>
      </c>
      <c r="H5">
        <v>0.37223288069740318</v>
      </c>
      <c r="I5">
        <v>0.27896768643392389</v>
      </c>
      <c r="J5">
        <v>0.18577724490615119</v>
      </c>
      <c r="K5">
        <v>0.15349755141135671</v>
      </c>
      <c r="L5">
        <v>0.14247165189909941</v>
      </c>
      <c r="M5">
        <v>0.1109023113686773</v>
      </c>
      <c r="N5">
        <v>0</v>
      </c>
      <c r="O5">
        <v>0</v>
      </c>
      <c r="P5">
        <v>0</v>
      </c>
    </row>
    <row r="6" spans="1:17" x14ac:dyDescent="0.35">
      <c r="A6" t="s">
        <v>19</v>
      </c>
      <c r="B6">
        <v>-1.343717102658626E-2</v>
      </c>
      <c r="C6">
        <v>-1.6321798827386051E-2</v>
      </c>
      <c r="D6">
        <v>-1.521100044743948E-2</v>
      </c>
      <c r="E6">
        <v>-1.8341192845747471E-2</v>
      </c>
      <c r="F6">
        <v>-1.8241095461004841E-2</v>
      </c>
      <c r="G6">
        <v>-1.220498387412231E-2</v>
      </c>
      <c r="H6">
        <v>-6.9240875623562377E-3</v>
      </c>
      <c r="I6">
        <v>-1.3306597510035141E-2</v>
      </c>
      <c r="J6">
        <v>-8.5643800443735724E-3</v>
      </c>
      <c r="K6">
        <v>-4.3280690838089393E-3</v>
      </c>
      <c r="L6">
        <v>-4.2611175862996079E-3</v>
      </c>
      <c r="M6">
        <v>-3.2624834285782398E-3</v>
      </c>
      <c r="N6">
        <v>-4.1788372329963266E-3</v>
      </c>
      <c r="O6">
        <v>-3.12729886260489E-3</v>
      </c>
      <c r="P6">
        <v>-2.35360304890893E-3</v>
      </c>
    </row>
    <row r="7" spans="1:17" x14ac:dyDescent="0.35">
      <c r="A7" t="s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3.4132240757216942E-5</v>
      </c>
      <c r="N7">
        <v>-1.2892671304163781E-2</v>
      </c>
      <c r="O7">
        <v>-2.595757398941009E-2</v>
      </c>
      <c r="P7">
        <v>-4.7751544102348303E-2</v>
      </c>
    </row>
    <row r="8" spans="1:17" x14ac:dyDescent="0.35">
      <c r="A8" t="s">
        <v>21</v>
      </c>
      <c r="B8">
        <v>-0.1800649532993257</v>
      </c>
      <c r="C8">
        <v>-0.17948140633099499</v>
      </c>
      <c r="D8">
        <v>-0.18771212124980791</v>
      </c>
      <c r="E8">
        <v>-0.16612498867529671</v>
      </c>
      <c r="F8">
        <v>-0.1230723214084013</v>
      </c>
      <c r="G8">
        <v>-0.1202410277653669</v>
      </c>
      <c r="H8">
        <v>-0.13242605143668371</v>
      </c>
      <c r="I8">
        <v>-9.2144510008155447E-2</v>
      </c>
      <c r="J8">
        <v>-5.4153530083041607E-2</v>
      </c>
      <c r="K8">
        <v>-4.3391354619703927E-2</v>
      </c>
      <c r="L8">
        <v>-4.620612545008209E-2</v>
      </c>
      <c r="M8">
        <v>-4.3282543907221672E-2</v>
      </c>
      <c r="N8">
        <v>0</v>
      </c>
      <c r="O8">
        <v>0</v>
      </c>
      <c r="P8">
        <v>0</v>
      </c>
    </row>
    <row r="9" spans="1:17" x14ac:dyDescent="0.35">
      <c r="A9" t="s">
        <v>22</v>
      </c>
      <c r="B9">
        <v>-9.9451437998140848E-3</v>
      </c>
      <c r="C9">
        <v>-1.12337011592185E-2</v>
      </c>
      <c r="D9">
        <v>-1.0516508075740489E-2</v>
      </c>
      <c r="E9">
        <v>-8.1005568583893371E-3</v>
      </c>
      <c r="F9">
        <v>-5.4847142898193039E-3</v>
      </c>
      <c r="G9">
        <v>-7.2238894628017117E-3</v>
      </c>
      <c r="H9">
        <v>-7.8168050574163091E-3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7" x14ac:dyDescent="0.35">
      <c r="A10" t="s">
        <v>23</v>
      </c>
      <c r="B10">
        <v>2.516023987137159E-2</v>
      </c>
      <c r="C10">
        <v>2.6472426491840471E-2</v>
      </c>
      <c r="D10">
        <v>3.7366201791064188E-2</v>
      </c>
      <c r="E10">
        <v>4.4311684626223237E-2</v>
      </c>
      <c r="F10">
        <v>5.2944581767116528E-2</v>
      </c>
      <c r="G10">
        <v>7.6147654305412052E-2</v>
      </c>
      <c r="H10">
        <v>6.8362183371392812E-2</v>
      </c>
      <c r="I10">
        <v>6.9278926881136543E-2</v>
      </c>
      <c r="J10">
        <v>7.2366044194918752E-2</v>
      </c>
      <c r="K10">
        <v>7.1660232861555803E-2</v>
      </c>
      <c r="L10">
        <v>6.3387082630705999E-2</v>
      </c>
      <c r="M10">
        <v>5.621168893288573E-2</v>
      </c>
      <c r="N10">
        <v>5.8732843032416313E-2</v>
      </c>
      <c r="O10">
        <v>6.3032674923749865E-2</v>
      </c>
      <c r="P10">
        <v>6.7395145228130643E-2</v>
      </c>
    </row>
    <row r="11" spans="1:17" x14ac:dyDescent="0.35">
      <c r="A11" t="s">
        <v>24</v>
      </c>
      <c r="B11">
        <v>-6.7225158545024033E-2</v>
      </c>
      <c r="C11">
        <v>-6.7395232823885848E-2</v>
      </c>
      <c r="D11">
        <v>-8.0123813012821427E-2</v>
      </c>
      <c r="E11">
        <v>-5.2061735585659893E-2</v>
      </c>
      <c r="F11">
        <v>-3.6545979644365983E-2</v>
      </c>
      <c r="G11">
        <v>-3.9766068974068217E-2</v>
      </c>
      <c r="H11">
        <v>-3.5929801850536833E-2</v>
      </c>
      <c r="I11">
        <v>-3.9531965285692958E-2</v>
      </c>
      <c r="J11">
        <v>-4.7141196440856438E-2</v>
      </c>
      <c r="K11">
        <v>-3.0930403324046181E-2</v>
      </c>
      <c r="L11">
        <v>-2.8066753414622E-2</v>
      </c>
      <c r="M11">
        <v>-2.6259294889512261E-2</v>
      </c>
      <c r="N11">
        <v>-8.9704843777496761E-3</v>
      </c>
      <c r="O11">
        <v>-1.070474373132407E-2</v>
      </c>
      <c r="P11">
        <v>-1.3968028572513121E-2</v>
      </c>
    </row>
    <row r="12" spans="1:17" x14ac:dyDescent="0.35">
      <c r="A12" t="s">
        <v>25</v>
      </c>
      <c r="B12">
        <v>-0.31017203640453928</v>
      </c>
      <c r="C12">
        <v>-0.22254180143162061</v>
      </c>
      <c r="D12">
        <v>-0.184021484112975</v>
      </c>
      <c r="E12">
        <v>-0.1310099815220625</v>
      </c>
      <c r="F12">
        <v>-0.103954526180265</v>
      </c>
      <c r="G12">
        <v>-6.5512414781712908E-2</v>
      </c>
      <c r="H12">
        <v>-7.0604085845549128E-2</v>
      </c>
      <c r="I12">
        <v>-4.5719810282293182E-2</v>
      </c>
      <c r="J12">
        <v>-1.385758312409241E-3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7" x14ac:dyDescent="0.35">
      <c r="A13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-6.2062967677870562E-5</v>
      </c>
      <c r="J13">
        <v>-8.6342565511533277E-3</v>
      </c>
      <c r="K13">
        <v>-1.010326598934227E-2</v>
      </c>
      <c r="L13">
        <v>-9.4510199940825643E-3</v>
      </c>
      <c r="M13">
        <v>-7.474219111365186E-3</v>
      </c>
      <c r="N13">
        <v>0</v>
      </c>
      <c r="O13">
        <v>0</v>
      </c>
      <c r="P13">
        <v>0</v>
      </c>
    </row>
    <row r="14" spans="1:17" x14ac:dyDescent="0.35">
      <c r="A14" t="s">
        <v>27</v>
      </c>
      <c r="B14">
        <v>6.2103087749143179E-2</v>
      </c>
      <c r="C14">
        <v>7.7777930852235139E-2</v>
      </c>
      <c r="D14">
        <v>9.083236110981345E-2</v>
      </c>
      <c r="E14">
        <v>0.13895010572147121</v>
      </c>
      <c r="F14">
        <v>0.13257788203508361</v>
      </c>
      <c r="G14">
        <v>0.1873418386472834</v>
      </c>
      <c r="H14">
        <v>0.20038336689799899</v>
      </c>
      <c r="I14">
        <v>0.56171217314299504</v>
      </c>
      <c r="J14">
        <v>0.61624708400266637</v>
      </c>
      <c r="K14">
        <v>0.76319154327380523</v>
      </c>
      <c r="L14">
        <v>0.75755679711131141</v>
      </c>
      <c r="M14">
        <v>0.82767291484377647</v>
      </c>
      <c r="N14">
        <v>0.66854810750879434</v>
      </c>
      <c r="O14">
        <v>0.65855845224579024</v>
      </c>
      <c r="P14">
        <v>0.57200825348322981</v>
      </c>
      <c r="Q14" s="3" t="s">
        <v>139</v>
      </c>
    </row>
    <row r="15" spans="1:17" x14ac:dyDescent="0.35">
      <c r="A15" t="s">
        <v>28</v>
      </c>
      <c r="B15">
        <v>-2.569078175719369E-3</v>
      </c>
      <c r="C15" s="1">
        <v>1.6119364093369809E-2</v>
      </c>
      <c r="D15" s="1">
        <v>2.2563943493038089E-2</v>
      </c>
      <c r="E15" s="1">
        <v>7.0206996865905702E-2</v>
      </c>
      <c r="F15" s="1">
        <v>6.9073493363336125E-2</v>
      </c>
      <c r="G15" s="1">
        <v>9.3483714358801928E-2</v>
      </c>
      <c r="H15" s="1">
        <v>0.1055924694980627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>
        <v>0</v>
      </c>
    </row>
    <row r="16" spans="1:17" x14ac:dyDescent="0.35">
      <c r="A16" t="s">
        <v>29</v>
      </c>
      <c r="B16">
        <v>-5.5679735108987827E-2</v>
      </c>
      <c r="C16" s="1">
        <v>-4.9448321379989731E-2</v>
      </c>
      <c r="D16" s="1">
        <v>-4.5659488471583513E-2</v>
      </c>
      <c r="E16" s="1">
        <v>-3.6271380311877092E-2</v>
      </c>
      <c r="F16" s="1">
        <v>-3.6838015789889773E-2</v>
      </c>
      <c r="G16" s="1">
        <v>-3.3366040669943073E-2</v>
      </c>
      <c r="H16" s="1">
        <v>-2.8138370084834718E-2</v>
      </c>
      <c r="I16" s="1">
        <v>-2.51889982000147E-2</v>
      </c>
      <c r="J16" s="1">
        <v>-2.0865789846646641E-2</v>
      </c>
      <c r="K16" s="1">
        <v>-1.894230021088996E-2</v>
      </c>
      <c r="L16" s="1">
        <v>-2.1946045061435718E-2</v>
      </c>
      <c r="M16" s="1">
        <v>-2.7428932881744458E-2</v>
      </c>
      <c r="N16" s="1">
        <v>-2.6872180055508441E-2</v>
      </c>
      <c r="O16" s="1">
        <v>-1.674519657298602E-2</v>
      </c>
      <c r="P16">
        <v>-2.1968159583208809E-2</v>
      </c>
      <c r="Q16" s="3"/>
    </row>
    <row r="17" spans="1:17" x14ac:dyDescent="0.35">
      <c r="A17" t="s">
        <v>30</v>
      </c>
      <c r="B17">
        <v>-0.15799256575979501</v>
      </c>
      <c r="C17" s="1">
        <v>-0.15105620545123899</v>
      </c>
      <c r="D17" s="1">
        <v>-0.15965950698286069</v>
      </c>
      <c r="E17" s="1">
        <v>-0.119176631294635</v>
      </c>
      <c r="F17" s="1">
        <v>-0.1221343532009864</v>
      </c>
      <c r="G17" s="1">
        <v>-0.10280147630698711</v>
      </c>
      <c r="H17" s="1">
        <v>-0.12229266986030871</v>
      </c>
      <c r="I17" s="1">
        <v>-0.1246185644073996</v>
      </c>
      <c r="J17" s="1">
        <v>-0.13000953634906931</v>
      </c>
      <c r="K17" s="1">
        <v>-0.1063314511368306</v>
      </c>
      <c r="L17" s="1">
        <v>-0.1142265877436133</v>
      </c>
      <c r="M17" s="1">
        <v>-9.5199310537272722E-2</v>
      </c>
      <c r="N17" s="1">
        <v>-0.10658962398458451</v>
      </c>
      <c r="O17" s="1">
        <v>-9.6185010654986081E-2</v>
      </c>
      <c r="P17">
        <v>-9.0911994255879924E-2</v>
      </c>
      <c r="Q17" s="3"/>
    </row>
    <row r="18" spans="1:17" x14ac:dyDescent="0.35">
      <c r="A18" t="s">
        <v>31</v>
      </c>
      <c r="B18">
        <v>0.35810225953178682</v>
      </c>
      <c r="C18" s="1">
        <v>0.35395833166349511</v>
      </c>
      <c r="D18" s="1">
        <v>0.33948064493492569</v>
      </c>
      <c r="E18" s="1">
        <v>0.28668478420660132</v>
      </c>
      <c r="F18" s="1">
        <v>0.27260426309631131</v>
      </c>
      <c r="G18" s="1">
        <v>0.27020417011111442</v>
      </c>
      <c r="H18" s="1">
        <v>0.2926030498764513</v>
      </c>
      <c r="I18" s="1">
        <v>0.26050618186871671</v>
      </c>
      <c r="J18" s="1">
        <v>0.25880260047324533</v>
      </c>
      <c r="K18" s="1">
        <v>0.25317801605124512</v>
      </c>
      <c r="L18" s="1">
        <v>0.2747901119428714</v>
      </c>
      <c r="M18" s="1">
        <v>0.34078410944884718</v>
      </c>
      <c r="N18" s="1">
        <v>0.42505311794390571</v>
      </c>
      <c r="O18" s="1">
        <v>0.40848656433104519</v>
      </c>
      <c r="P18">
        <v>0.44566776025000682</v>
      </c>
      <c r="Q18" s="3" t="s">
        <v>140</v>
      </c>
    </row>
    <row r="19" spans="1:17" x14ac:dyDescent="0.35">
      <c r="A19" t="s">
        <v>32</v>
      </c>
      <c r="B19">
        <v>-0.1330073052583719</v>
      </c>
      <c r="C19" s="1">
        <v>-0.1356061064631682</v>
      </c>
      <c r="D19" s="1">
        <v>-0.12792112564066541</v>
      </c>
      <c r="E19" s="1">
        <v>-0.1119683934125846</v>
      </c>
      <c r="F19" s="1">
        <v>-0.1033658600670295</v>
      </c>
      <c r="G19" s="1">
        <v>-9.0134038266389729E-2</v>
      </c>
      <c r="H19" s="1">
        <v>-0.1050035363524854</v>
      </c>
      <c r="I19" s="1">
        <v>-0.10421764304420621</v>
      </c>
      <c r="J19" s="1">
        <v>-9.831757098313243E-2</v>
      </c>
      <c r="K19" s="1">
        <v>-9.4076638564750736E-2</v>
      </c>
      <c r="L19" s="1">
        <v>-9.5730088446878248E-2</v>
      </c>
      <c r="M19" s="1">
        <v>-9.7204444049342989E-2</v>
      </c>
      <c r="N19" s="1">
        <v>-0.1017377766924286</v>
      </c>
      <c r="O19" s="1">
        <v>-6.8759612691511443E-2</v>
      </c>
      <c r="P19">
        <v>-5.5360796862925193E-2</v>
      </c>
      <c r="Q19" s="3"/>
    </row>
    <row r="20" spans="1:17" x14ac:dyDescent="0.35">
      <c r="A20" t="s">
        <v>33</v>
      </c>
      <c r="B20">
        <v>-5.8718179905028763E-2</v>
      </c>
      <c r="C20" s="1">
        <v>-6.5940492082516594E-2</v>
      </c>
      <c r="D20" s="1">
        <v>-6.9432326412194323E-2</v>
      </c>
      <c r="E20" s="1">
        <v>-5.3813687042498233E-2</v>
      </c>
      <c r="F20" s="1">
        <v>-6.703466334553182E-2</v>
      </c>
      <c r="G20" s="1">
        <v>-5.9528882248970919E-2</v>
      </c>
      <c r="H20" s="1">
        <v>-6.5284601884963669E-2</v>
      </c>
      <c r="I20" s="1">
        <v>-5.7228225991447432E-2</v>
      </c>
      <c r="J20" s="1">
        <v>-6.903584948880663E-2</v>
      </c>
      <c r="K20" s="1">
        <v>-5.2321244007205767E-2</v>
      </c>
      <c r="L20" s="1">
        <v>-5.6375104497794502E-2</v>
      </c>
      <c r="M20" s="1">
        <v>-4.9727410586571062E-2</v>
      </c>
      <c r="N20" s="1">
        <v>-5.8936965496233992E-2</v>
      </c>
      <c r="O20" s="1">
        <v>-4.2703497637097097E-2</v>
      </c>
      <c r="P20">
        <v>-3.4118668669582852E-2</v>
      </c>
      <c r="Q20" s="3"/>
    </row>
    <row r="21" spans="1:17" x14ac:dyDescent="0.35">
      <c r="A21" t="s">
        <v>34</v>
      </c>
      <c r="B2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>
        <v>0</v>
      </c>
    </row>
    <row r="22" spans="1:17" x14ac:dyDescent="0.35">
      <c r="A22" t="s">
        <v>35</v>
      </c>
      <c r="B22">
        <v>-4.5234859904777318E-2</v>
      </c>
      <c r="C22" s="1">
        <v>-4.8904714901573679E-2</v>
      </c>
      <c r="D22" s="1">
        <v>-4.5981897857258251E-2</v>
      </c>
      <c r="E22" s="1">
        <v>-4.317767444933808E-2</v>
      </c>
      <c r="F22" s="1">
        <v>-4.3215066380585032E-2</v>
      </c>
      <c r="G22" s="1">
        <v>-4.7827446262114118E-2</v>
      </c>
      <c r="H22" s="1">
        <v>-3.781686535482702E-2</v>
      </c>
      <c r="I22" s="1">
        <v>-3.1994343346327572E-2</v>
      </c>
      <c r="J22" s="1">
        <v>-6.7562566590335504E-3</v>
      </c>
      <c r="K22" s="1">
        <v>-1.7029030957678069E-2</v>
      </c>
      <c r="L22" s="1">
        <v>-1.9714967258236769E-2</v>
      </c>
      <c r="M22" s="1">
        <v>-4.8318479537223539E-3</v>
      </c>
      <c r="N22" s="1">
        <v>6.3347937668782146E-3</v>
      </c>
      <c r="O22" s="1">
        <v>-1.8448288787488961E-3</v>
      </c>
      <c r="P22">
        <v>-1.8585669930764499E-2</v>
      </c>
    </row>
    <row r="23" spans="1:17" x14ac:dyDescent="0.35">
      <c r="A23" t="s">
        <v>36</v>
      </c>
      <c r="B23">
        <v>0.55771060576863418</v>
      </c>
      <c r="C23" s="1">
        <v>0.51597376111192472</v>
      </c>
      <c r="D23" s="1">
        <v>0.56103388713499014</v>
      </c>
      <c r="E23" s="1">
        <v>0.43327158407878558</v>
      </c>
      <c r="F23" s="1">
        <v>3.3909466444817682E-2</v>
      </c>
      <c r="G23" s="1">
        <v>5.1800986066395223E-2</v>
      </c>
      <c r="H23" s="1">
        <v>7.3760676153094756E-2</v>
      </c>
      <c r="I23" s="1">
        <v>-1.7965392260277581E-2</v>
      </c>
      <c r="J23" s="1">
        <v>-5.3639574643517193E-2</v>
      </c>
      <c r="K23" s="1">
        <v>2.9662122043800272E-2</v>
      </c>
      <c r="L23" s="1">
        <v>2.8253790138636541E-2</v>
      </c>
      <c r="M23" s="1">
        <v>0.1410315116719143</v>
      </c>
      <c r="N23" s="1">
        <v>0.1081820315366035</v>
      </c>
      <c r="O23" s="1">
        <v>0.1301505889481229</v>
      </c>
      <c r="P23">
        <v>0.20552328455320301</v>
      </c>
    </row>
    <row r="24" spans="1:17" x14ac:dyDescent="0.35">
      <c r="A24" t="s">
        <v>37</v>
      </c>
      <c r="B24">
        <v>0</v>
      </c>
      <c r="C24" s="1">
        <v>0.11201376308031161</v>
      </c>
      <c r="D24" s="1">
        <v>0.20958809628554639</v>
      </c>
      <c r="E24" s="1">
        <v>0.27485288015178849</v>
      </c>
      <c r="F24" s="1">
        <v>-2.1909631333545579E-2</v>
      </c>
      <c r="G24" s="1">
        <v>2.8259983485366281E-2</v>
      </c>
      <c r="H24" s="1">
        <v>3.0789654336006049E-2</v>
      </c>
      <c r="I24" s="1">
        <v>-3.1374582133546672E-2</v>
      </c>
      <c r="J24" s="1">
        <v>-5.9983145607287902E-2</v>
      </c>
      <c r="K24" s="1">
        <v>5.1947649284248179E-2</v>
      </c>
      <c r="L24" s="1">
        <v>4.9023090802417693E-2</v>
      </c>
      <c r="M24" s="1">
        <v>0.102182761807316</v>
      </c>
      <c r="N24" s="1">
        <v>0.10885134786774379</v>
      </c>
      <c r="O24" s="1">
        <v>0.13148099608560321</v>
      </c>
      <c r="P24">
        <v>0.13435289736372441</v>
      </c>
    </row>
    <row r="25" spans="1:17" x14ac:dyDescent="0.35">
      <c r="A25" t="s">
        <v>38</v>
      </c>
      <c r="B25">
        <v>-0.43753059131209282</v>
      </c>
      <c r="C25" s="1">
        <v>-0.37744781083760492</v>
      </c>
      <c r="D25" s="1">
        <v>-0.29293787018901779</v>
      </c>
      <c r="E25" s="1">
        <v>-0.2207094729385658</v>
      </c>
      <c r="F25" s="1">
        <v>-0.42736103112277057</v>
      </c>
      <c r="G25" s="1">
        <v>-0.28816653946551118</v>
      </c>
      <c r="H25" s="1">
        <v>-0.37738890645016182</v>
      </c>
      <c r="I25" s="1">
        <v>-0.31579221940754459</v>
      </c>
      <c r="J25" s="1">
        <v>-0.50408179835388678</v>
      </c>
      <c r="K25" s="1">
        <v>-0.1151854496087792</v>
      </c>
      <c r="L25" s="1">
        <v>-0.30181619408523791</v>
      </c>
      <c r="M25" s="1">
        <v>-0.25402978405247012</v>
      </c>
      <c r="N25" s="1">
        <v>-0.65619214320684471</v>
      </c>
      <c r="O25" s="1">
        <v>-0.54813813413549972</v>
      </c>
      <c r="P25">
        <v>-0.38229295372911759</v>
      </c>
      <c r="Q25" s="3"/>
    </row>
    <row r="26" spans="1:17" x14ac:dyDescent="0.35">
      <c r="A26" t="s">
        <v>39</v>
      </c>
      <c r="B26">
        <v>7.7902620171406908E-3</v>
      </c>
      <c r="C26" s="1">
        <v>7.7428690285600607E-2</v>
      </c>
      <c r="D26" s="1">
        <v>6.5490924722599653E-2</v>
      </c>
      <c r="E26" s="1">
        <v>4.6743381986996763E-2</v>
      </c>
      <c r="F26" s="1">
        <v>-0.1548959701304273</v>
      </c>
      <c r="G26" s="1">
        <v>-4.0945021740373469E-2</v>
      </c>
      <c r="H26" s="1">
        <v>-1.8277913349735959E-2</v>
      </c>
      <c r="I26" s="1">
        <v>-0.14032957057065529</v>
      </c>
      <c r="J26" s="1">
        <v>-0.42483452922867038</v>
      </c>
      <c r="K26" s="1">
        <v>-0.12169314562218519</v>
      </c>
      <c r="L26" s="1">
        <v>-0.17452556365929939</v>
      </c>
      <c r="M26" s="1">
        <v>-8.9029662152375899E-2</v>
      </c>
      <c r="N26" s="1">
        <v>-0.3197509222640344</v>
      </c>
      <c r="O26" s="1">
        <v>-0.28203149342231648</v>
      </c>
      <c r="P26">
        <v>-0.2281500316788343</v>
      </c>
      <c r="Q26" s="3"/>
    </row>
    <row r="27" spans="1:17" x14ac:dyDescent="0.35">
      <c r="A27" t="s">
        <v>40</v>
      </c>
      <c r="B27">
        <v>-4.4201758428845184E-3</v>
      </c>
      <c r="C27" s="1">
        <v>-5.3282077530277028E-2</v>
      </c>
      <c r="D27" s="1">
        <v>-3.7955147466391483E-2</v>
      </c>
      <c r="E27" s="1">
        <v>-2.426061959663035E-2</v>
      </c>
      <c r="F27" s="1">
        <v>-5.9262768596894402E-2</v>
      </c>
      <c r="G27" s="1">
        <v>-5.1476027285695093E-2</v>
      </c>
      <c r="H27" s="1">
        <v>-6.1385354541788888E-2</v>
      </c>
      <c r="I27" s="1">
        <v>-4.6139652704586392E-2</v>
      </c>
      <c r="J27" s="1">
        <v>-7.0137135791424429E-2</v>
      </c>
      <c r="K27" s="1">
        <v>-3.4334773547388439E-2</v>
      </c>
      <c r="L27" s="1">
        <v>-4.4826644077156579E-2</v>
      </c>
      <c r="M27" s="1">
        <v>-3.5859674620980997E-2</v>
      </c>
      <c r="N27" s="1">
        <v>0</v>
      </c>
      <c r="O27" s="1">
        <v>0</v>
      </c>
      <c r="P27">
        <v>0</v>
      </c>
    </row>
    <row r="28" spans="1:17" x14ac:dyDescent="0.35">
      <c r="A28" t="s">
        <v>41</v>
      </c>
      <c r="B28">
        <v>4.6194251842692859E-2</v>
      </c>
      <c r="C28" s="1">
        <v>2.6755983366775132E-2</v>
      </c>
      <c r="D28" s="1">
        <v>1.6897630763460701E-2</v>
      </c>
      <c r="E28" s="1">
        <v>2.6124230600298351E-2</v>
      </c>
      <c r="F28" s="1">
        <v>4.9934762893486882E-2</v>
      </c>
      <c r="G28" s="1">
        <v>3.0348569937709079E-2</v>
      </c>
      <c r="H28" s="1">
        <v>3.3150956965842152E-2</v>
      </c>
      <c r="I28" s="1">
        <v>3.160588377894949E-2</v>
      </c>
      <c r="J28" s="1">
        <v>2.21136010810002E-2</v>
      </c>
      <c r="K28" s="1">
        <v>1.8770544655265269E-2</v>
      </c>
      <c r="L28" s="1">
        <v>2.1458719261158391E-2</v>
      </c>
      <c r="M28" s="1">
        <v>1.030924060708407E-2</v>
      </c>
      <c r="N28" s="1">
        <v>0</v>
      </c>
      <c r="O28" s="1">
        <v>0</v>
      </c>
      <c r="P28">
        <v>0</v>
      </c>
    </row>
    <row r="29" spans="1:17" x14ac:dyDescent="0.35">
      <c r="A29" t="s">
        <v>42</v>
      </c>
      <c r="B29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2.1499562356816129E-2</v>
      </c>
      <c r="J29" s="1">
        <v>4.6912691415121083E-2</v>
      </c>
      <c r="K29" s="1">
        <v>4.017842294229311E-2</v>
      </c>
      <c r="L29" s="1">
        <v>4.5885646703587371E-2</v>
      </c>
      <c r="M29" s="1">
        <v>5.8172398723019568E-2</v>
      </c>
      <c r="N29" s="1">
        <v>0.10528156277292031</v>
      </c>
      <c r="O29" s="1">
        <v>9.3743984746460937E-2</v>
      </c>
      <c r="P29">
        <v>0.10494281003641789</v>
      </c>
    </row>
    <row r="30" spans="1:17" x14ac:dyDescent="0.35">
      <c r="A30" t="s">
        <v>43</v>
      </c>
      <c r="B30">
        <v>-1.4367206255997109E-2</v>
      </c>
      <c r="C30" s="1">
        <v>-1.9513930036127461E-2</v>
      </c>
      <c r="D30" s="1">
        <v>-1.8902292360311101E-2</v>
      </c>
      <c r="E30" s="1">
        <v>-2.3153577380958239E-2</v>
      </c>
      <c r="F30" s="1">
        <v>-2.2243288072819521E-2</v>
      </c>
      <c r="G30" s="1">
        <v>-2.7210166162381269E-2</v>
      </c>
      <c r="H30" s="1">
        <v>-2.6826636863834651E-2</v>
      </c>
      <c r="I30" s="1">
        <v>-2.5795627895503739E-2</v>
      </c>
      <c r="J30" s="1">
        <v>-2.459117956270045E-2</v>
      </c>
      <c r="K30" s="1">
        <v>-2.695068300177908E-2</v>
      </c>
      <c r="L30" s="1">
        <v>-2.7138489183008471E-2</v>
      </c>
      <c r="M30" s="1">
        <v>-2.6440991499655259E-2</v>
      </c>
      <c r="N30" s="1">
        <v>-2.116821976394196E-2</v>
      </c>
      <c r="O30" s="1">
        <v>-2.85539601929236E-2</v>
      </c>
      <c r="P30">
        <v>-1.9650117743484831E-2</v>
      </c>
    </row>
    <row r="31" spans="1:17" x14ac:dyDescent="0.35">
      <c r="A31" t="s">
        <v>44</v>
      </c>
      <c r="B3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-0.2406766376284192</v>
      </c>
      <c r="J31" s="1">
        <v>-0.39292745049612571</v>
      </c>
      <c r="K31" s="1">
        <v>-0.37351172115255182</v>
      </c>
      <c r="L31" s="1">
        <v>-0.40863569455054999</v>
      </c>
      <c r="M31" s="1">
        <v>-0.55504469417537539</v>
      </c>
      <c r="N31" s="1">
        <v>-0.9400444769043601</v>
      </c>
      <c r="O31" s="1">
        <v>-0.86292808749027172</v>
      </c>
      <c r="P31">
        <v>-0.86151517874147432</v>
      </c>
      <c r="Q31" s="3" t="s">
        <v>141</v>
      </c>
    </row>
    <row r="32" spans="1:17" x14ac:dyDescent="0.35">
      <c r="A32" t="s">
        <v>45</v>
      </c>
      <c r="B32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1.030315592223139E-2</v>
      </c>
      <c r="J32" s="1">
        <v>5.3575701607779358E-2</v>
      </c>
      <c r="K32" s="1">
        <v>3.4906272201084429E-2</v>
      </c>
      <c r="L32" s="1">
        <v>3.9363391420623409E-2</v>
      </c>
      <c r="M32" s="1">
        <v>3.7927841472371042E-2</v>
      </c>
      <c r="N32" s="1">
        <v>5.7939514738474418E-2</v>
      </c>
      <c r="O32" s="1">
        <v>5.5045172575415788E-2</v>
      </c>
      <c r="P32">
        <v>0.10321300468309789</v>
      </c>
    </row>
    <row r="33" spans="1:17" x14ac:dyDescent="0.35">
      <c r="A33" t="s">
        <v>46</v>
      </c>
      <c r="B33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2.35200716262755E-2</v>
      </c>
      <c r="J33" s="1">
        <v>0.12110436583831451</v>
      </c>
      <c r="K33" s="1">
        <v>6.8695700362730233E-2</v>
      </c>
      <c r="L33" s="1">
        <v>4.3855492414740287E-2</v>
      </c>
      <c r="M33" s="1">
        <v>4.5520238689957533E-2</v>
      </c>
      <c r="N33" s="1">
        <v>0.113457145402432</v>
      </c>
      <c r="O33" s="1">
        <v>9.3805695206898437E-2</v>
      </c>
      <c r="P33">
        <v>6.7790030275069454E-2</v>
      </c>
      <c r="Q33" t="s">
        <v>141</v>
      </c>
    </row>
    <row r="34" spans="1:17" x14ac:dyDescent="0.35">
      <c r="A34" t="s">
        <v>47</v>
      </c>
      <c r="B34">
        <v>0.39435582807638642</v>
      </c>
      <c r="C34" s="1">
        <v>0.35139096487160149</v>
      </c>
      <c r="D34" s="1">
        <v>0.3483485116506293</v>
      </c>
      <c r="E34" s="1">
        <v>0.29506461432239511</v>
      </c>
      <c r="F34" s="1">
        <v>0.31302529282803082</v>
      </c>
      <c r="G34" s="1">
        <v>0.26612673909426682</v>
      </c>
      <c r="H34" s="1">
        <v>0.30759219337013571</v>
      </c>
      <c r="I34" s="1">
        <v>0.21018907067050691</v>
      </c>
      <c r="J34" s="1">
        <v>0.1227097001759675</v>
      </c>
      <c r="K34" s="1">
        <v>0.11978582273999171</v>
      </c>
      <c r="L34" s="1">
        <v>0.12432305528137649</v>
      </c>
      <c r="M34" s="1">
        <v>9.9769758413285725E-2</v>
      </c>
      <c r="N34" s="1">
        <v>0</v>
      </c>
      <c r="O34" s="1">
        <v>0</v>
      </c>
      <c r="P34">
        <v>0</v>
      </c>
      <c r="Q34" t="s">
        <v>141</v>
      </c>
    </row>
    <row r="35" spans="1:17" x14ac:dyDescent="0.35">
      <c r="A35" t="s">
        <v>48</v>
      </c>
      <c r="B35">
        <v>-0.6934113599883075</v>
      </c>
      <c r="C35" s="1">
        <v>-0.61051553957988858</v>
      </c>
      <c r="D35" s="1">
        <v>-0.61665758919003599</v>
      </c>
      <c r="E35" s="1">
        <v>-0.47940771006879462</v>
      </c>
      <c r="F35" s="1">
        <v>-0.38093190570147761</v>
      </c>
      <c r="G35" s="1">
        <v>-0.27719262655836352</v>
      </c>
      <c r="H35" s="1">
        <v>-0.36790939677141921</v>
      </c>
      <c r="I35" s="1">
        <v>-0.32865802764748508</v>
      </c>
      <c r="J35" s="1">
        <v>-0.28187725136995462</v>
      </c>
      <c r="K35" s="1">
        <v>-0.15571056789789009</v>
      </c>
      <c r="L35" s="1">
        <v>-0.1952825260101505</v>
      </c>
      <c r="M35" s="1">
        <v>-0.2416796397696972</v>
      </c>
      <c r="N35" s="1">
        <v>-0.1867102241783325</v>
      </c>
      <c r="O35" s="1">
        <v>-0.1746019059083633</v>
      </c>
      <c r="P35">
        <v>-0.21354878241688999</v>
      </c>
      <c r="Q35" s="3"/>
    </row>
    <row r="36" spans="1:17" x14ac:dyDescent="0.35">
      <c r="A36" t="s">
        <v>49</v>
      </c>
      <c r="B36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-9.3458825348288529E-3</v>
      </c>
      <c r="K36" s="1">
        <v>-6.8436181674271747E-3</v>
      </c>
      <c r="L36" s="1">
        <v>-8.6965276562050199E-3</v>
      </c>
      <c r="M36" s="1">
        <v>-9.0703594519376297E-3</v>
      </c>
      <c r="N36" s="1">
        <v>-9.8843661015917787E-3</v>
      </c>
      <c r="O36" s="1">
        <v>-1.11297059832994E-2</v>
      </c>
      <c r="P36">
        <v>-1.0166944934701711E-2</v>
      </c>
    </row>
    <row r="37" spans="1:17" x14ac:dyDescent="0.35">
      <c r="A37" t="s">
        <v>50</v>
      </c>
      <c r="B37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9.9352459478705846E-3</v>
      </c>
      <c r="K37" s="1">
        <v>7.669257865069141E-3</v>
      </c>
      <c r="L37" s="1">
        <v>2.668033723112946E-3</v>
      </c>
      <c r="M37" s="1">
        <v>1.587150051753747E-3</v>
      </c>
      <c r="N37" s="1">
        <v>2.3003545627068361E-3</v>
      </c>
      <c r="O37" s="1">
        <v>-1.0424089633292171E-3</v>
      </c>
      <c r="P37">
        <v>-2.5300548524447518E-3</v>
      </c>
    </row>
    <row r="38" spans="1:17" x14ac:dyDescent="0.35">
      <c r="A38" t="s">
        <v>51</v>
      </c>
      <c r="B38">
        <v>-4.7881413004961217E-2</v>
      </c>
      <c r="C38" s="1">
        <v>-5.2516065229671033E-2</v>
      </c>
      <c r="D38" s="1">
        <v>-4.8500557613581539E-2</v>
      </c>
      <c r="E38" s="1">
        <v>-4.3905965748704957E-2</v>
      </c>
      <c r="F38" s="1">
        <v>9.4102505281435572E-2</v>
      </c>
      <c r="G38" s="1">
        <v>0.1103402381635471</v>
      </c>
      <c r="H38" s="1">
        <v>5.4527568811543012E-2</v>
      </c>
      <c r="I38" s="1">
        <v>4.5700303772226593E-2</v>
      </c>
      <c r="J38" s="1">
        <v>5.5400454334095461E-2</v>
      </c>
      <c r="K38" s="1">
        <v>6.4902287131925335E-2</v>
      </c>
      <c r="L38" s="1">
        <v>5.6651353978702239E-2</v>
      </c>
      <c r="M38" s="1">
        <v>5.0980401761587003E-3</v>
      </c>
      <c r="N38" s="1">
        <v>3.3752193992381059E-2</v>
      </c>
      <c r="O38" s="1">
        <v>-0.20683281800596159</v>
      </c>
      <c r="P38">
        <v>-0.1638816846749421</v>
      </c>
    </row>
    <row r="39" spans="1:17" x14ac:dyDescent="0.35">
      <c r="A39" t="s">
        <v>52</v>
      </c>
      <c r="B39">
        <v>-4.7877870760275443E-2</v>
      </c>
      <c r="C39" s="1">
        <v>-7.7009587958894815E-2</v>
      </c>
      <c r="D39" s="1">
        <v>-5.6575124456452713E-2</v>
      </c>
      <c r="E39" s="1">
        <v>-5.7188657281931961E-2</v>
      </c>
      <c r="F39" s="1">
        <v>3.7239354689079372E-2</v>
      </c>
      <c r="G39" s="1">
        <v>4.3063684767689799E-2</v>
      </c>
      <c r="H39" s="1">
        <v>4.664031564461775E-2</v>
      </c>
      <c r="I39" s="1">
        <v>5.1177885458124163E-2</v>
      </c>
      <c r="J39" s="1">
        <v>2.4028471071046179E-2</v>
      </c>
      <c r="K39" s="1">
        <v>7.9375747746627409E-2</v>
      </c>
      <c r="L39" s="1">
        <v>0.1462457689432245</v>
      </c>
      <c r="M39" s="1">
        <v>9.277496238450679E-2</v>
      </c>
      <c r="N39" s="1">
        <v>0.12354850172613099</v>
      </c>
      <c r="O39" s="1">
        <v>0.12970050921806381</v>
      </c>
      <c r="P39">
        <v>0.1103104646667328</v>
      </c>
    </row>
    <row r="40" spans="1:17" x14ac:dyDescent="0.35">
      <c r="A40" t="s">
        <v>53</v>
      </c>
      <c r="B40">
        <v>-2.092109093211187E-2</v>
      </c>
      <c r="C40" s="1">
        <v>-2.05958291756249E-2</v>
      </c>
      <c r="D40" s="1">
        <v>-2.1565053453861251E-2</v>
      </c>
      <c r="E40" s="1">
        <v>-1.5359831379774661E-2</v>
      </c>
      <c r="F40" s="1">
        <v>-1.0718936663583711E-2</v>
      </c>
      <c r="G40" s="1">
        <v>-8.2659023922689104E-3</v>
      </c>
      <c r="H40" s="1">
        <v>-8.9240371408571099E-3</v>
      </c>
      <c r="I40" s="1">
        <v>-5.2067005587415538E-3</v>
      </c>
      <c r="J40" s="1">
        <v>-4.2637777203004684E-3</v>
      </c>
      <c r="K40" s="1">
        <v>-3.2837365176654741E-3</v>
      </c>
      <c r="L40" s="1">
        <v>-2.2149645463162989E-3</v>
      </c>
      <c r="M40" s="1">
        <v>-2.920121441949208E-3</v>
      </c>
      <c r="N40" s="1">
        <v>-2.6978422680102821E-3</v>
      </c>
      <c r="O40" s="1">
        <v>-1.9394650341244711E-3</v>
      </c>
      <c r="P40">
        <v>-2.8572203840789268E-3</v>
      </c>
    </row>
    <row r="41" spans="1:17" x14ac:dyDescent="0.35">
      <c r="A41" t="s">
        <v>54</v>
      </c>
      <c r="B41">
        <v>-2.9451347938078319E-2</v>
      </c>
      <c r="C41" s="1">
        <v>-3.5241043144029441E-2</v>
      </c>
      <c r="D41" s="1">
        <v>-2.7692289946939869E-2</v>
      </c>
      <c r="E41" s="1">
        <v>-3.5063477590816509E-2</v>
      </c>
      <c r="F41" s="1">
        <v>-3.1634780919918892E-2</v>
      </c>
      <c r="G41" s="1">
        <v>-4.4734287371761099E-2</v>
      </c>
      <c r="H41" s="1">
        <v>-5.1155684281863567E-2</v>
      </c>
      <c r="I41" s="1">
        <v>-6.2342078367803512E-2</v>
      </c>
      <c r="J41" s="1">
        <v>-5.2566540859302631E-2</v>
      </c>
      <c r="K41" s="1">
        <v>-6.4437740955761103E-2</v>
      </c>
      <c r="L41" s="1">
        <v>-5.9045863530806431E-2</v>
      </c>
      <c r="M41" s="1">
        <v>-5.6229078797667413E-2</v>
      </c>
      <c r="N41" s="1">
        <v>-4.5680520253942689E-2</v>
      </c>
      <c r="O41" s="1">
        <v>-5.2257753408531657E-2</v>
      </c>
      <c r="P41">
        <v>-3.957208451504169E-2</v>
      </c>
    </row>
    <row r="42" spans="1:17" x14ac:dyDescent="0.35">
      <c r="A42" t="s">
        <v>55</v>
      </c>
      <c r="B42">
        <v>1.48757681186867E-2</v>
      </c>
      <c r="C42" s="1">
        <v>3.2327911949176669E-2</v>
      </c>
      <c r="D42" s="1">
        <v>4.2459686307769091E-2</v>
      </c>
      <c r="E42" s="1">
        <v>3.2598081436252181E-2</v>
      </c>
      <c r="F42" s="1">
        <v>1.744358813925774E-2</v>
      </c>
      <c r="G42" s="1">
        <v>1.725602832325519E-2</v>
      </c>
      <c r="H42" s="1">
        <v>2.867186852964302E-2</v>
      </c>
      <c r="I42" s="1">
        <v>-3.037981016598087E-3</v>
      </c>
      <c r="J42" s="1">
        <v>-4.63132294257039E-2</v>
      </c>
      <c r="K42" s="1">
        <v>-1.0034609246673289E-2</v>
      </c>
      <c r="L42" s="1">
        <v>-1.044898712201202E-2</v>
      </c>
      <c r="M42" s="1">
        <v>-2.5052200513760191E-2</v>
      </c>
      <c r="N42" s="1">
        <v>-5.7144116057557558E-2</v>
      </c>
      <c r="O42" s="1">
        <v>-5.5873769338753328E-2</v>
      </c>
      <c r="P42">
        <v>-2.4678596475503849E-2</v>
      </c>
    </row>
    <row r="43" spans="1:17" x14ac:dyDescent="0.35">
      <c r="A43" t="s">
        <v>56</v>
      </c>
      <c r="B43">
        <v>-0.19797052072367199</v>
      </c>
      <c r="C43" s="1">
        <v>-0.17722564940936769</v>
      </c>
      <c r="D43" s="1">
        <v>-0.10485480743611771</v>
      </c>
      <c r="E43" s="1">
        <v>-5.0880482857691069E-2</v>
      </c>
      <c r="F43" s="1">
        <v>-0.1319974787733908</v>
      </c>
      <c r="G43" s="1">
        <v>7.9662819601168111E-2</v>
      </c>
      <c r="H43" s="1">
        <v>6.9727459258650162E-2</v>
      </c>
      <c r="I43" s="1">
        <v>-6.3693747587179106E-2</v>
      </c>
      <c r="J43" s="1">
        <v>4.0052958329188773E-2</v>
      </c>
      <c r="K43" s="1">
        <v>-7.2039568707494466E-3</v>
      </c>
      <c r="L43" s="1">
        <v>0.16528174145484339</v>
      </c>
      <c r="M43" s="1">
        <v>0.23727599983384939</v>
      </c>
      <c r="N43" s="1">
        <v>0.4974248822335281</v>
      </c>
      <c r="O43" s="1">
        <v>0.64085009312760799</v>
      </c>
      <c r="P43">
        <v>0.68349003569222011</v>
      </c>
      <c r="Q43" s="3"/>
    </row>
    <row r="44" spans="1:17" x14ac:dyDescent="0.35">
      <c r="A44" t="s">
        <v>57</v>
      </c>
      <c r="B44">
        <v>1.0395256933070469</v>
      </c>
      <c r="C44" s="1">
        <v>0.99806921489277567</v>
      </c>
      <c r="D44" s="1">
        <v>0.97049900300263525</v>
      </c>
      <c r="E44" s="1">
        <v>0.78577400161070121</v>
      </c>
      <c r="F44" s="1">
        <v>0.79740190731083993</v>
      </c>
      <c r="G44" s="1">
        <v>0.68066667886390608</v>
      </c>
      <c r="H44" s="1">
        <v>0.77327463470161784</v>
      </c>
      <c r="I44" s="1">
        <v>0.53627106445277251</v>
      </c>
      <c r="J44" s="1">
        <v>0.33817138307542111</v>
      </c>
      <c r="K44" s="1">
        <v>0.31549399561826658</v>
      </c>
      <c r="L44" s="1">
        <v>0.34088377862079838</v>
      </c>
      <c r="M44" s="1">
        <v>0.26693295902989561</v>
      </c>
      <c r="N44" s="1">
        <v>0</v>
      </c>
      <c r="O44" s="1">
        <v>0</v>
      </c>
      <c r="P44">
        <v>0</v>
      </c>
    </row>
    <row r="45" spans="1:17" x14ac:dyDescent="0.35">
      <c r="A45" t="s">
        <v>58</v>
      </c>
      <c r="B45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0.31067059635928679</v>
      </c>
      <c r="J45" s="1">
        <v>0.58603131122895491</v>
      </c>
      <c r="K45" s="1">
        <v>0.53537683953671911</v>
      </c>
      <c r="L45" s="1">
        <v>0.59478724044234932</v>
      </c>
      <c r="M45" s="1">
        <v>0.74919883888793837</v>
      </c>
      <c r="N45" s="1">
        <v>1.275710190939181</v>
      </c>
      <c r="O45" s="1">
        <v>1.2094471574272629</v>
      </c>
      <c r="P45">
        <v>1.278971118499427</v>
      </c>
    </row>
    <row r="46" spans="1:17" x14ac:dyDescent="0.35">
      <c r="A46" t="s">
        <v>59</v>
      </c>
      <c r="B46">
        <v>2.195621333521967E-2</v>
      </c>
      <c r="C46" s="1">
        <v>2.7168816485098019E-2</v>
      </c>
      <c r="D46" s="1">
        <v>2.6205640751346179E-2</v>
      </c>
      <c r="E46" s="1">
        <v>2.18901179465287E-2</v>
      </c>
      <c r="F46" s="1">
        <v>5.654794455304933E-3</v>
      </c>
      <c r="G46" s="1">
        <v>1.2008496960219359E-2</v>
      </c>
      <c r="H46" s="1">
        <v>1.593404019834857E-2</v>
      </c>
      <c r="I46" s="1">
        <v>1.9183914994465E-2</v>
      </c>
      <c r="J46" s="1">
        <v>8.7847422324085957E-3</v>
      </c>
      <c r="K46" s="1">
        <v>3.4103912410936351E-3</v>
      </c>
      <c r="L46" s="1">
        <v>4.3269188884134746E-3</v>
      </c>
      <c r="M46" s="1">
        <v>5.682420650960098E-3</v>
      </c>
      <c r="N46" s="1">
        <v>0</v>
      </c>
      <c r="O46" s="1">
        <v>0</v>
      </c>
      <c r="P46">
        <v>0</v>
      </c>
    </row>
    <row r="47" spans="1:17" x14ac:dyDescent="0.35">
      <c r="A47" t="s">
        <v>60</v>
      </c>
      <c r="B47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1.9272418313215071E-2</v>
      </c>
      <c r="J47" s="1">
        <v>2.9770292438323669E-2</v>
      </c>
      <c r="K47" s="1">
        <v>-4.8926632149074263E-3</v>
      </c>
      <c r="L47" s="1">
        <v>1.8150821419283501E-2</v>
      </c>
      <c r="M47" s="1">
        <v>1.459567858927968E-2</v>
      </c>
      <c r="N47" s="1">
        <v>5.076665048587254E-2</v>
      </c>
      <c r="O47" s="1">
        <v>9.3666431478976409E-2</v>
      </c>
      <c r="P47">
        <v>6.2565953548655032E-2</v>
      </c>
    </row>
    <row r="48" spans="1:17" x14ac:dyDescent="0.35">
      <c r="A48" t="s">
        <v>61</v>
      </c>
      <c r="B48">
        <v>6.0244011250768087E-2</v>
      </c>
      <c r="C48" s="1">
        <v>5.5470477455321937E-2</v>
      </c>
      <c r="D48" s="1">
        <v>4.6409852328394882E-2</v>
      </c>
      <c r="E48" s="1">
        <v>5.5664705921175381E-2</v>
      </c>
      <c r="F48" s="1">
        <v>0.12388632221987141</v>
      </c>
      <c r="G48" s="1">
        <v>7.5244442337419795E-2</v>
      </c>
      <c r="H48" s="1">
        <v>4.5622567341470688E-2</v>
      </c>
      <c r="I48" s="1">
        <v>6.2362785106865458E-2</v>
      </c>
      <c r="J48" s="1">
        <v>8.203119553584734E-2</v>
      </c>
      <c r="K48" s="1">
        <v>4.2154201613290157E-2</v>
      </c>
      <c r="L48" s="1">
        <v>-8.903136141650508E-3</v>
      </c>
      <c r="M48" s="1">
        <v>-2.33155499613453E-2</v>
      </c>
      <c r="N48" s="1">
        <v>-2.926909797351172E-2</v>
      </c>
      <c r="O48" s="1">
        <v>-3.8039818788177998E-2</v>
      </c>
      <c r="P48">
        <v>-5.6181995742979093E-2</v>
      </c>
    </row>
    <row r="49" spans="1:16" x14ac:dyDescent="0.35">
      <c r="A49" t="s">
        <v>62</v>
      </c>
      <c r="B49">
        <v>0.36450570846754982</v>
      </c>
      <c r="C49" s="1">
        <v>0.39559616507986489</v>
      </c>
      <c r="D49" s="1">
        <v>0.36787250286937179</v>
      </c>
      <c r="E49" s="1">
        <v>0.31884161887256529</v>
      </c>
      <c r="F49" s="1">
        <v>0.35882774004341011</v>
      </c>
      <c r="G49" s="1">
        <v>0.3294949485286961</v>
      </c>
      <c r="H49" s="1">
        <v>0.39902435077697512</v>
      </c>
      <c r="I49" s="1">
        <v>0.28491751560432121</v>
      </c>
      <c r="J49" s="1">
        <v>0.25705274507268661</v>
      </c>
      <c r="K49" s="1">
        <v>0.19939116491311809</v>
      </c>
      <c r="L49" s="1">
        <v>0.2040931840448178</v>
      </c>
      <c r="M49" s="1">
        <v>0.26095926185819379</v>
      </c>
      <c r="N49" s="1">
        <v>0.255524297189067</v>
      </c>
      <c r="O49" s="1">
        <v>0.30872244363152113</v>
      </c>
      <c r="P49">
        <v>0.24528155735832011</v>
      </c>
    </row>
    <row r="50" spans="1:16" x14ac:dyDescent="0.35">
      <c r="A50" t="s">
        <v>63</v>
      </c>
      <c r="B50">
        <v>0.5200665136863426</v>
      </c>
      <c r="C50">
        <v>0.7951595634064369</v>
      </c>
      <c r="D50">
        <v>1.0788532809495419</v>
      </c>
      <c r="E50">
        <v>1.289501927929581</v>
      </c>
      <c r="F50">
        <v>0.63306221370510918</v>
      </c>
      <c r="G50">
        <v>1.365604338795704</v>
      </c>
      <c r="H50">
        <v>1.3500630326949641</v>
      </c>
      <c r="I50">
        <v>0.97878384427186249</v>
      </c>
      <c r="J50">
        <v>0.5573474625183531</v>
      </c>
      <c r="K50">
        <v>1.546185593341967</v>
      </c>
      <c r="L50">
        <v>1.482425683638845</v>
      </c>
      <c r="M50">
        <v>1.787728387953829</v>
      </c>
      <c r="N50">
        <v>1.29615326829542</v>
      </c>
      <c r="O50">
        <v>1.478871593987263</v>
      </c>
      <c r="P50">
        <v>1.784142407669189</v>
      </c>
    </row>
    <row r="53" spans="1:16" x14ac:dyDescent="0.35">
      <c r="A53" t="s">
        <v>138</v>
      </c>
    </row>
    <row r="56" spans="1:16" ht="15" thickBot="1" x14ac:dyDescent="0.4"/>
    <row r="57" spans="1:16" ht="15" thickBot="1" x14ac:dyDescent="0.4">
      <c r="D57" s="6" t="s">
        <v>9</v>
      </c>
      <c r="E57" s="7" t="s">
        <v>13</v>
      </c>
    </row>
    <row r="58" spans="1:16" x14ac:dyDescent="0.35">
      <c r="D58" s="9"/>
      <c r="E58" s="10"/>
    </row>
    <row r="59" spans="1:16" x14ac:dyDescent="0.35">
      <c r="D59" s="12"/>
      <c r="E59" s="13"/>
    </row>
    <row r="60" spans="1:16" x14ac:dyDescent="0.35">
      <c r="D60" s="14"/>
      <c r="E60" s="15"/>
    </row>
    <row r="61" spans="1:16" x14ac:dyDescent="0.35">
      <c r="D61" s="16"/>
      <c r="E61" s="17"/>
    </row>
    <row r="62" spans="1:16" ht="15" thickBot="1" x14ac:dyDescent="0.4">
      <c r="D62" s="19"/>
      <c r="E62" s="20"/>
    </row>
  </sheetData>
  <conditionalFormatting sqref="C2:C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8170-76F3-4C7B-8ADC-409223AA1AEA}">
  <dimension ref="A1:N50"/>
  <sheetViews>
    <sheetView showGridLines="0" tabSelected="1" topLeftCell="A9" zoomScale="145" zoomScaleNormal="145" workbookViewId="0">
      <selection activeCell="H28" sqref="H28"/>
    </sheetView>
  </sheetViews>
  <sheetFormatPr defaultRowHeight="14.5" x14ac:dyDescent="0.35"/>
  <cols>
    <col min="1" max="1" width="32.6328125" bestFit="1" customWidth="1"/>
    <col min="6" max="6" width="16.08984375" customWidth="1"/>
    <col min="9" max="9" width="29.08984375" customWidth="1"/>
  </cols>
  <sheetData>
    <row r="1" spans="1:13" x14ac:dyDescent="0.35">
      <c r="B1" t="s">
        <v>1</v>
      </c>
      <c r="C1" t="s">
        <v>5</v>
      </c>
      <c r="D1" t="s">
        <v>9</v>
      </c>
      <c r="E1" t="s">
        <v>13</v>
      </c>
    </row>
    <row r="2" spans="1:13" x14ac:dyDescent="0.35">
      <c r="A2" t="s">
        <v>15</v>
      </c>
      <c r="B2">
        <v>-1.3781759997899979E-3</v>
      </c>
      <c r="C2">
        <v>-2.7914557680528899E-3</v>
      </c>
      <c r="D2">
        <v>-5.5257464535044126E-3</v>
      </c>
      <c r="E2">
        <v>-8.4220862690345417E-3</v>
      </c>
    </row>
    <row r="3" spans="1:13" x14ac:dyDescent="0.35">
      <c r="A3" t="s">
        <v>16</v>
      </c>
      <c r="B3">
        <v>-3.9896644664343013E-3</v>
      </c>
      <c r="C3">
        <v>-5.9266908779179216E-3</v>
      </c>
      <c r="D3">
        <v>0</v>
      </c>
      <c r="E3">
        <v>0</v>
      </c>
    </row>
    <row r="4" spans="1:13" x14ac:dyDescent="0.35">
      <c r="A4" t="s">
        <v>17</v>
      </c>
      <c r="B4">
        <v>-3.057501463023108E-2</v>
      </c>
      <c r="C4">
        <v>-2.9747186266953361E-2</v>
      </c>
      <c r="D4">
        <v>0</v>
      </c>
      <c r="E4">
        <v>0</v>
      </c>
    </row>
    <row r="5" spans="1:13" x14ac:dyDescent="0.35">
      <c r="A5" t="s">
        <v>18</v>
      </c>
      <c r="B5">
        <v>0.13585593057657999</v>
      </c>
      <c r="C5">
        <v>0.36921551774520911</v>
      </c>
      <c r="D5">
        <v>0.15349755141135671</v>
      </c>
      <c r="E5">
        <v>0</v>
      </c>
    </row>
    <row r="6" spans="1:13" x14ac:dyDescent="0.35">
      <c r="A6" t="s">
        <v>19</v>
      </c>
      <c r="B6">
        <v>-1.6321798827386051E-2</v>
      </c>
      <c r="C6">
        <v>-1.220498387412231E-2</v>
      </c>
      <c r="D6">
        <v>-4.3280690838089393E-3</v>
      </c>
      <c r="E6">
        <v>-3.12729886260489E-3</v>
      </c>
    </row>
    <row r="7" spans="1:13" x14ac:dyDescent="0.35">
      <c r="A7" t="s">
        <v>20</v>
      </c>
      <c r="B7">
        <v>0</v>
      </c>
      <c r="C7">
        <v>0</v>
      </c>
      <c r="D7">
        <v>0</v>
      </c>
      <c r="E7">
        <v>-2.595757398941009E-2</v>
      </c>
    </row>
    <row r="8" spans="1:13" x14ac:dyDescent="0.35">
      <c r="A8" t="s">
        <v>21</v>
      </c>
      <c r="B8">
        <v>-0.17948140633099499</v>
      </c>
      <c r="C8">
        <v>-0.1202410277653669</v>
      </c>
      <c r="D8">
        <v>-4.3391354619703927E-2</v>
      </c>
      <c r="E8">
        <v>0</v>
      </c>
    </row>
    <row r="9" spans="1:13" x14ac:dyDescent="0.35">
      <c r="A9" t="s">
        <v>22</v>
      </c>
      <c r="B9">
        <v>-1.12337011592185E-2</v>
      </c>
      <c r="C9">
        <v>-7.2238894628017117E-3</v>
      </c>
      <c r="D9">
        <v>0</v>
      </c>
      <c r="E9">
        <v>0</v>
      </c>
    </row>
    <row r="10" spans="1:13" x14ac:dyDescent="0.35">
      <c r="A10" t="s">
        <v>23</v>
      </c>
      <c r="B10">
        <v>2.6472426491840471E-2</v>
      </c>
      <c r="C10">
        <v>7.6147654305412052E-2</v>
      </c>
      <c r="D10">
        <v>7.1660232861555803E-2</v>
      </c>
      <c r="E10">
        <v>6.3032674923749865E-2</v>
      </c>
    </row>
    <row r="11" spans="1:13" x14ac:dyDescent="0.35">
      <c r="A11" t="s">
        <v>24</v>
      </c>
      <c r="B11">
        <v>-6.7395232823885848E-2</v>
      </c>
      <c r="C11">
        <v>-3.9766068974068217E-2</v>
      </c>
      <c r="D11">
        <v>-3.0930403324046181E-2</v>
      </c>
      <c r="E11">
        <v>-1.070474373132407E-2</v>
      </c>
    </row>
    <row r="12" spans="1:13" x14ac:dyDescent="0.35">
      <c r="A12" t="s">
        <v>25</v>
      </c>
      <c r="B12">
        <v>-0.22254180143162061</v>
      </c>
      <c r="C12">
        <v>-6.5512414781712908E-2</v>
      </c>
      <c r="D12">
        <v>0</v>
      </c>
      <c r="E12">
        <v>0</v>
      </c>
    </row>
    <row r="13" spans="1:13" ht="15" thickBot="1" x14ac:dyDescent="0.4">
      <c r="A13" t="s">
        <v>26</v>
      </c>
      <c r="B13">
        <v>0</v>
      </c>
      <c r="C13">
        <v>0</v>
      </c>
      <c r="D13">
        <v>-1.010326598934227E-2</v>
      </c>
      <c r="E13">
        <v>0</v>
      </c>
    </row>
    <row r="14" spans="1:13" ht="15" thickBot="1" x14ac:dyDescent="0.4">
      <c r="A14" t="s">
        <v>27</v>
      </c>
      <c r="B14">
        <v>7.7777930852235139E-2</v>
      </c>
      <c r="C14">
        <v>0.1873418386472834</v>
      </c>
      <c r="D14">
        <v>0.76319154327380523</v>
      </c>
      <c r="E14">
        <v>0.65855845224579024</v>
      </c>
      <c r="F14" s="3" t="s">
        <v>139</v>
      </c>
      <c r="M14" s="25"/>
    </row>
    <row r="15" spans="1:13" x14ac:dyDescent="0.35">
      <c r="A15" t="s">
        <v>28</v>
      </c>
      <c r="B15" s="1">
        <v>1.6119364093369809E-2</v>
      </c>
      <c r="C15" s="1">
        <v>9.3483714358801928E-2</v>
      </c>
      <c r="D15" s="1">
        <v>0</v>
      </c>
      <c r="E15" s="1">
        <v>0</v>
      </c>
    </row>
    <row r="16" spans="1:13" x14ac:dyDescent="0.35">
      <c r="A16" t="s">
        <v>29</v>
      </c>
      <c r="B16" s="1">
        <v>-4.9448321379989731E-2</v>
      </c>
      <c r="C16" s="1">
        <v>-3.3366040669943073E-2</v>
      </c>
      <c r="D16" s="1">
        <v>-1.894230021088996E-2</v>
      </c>
      <c r="E16" s="1">
        <v>-1.674519657298602E-2</v>
      </c>
      <c r="F16" s="3"/>
    </row>
    <row r="17" spans="1:14" ht="15" thickBot="1" x14ac:dyDescent="0.4">
      <c r="A17" t="s">
        <v>30</v>
      </c>
      <c r="B17" s="1">
        <v>-0.15105620545123899</v>
      </c>
      <c r="C17" s="1">
        <v>-0.10280147630698711</v>
      </c>
      <c r="D17" s="1">
        <v>-0.1063314511368306</v>
      </c>
      <c r="E17" s="1">
        <v>-9.6185010654986081E-2</v>
      </c>
      <c r="F17" s="3"/>
    </row>
    <row r="18" spans="1:14" ht="15" thickBot="1" x14ac:dyDescent="0.4">
      <c r="A18" t="s">
        <v>31</v>
      </c>
      <c r="B18" s="1">
        <v>0.35395833166349511</v>
      </c>
      <c r="C18" s="1">
        <v>0.27020417011111442</v>
      </c>
      <c r="D18" s="1">
        <v>0.25317801605124512</v>
      </c>
      <c r="E18" s="1">
        <v>0.40848656433104519</v>
      </c>
      <c r="F18" s="3" t="s">
        <v>140</v>
      </c>
      <c r="I18" s="4" t="s">
        <v>144</v>
      </c>
      <c r="J18" s="5" t="s">
        <v>1</v>
      </c>
      <c r="K18" s="6" t="s">
        <v>5</v>
      </c>
      <c r="L18" s="6" t="s">
        <v>9</v>
      </c>
      <c r="M18" s="7" t="s">
        <v>13</v>
      </c>
    </row>
    <row r="19" spans="1:14" x14ac:dyDescent="0.35">
      <c r="A19" t="s">
        <v>32</v>
      </c>
      <c r="B19" s="1">
        <v>-0.1356061064631682</v>
      </c>
      <c r="C19" s="1">
        <v>-9.0134038266389729E-2</v>
      </c>
      <c r="D19" s="1">
        <v>-9.4076638564750736E-2</v>
      </c>
      <c r="E19" s="1">
        <v>-6.8759612691511443E-2</v>
      </c>
      <c r="F19" s="3"/>
      <c r="I19" s="8" t="s">
        <v>142</v>
      </c>
      <c r="J19" s="22">
        <f>SUM(B25:B26)</f>
        <v>-0.3000191205520043</v>
      </c>
      <c r="K19" s="28">
        <f t="shared" ref="K19:M19" si="0">SUM(C25:C26)</f>
        <v>-0.32911156120588464</v>
      </c>
      <c r="L19" s="28">
        <f t="shared" si="0"/>
        <v>-0.23687859523096438</v>
      </c>
      <c r="M19" s="29">
        <f t="shared" si="0"/>
        <v>-0.8301696275578162</v>
      </c>
      <c r="N19" s="2">
        <f>M19-J19</f>
        <v>-0.5301505070058119</v>
      </c>
    </row>
    <row r="20" spans="1:14" x14ac:dyDescent="0.35">
      <c r="A20" t="s">
        <v>33</v>
      </c>
      <c r="B20" s="1">
        <v>-6.5940492082516594E-2</v>
      </c>
      <c r="C20" s="1">
        <v>-5.9528882248970919E-2</v>
      </c>
      <c r="D20" s="1">
        <v>-5.2321244007205767E-2</v>
      </c>
      <c r="E20" s="1">
        <v>-4.2703497637097097E-2</v>
      </c>
      <c r="F20" s="3"/>
      <c r="I20" s="11" t="s">
        <v>143</v>
      </c>
      <c r="J20" s="23">
        <f>B14</f>
        <v>7.7777930852235139E-2</v>
      </c>
      <c r="K20" s="30">
        <f>C14</f>
        <v>0.1873418386472834</v>
      </c>
      <c r="L20" s="30">
        <f>D14</f>
        <v>0.76319154327380523</v>
      </c>
      <c r="M20" s="31">
        <f>E14</f>
        <v>0.65855845224579024</v>
      </c>
      <c r="N20" s="2">
        <f t="shared" ref="N20:N24" si="1">M20-J20</f>
        <v>0.58078052139355507</v>
      </c>
    </row>
    <row r="21" spans="1:14" x14ac:dyDescent="0.35">
      <c r="A21" t="s">
        <v>34</v>
      </c>
      <c r="B21" s="1">
        <v>0</v>
      </c>
      <c r="C21" s="1">
        <v>0</v>
      </c>
      <c r="D21" s="1">
        <v>0</v>
      </c>
      <c r="E21" s="1">
        <v>0</v>
      </c>
      <c r="I21" s="11" t="s">
        <v>145</v>
      </c>
      <c r="J21" s="23">
        <f>B43+SUM(B16:B20)</f>
        <v>-0.22531844312278609</v>
      </c>
      <c r="K21" s="30">
        <f>C43+SUM(C16:C20)</f>
        <v>6.4036552219991688E-2</v>
      </c>
      <c r="L21" s="30">
        <f>D43+SUM(D16:D20)</f>
        <v>-2.5697574739181387E-2</v>
      </c>
      <c r="M21" s="31">
        <f>E43+SUM(E16:E20)</f>
        <v>0.82494333990207258</v>
      </c>
      <c r="N21" s="2">
        <f t="shared" si="1"/>
        <v>1.0502617830248586</v>
      </c>
    </row>
    <row r="22" spans="1:14" x14ac:dyDescent="0.35">
      <c r="A22" t="s">
        <v>35</v>
      </c>
      <c r="B22" s="1">
        <v>-4.8904714901573679E-2</v>
      </c>
      <c r="C22" s="1">
        <v>-4.7827446262114118E-2</v>
      </c>
      <c r="D22" s="1">
        <v>-1.7029030957678069E-2</v>
      </c>
      <c r="E22" s="1">
        <v>-1.8448288787488961E-3</v>
      </c>
      <c r="I22" s="11" t="s">
        <v>146</v>
      </c>
      <c r="J22" s="21">
        <f>SUM(B23:B24)</f>
        <v>0.62798752419223636</v>
      </c>
      <c r="K22" s="32">
        <f>SUM(C23:C24)</f>
        <v>8.0060969551761507E-2</v>
      </c>
      <c r="L22" s="32">
        <f>SUM(D23:D24)</f>
        <v>8.1609771328048447E-2</v>
      </c>
      <c r="M22" s="33">
        <f>SUM(E23:E24)</f>
        <v>0.26163158503372608</v>
      </c>
      <c r="N22" s="2">
        <f t="shared" si="1"/>
        <v>-0.36635593915851028</v>
      </c>
    </row>
    <row r="23" spans="1:14" x14ac:dyDescent="0.35">
      <c r="A23" t="s">
        <v>36</v>
      </c>
      <c r="B23" s="1">
        <v>0.51597376111192472</v>
      </c>
      <c r="C23" s="1">
        <v>5.1800986066395223E-2</v>
      </c>
      <c r="D23" s="1">
        <v>2.9662122043800272E-2</v>
      </c>
      <c r="E23" s="1">
        <v>0.1301505889481229</v>
      </c>
      <c r="I23" s="11" t="s">
        <v>147</v>
      </c>
      <c r="J23" s="23">
        <f>SUM(B31:B34,B44:B45)</f>
        <v>1.3494601797643775</v>
      </c>
      <c r="K23" s="30">
        <f>SUM(C31:C34,C44:C45)</f>
        <v>0.94679341795817296</v>
      </c>
      <c r="L23" s="30">
        <f>SUM(D31:D34,D44:D45)</f>
        <v>0.70074690930624017</v>
      </c>
      <c r="M23" s="31">
        <f>SUM(E31:E34,E44:E45)</f>
        <v>0.49536993771930538</v>
      </c>
      <c r="N23" s="2">
        <f t="shared" si="1"/>
        <v>-0.85409024204507211</v>
      </c>
    </row>
    <row r="24" spans="1:14" ht="15" thickBot="1" x14ac:dyDescent="0.4">
      <c r="A24" t="s">
        <v>37</v>
      </c>
      <c r="B24" s="1">
        <v>0.11201376308031161</v>
      </c>
      <c r="C24" s="1">
        <v>2.8259983485366281E-2</v>
      </c>
      <c r="D24" s="1">
        <v>5.1947649284248179E-2</v>
      </c>
      <c r="E24" s="1">
        <v>0.13148099608560321</v>
      </c>
      <c r="I24" s="18" t="s">
        <v>148</v>
      </c>
      <c r="J24" s="34">
        <f>B50-SUM(J19:J23)</f>
        <v>-0.73472850772762166</v>
      </c>
      <c r="K24" s="35">
        <f>C50-SUM(K19:K23)</f>
        <v>0.41648312162437906</v>
      </c>
      <c r="L24" s="35">
        <f>D50-SUM(L19:L23)</f>
        <v>0.26321353940401915</v>
      </c>
      <c r="M24" s="36">
        <f>E50-SUM(M19:M23)</f>
        <v>6.8537906644184909E-2</v>
      </c>
      <c r="N24" s="2">
        <f t="shared" si="1"/>
        <v>0.80326641437180657</v>
      </c>
    </row>
    <row r="25" spans="1:14" ht="15" thickBot="1" x14ac:dyDescent="0.4">
      <c r="A25" t="s">
        <v>38</v>
      </c>
      <c r="B25" s="1">
        <v>-0.37744781083760492</v>
      </c>
      <c r="C25" s="1">
        <v>-0.28816653946551118</v>
      </c>
      <c r="D25" s="1">
        <v>-0.1151854496087792</v>
      </c>
      <c r="E25" s="1">
        <v>-0.54813813413549972</v>
      </c>
      <c r="F25" s="3"/>
      <c r="I25" s="4" t="s">
        <v>149</v>
      </c>
      <c r="J25" s="37">
        <f>SUM(J19:J24)</f>
        <v>0.7951595634064369</v>
      </c>
      <c r="K25" s="38">
        <f>SUM(K19:K24)</f>
        <v>1.365604338795704</v>
      </c>
      <c r="L25" s="38">
        <f>SUM(L19:L24)</f>
        <v>1.546185593341967</v>
      </c>
      <c r="M25" s="39">
        <f>SUM(M19:M24)</f>
        <v>1.478871593987263</v>
      </c>
    </row>
    <row r="26" spans="1:14" ht="15" thickBot="1" x14ac:dyDescent="0.4">
      <c r="A26" t="s">
        <v>39</v>
      </c>
      <c r="B26" s="1">
        <v>7.7428690285600607E-2</v>
      </c>
      <c r="C26" s="1">
        <v>-4.0945021740373469E-2</v>
      </c>
      <c r="D26" s="1">
        <v>-0.12169314562218519</v>
      </c>
      <c r="E26" s="1">
        <v>-0.28203149342231648</v>
      </c>
      <c r="F26" s="3"/>
      <c r="I26" s="26" t="s">
        <v>150</v>
      </c>
      <c r="J26" s="2"/>
      <c r="K26" s="2"/>
      <c r="L26" s="2"/>
      <c r="M26" s="27">
        <f>M25-J25</f>
        <v>0.68371203058082608</v>
      </c>
    </row>
    <row r="27" spans="1:14" x14ac:dyDescent="0.35">
      <c r="A27" t="s">
        <v>40</v>
      </c>
      <c r="B27" s="1">
        <v>-5.3282077530277028E-2</v>
      </c>
      <c r="C27" s="1">
        <v>-5.1476027285695093E-2</v>
      </c>
      <c r="D27" s="1">
        <v>-3.4334773547388439E-2</v>
      </c>
      <c r="E27" s="1">
        <v>0</v>
      </c>
    </row>
    <row r="28" spans="1:14" x14ac:dyDescent="0.35">
      <c r="A28" t="s">
        <v>41</v>
      </c>
      <c r="B28" s="1">
        <v>2.6755983366775132E-2</v>
      </c>
      <c r="C28" s="1">
        <v>3.0348569937709079E-2</v>
      </c>
      <c r="D28" s="1">
        <v>1.8770544655265269E-2</v>
      </c>
      <c r="E28" s="1">
        <v>0</v>
      </c>
    </row>
    <row r="29" spans="1:14" x14ac:dyDescent="0.35">
      <c r="A29" t="s">
        <v>42</v>
      </c>
      <c r="B29" s="1">
        <v>0</v>
      </c>
      <c r="C29" s="1">
        <v>0</v>
      </c>
      <c r="D29" s="1">
        <v>4.017842294229311E-2</v>
      </c>
      <c r="E29" s="1">
        <v>9.3743984746460937E-2</v>
      </c>
      <c r="I29">
        <v>48</v>
      </c>
    </row>
    <row r="30" spans="1:14" x14ac:dyDescent="0.35">
      <c r="A30" t="s">
        <v>43</v>
      </c>
      <c r="B30" s="1">
        <v>-1.9513930036127461E-2</v>
      </c>
      <c r="C30" s="1">
        <v>-2.7210166162381269E-2</v>
      </c>
      <c r="D30" s="1">
        <v>-2.695068300177908E-2</v>
      </c>
      <c r="E30" s="1">
        <v>-2.85539601929236E-2</v>
      </c>
      <c r="I30">
        <v>2</v>
      </c>
      <c r="K30">
        <v>6</v>
      </c>
    </row>
    <row r="31" spans="1:14" x14ac:dyDescent="0.35">
      <c r="A31" t="s">
        <v>44</v>
      </c>
      <c r="B31" s="1">
        <v>0</v>
      </c>
      <c r="C31" s="1">
        <v>0</v>
      </c>
      <c r="D31" s="1">
        <v>-0.37351172115255182</v>
      </c>
      <c r="E31" s="1">
        <v>-0.86292808749027172</v>
      </c>
      <c r="F31" s="3" t="s">
        <v>141</v>
      </c>
      <c r="I31">
        <v>5</v>
      </c>
      <c r="K31">
        <v>3</v>
      </c>
    </row>
    <row r="32" spans="1:14" x14ac:dyDescent="0.35">
      <c r="A32" t="s">
        <v>45</v>
      </c>
      <c r="B32" s="1">
        <v>0</v>
      </c>
      <c r="C32" s="1">
        <v>0</v>
      </c>
      <c r="D32" s="1">
        <v>3.4906272201084429E-2</v>
      </c>
      <c r="E32" s="1">
        <v>5.5045172575415788E-2</v>
      </c>
      <c r="F32" t="s">
        <v>141</v>
      </c>
      <c r="I32">
        <v>2</v>
      </c>
      <c r="K32">
        <v>6</v>
      </c>
    </row>
    <row r="33" spans="1:11" x14ac:dyDescent="0.35">
      <c r="A33" t="s">
        <v>46</v>
      </c>
      <c r="B33" s="1">
        <v>0</v>
      </c>
      <c r="C33" s="1">
        <v>0</v>
      </c>
      <c r="D33" s="1">
        <v>6.8695700362730233E-2</v>
      </c>
      <c r="E33" s="1">
        <v>9.3805695206898437E-2</v>
      </c>
      <c r="F33" t="s">
        <v>141</v>
      </c>
      <c r="I33">
        <v>5</v>
      </c>
      <c r="K33">
        <f>I29-SUM(K30:K32)</f>
        <v>33</v>
      </c>
    </row>
    <row r="34" spans="1:11" x14ac:dyDescent="0.35">
      <c r="A34" t="s">
        <v>47</v>
      </c>
      <c r="B34" s="1">
        <v>0.35139096487160149</v>
      </c>
      <c r="C34" s="1">
        <v>0.26612673909426682</v>
      </c>
      <c r="D34" s="1">
        <v>0.11978582273999171</v>
      </c>
      <c r="E34" s="1">
        <v>0</v>
      </c>
      <c r="F34" t="s">
        <v>141</v>
      </c>
      <c r="I34">
        <v>2</v>
      </c>
    </row>
    <row r="35" spans="1:11" x14ac:dyDescent="0.35">
      <c r="A35" t="s">
        <v>48</v>
      </c>
      <c r="B35" s="1">
        <v>-0.61051553957988858</v>
      </c>
      <c r="C35" s="1">
        <v>-0.27719262655836352</v>
      </c>
      <c r="D35" s="1">
        <v>-0.15571056789789009</v>
      </c>
      <c r="E35" s="1">
        <v>-0.1746019059083633</v>
      </c>
      <c r="F35" s="3"/>
      <c r="I35">
        <f>I29-SUM(I30:I34)</f>
        <v>32</v>
      </c>
    </row>
    <row r="36" spans="1:11" x14ac:dyDescent="0.35">
      <c r="A36" t="s">
        <v>49</v>
      </c>
      <c r="B36" s="1">
        <v>0</v>
      </c>
      <c r="C36" s="1">
        <v>0</v>
      </c>
      <c r="D36" s="1">
        <v>-6.8436181674271747E-3</v>
      </c>
      <c r="E36" s="1">
        <v>-1.11297059832994E-2</v>
      </c>
    </row>
    <row r="37" spans="1:11" x14ac:dyDescent="0.35">
      <c r="A37" t="s">
        <v>50</v>
      </c>
      <c r="B37" s="1">
        <v>0</v>
      </c>
      <c r="C37" s="1">
        <v>0</v>
      </c>
      <c r="D37" s="1">
        <v>7.669257865069141E-3</v>
      </c>
      <c r="E37" s="1">
        <v>-1.0424089633292171E-3</v>
      </c>
    </row>
    <row r="38" spans="1:11" x14ac:dyDescent="0.35">
      <c r="A38" t="s">
        <v>51</v>
      </c>
      <c r="B38" s="1">
        <v>-5.2516065229671033E-2</v>
      </c>
      <c r="C38" s="1">
        <v>0.1103402381635471</v>
      </c>
      <c r="D38" s="1">
        <v>6.4902287131925335E-2</v>
      </c>
      <c r="E38" s="1">
        <v>-0.20683281800596159</v>
      </c>
    </row>
    <row r="39" spans="1:11" x14ac:dyDescent="0.35">
      <c r="A39" t="s">
        <v>52</v>
      </c>
      <c r="B39" s="1">
        <v>-7.7009587958894815E-2</v>
      </c>
      <c r="C39" s="1">
        <v>4.3063684767689799E-2</v>
      </c>
      <c r="D39" s="1">
        <v>7.9375747746627409E-2</v>
      </c>
      <c r="E39" s="1">
        <v>0.12970050921806381</v>
      </c>
    </row>
    <row r="40" spans="1:11" x14ac:dyDescent="0.35">
      <c r="A40" t="s">
        <v>53</v>
      </c>
      <c r="B40" s="1">
        <v>-2.05958291756249E-2</v>
      </c>
      <c r="C40" s="1">
        <v>-8.2659023922689104E-3</v>
      </c>
      <c r="D40" s="1">
        <v>-3.2837365176654741E-3</v>
      </c>
      <c r="E40" s="1">
        <v>-1.9394650341244711E-3</v>
      </c>
    </row>
    <row r="41" spans="1:11" x14ac:dyDescent="0.35">
      <c r="A41" t="s">
        <v>54</v>
      </c>
      <c r="B41" s="1">
        <v>-3.5241043144029441E-2</v>
      </c>
      <c r="C41" s="1">
        <v>-4.4734287371761099E-2</v>
      </c>
      <c r="D41" s="1">
        <v>-6.4437740955761103E-2</v>
      </c>
      <c r="E41" s="1">
        <v>-5.2257753408531657E-2</v>
      </c>
    </row>
    <row r="42" spans="1:11" x14ac:dyDescent="0.35">
      <c r="A42" t="s">
        <v>55</v>
      </c>
      <c r="B42" s="1">
        <v>3.2327911949176669E-2</v>
      </c>
      <c r="C42" s="1">
        <v>1.725602832325519E-2</v>
      </c>
      <c r="D42" s="1">
        <v>-1.0034609246673289E-2</v>
      </c>
      <c r="E42" s="1">
        <v>-5.5873769338753328E-2</v>
      </c>
    </row>
    <row r="43" spans="1:11" x14ac:dyDescent="0.35">
      <c r="A43" t="s">
        <v>56</v>
      </c>
      <c r="B43" s="1">
        <v>-0.17722564940936769</v>
      </c>
      <c r="C43" s="1">
        <v>7.9662819601168111E-2</v>
      </c>
      <c r="D43" s="1">
        <v>-7.2039568707494466E-3</v>
      </c>
      <c r="E43" s="1">
        <v>0.64085009312760799</v>
      </c>
      <c r="F43" s="3"/>
    </row>
    <row r="44" spans="1:11" x14ac:dyDescent="0.35">
      <c r="A44" t="s">
        <v>57</v>
      </c>
      <c r="B44" s="1">
        <v>0.998069214892776</v>
      </c>
      <c r="C44" s="1">
        <v>0.68066667886390608</v>
      </c>
      <c r="D44" s="1">
        <v>0.31549399561826658</v>
      </c>
      <c r="E44" s="1">
        <v>0</v>
      </c>
    </row>
    <row r="45" spans="1:11" x14ac:dyDescent="0.35">
      <c r="A45" t="s">
        <v>58</v>
      </c>
      <c r="B45" s="1">
        <v>0</v>
      </c>
      <c r="C45" s="1">
        <v>0</v>
      </c>
      <c r="D45" s="1">
        <v>0.53537683953671911</v>
      </c>
      <c r="E45" s="1">
        <v>1.2094471574272629</v>
      </c>
      <c r="F45" s="1" t="s">
        <v>141</v>
      </c>
      <c r="G45" s="1"/>
    </row>
    <row r="46" spans="1:11" x14ac:dyDescent="0.35">
      <c r="A46" t="s">
        <v>59</v>
      </c>
      <c r="B46" s="1">
        <v>2.7168816485098019E-2</v>
      </c>
      <c r="C46" s="1">
        <v>1.2008496960219359E-2</v>
      </c>
      <c r="D46" s="1">
        <v>3.4103912410936351E-3</v>
      </c>
      <c r="E46" s="1">
        <v>0</v>
      </c>
    </row>
    <row r="47" spans="1:11" x14ac:dyDescent="0.35">
      <c r="A47" t="s">
        <v>60</v>
      </c>
      <c r="B47" s="1">
        <v>0</v>
      </c>
      <c r="C47" s="1">
        <v>0</v>
      </c>
      <c r="D47" s="1">
        <v>-4.8926632149074263E-3</v>
      </c>
      <c r="E47" s="1">
        <v>9.3666431478976409E-2</v>
      </c>
    </row>
    <row r="48" spans="1:11" x14ac:dyDescent="0.35">
      <c r="A48" t="s">
        <v>61</v>
      </c>
      <c r="B48" s="1">
        <v>5.5470477455321937E-2</v>
      </c>
      <c r="C48" s="1">
        <v>7.5244442337419795E-2</v>
      </c>
      <c r="D48" s="1">
        <v>4.2154201613290157E-2</v>
      </c>
      <c r="E48" s="1">
        <v>-3.8039818788177998E-2</v>
      </c>
    </row>
    <row r="49" spans="1:5" x14ac:dyDescent="0.35">
      <c r="A49" t="s">
        <v>62</v>
      </c>
      <c r="B49" s="1">
        <v>0.39559616507986489</v>
      </c>
      <c r="C49" s="1">
        <v>0.3294949485286961</v>
      </c>
      <c r="D49" s="1">
        <v>0.19939116491311809</v>
      </c>
      <c r="E49" s="1">
        <v>0.30872244363152113</v>
      </c>
    </row>
    <row r="50" spans="1:5" x14ac:dyDescent="0.35">
      <c r="A50" t="s">
        <v>63</v>
      </c>
      <c r="B50">
        <v>0.7951595634064369</v>
      </c>
      <c r="C50">
        <v>1.365604338795704</v>
      </c>
      <c r="D50">
        <v>1.546185593341967</v>
      </c>
      <c r="E50">
        <v>1.478871593987263</v>
      </c>
    </row>
  </sheetData>
  <conditionalFormatting sqref="B2:B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"/>
  <sheetViews>
    <sheetView workbookViewId="0">
      <selection activeCell="Y53" sqref="Y53"/>
    </sheetView>
  </sheetViews>
  <sheetFormatPr defaultRowHeight="14.5" x14ac:dyDescent="0.35"/>
  <cols>
    <col min="1" max="1" width="26.81640625" bestFit="1" customWidth="1"/>
    <col min="2" max="2" width="15.26953125" bestFit="1" customWidth="1"/>
    <col min="5" max="7" width="0" hidden="1" customWidth="1"/>
    <col min="9" max="11" width="0" hidden="1" customWidth="1"/>
    <col min="13" max="15" width="0" hidden="1" customWidth="1"/>
    <col min="17" max="17" width="0" hidden="1" customWidth="1"/>
  </cols>
  <sheetData>
    <row r="1" spans="1:17" x14ac:dyDescent="0.35">
      <c r="A1" t="s">
        <v>64</v>
      </c>
      <c r="B1" t="s">
        <v>65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5">
      <c r="A2" t="s">
        <v>66</v>
      </c>
    </row>
    <row r="3" spans="1:17" x14ac:dyDescent="0.35">
      <c r="A3" t="s">
        <v>67</v>
      </c>
      <c r="B3" t="s">
        <v>68</v>
      </c>
      <c r="C3" s="24">
        <v>4.384011067497294E-2</v>
      </c>
      <c r="D3" s="24">
        <v>4.8857274578726267E-2</v>
      </c>
      <c r="E3" s="24">
        <v>2.3327825717070701E-2</v>
      </c>
      <c r="F3" s="24">
        <v>3.0104895772041181E-2</v>
      </c>
      <c r="G3" s="24">
        <v>0.24430161065479411</v>
      </c>
      <c r="H3" s="24">
        <v>0.22212967677718981</v>
      </c>
      <c r="I3" s="24">
        <v>0.22212143970642029</v>
      </c>
      <c r="J3" s="24">
        <v>0.25606343875209681</v>
      </c>
      <c r="K3" s="24">
        <v>0.27076292660752488</v>
      </c>
      <c r="L3" s="24">
        <v>0.21641011256738471</v>
      </c>
      <c r="M3" s="24">
        <v>0.22150822182970589</v>
      </c>
      <c r="N3" s="24">
        <v>0.17473104155685201</v>
      </c>
      <c r="O3" s="24">
        <v>0.19058170225250121</v>
      </c>
      <c r="P3" s="24">
        <v>0.1772945014926641</v>
      </c>
      <c r="Q3" s="24">
        <v>0.1565572387333532</v>
      </c>
    </row>
    <row r="4" spans="1:17" x14ac:dyDescent="0.35">
      <c r="A4" t="s">
        <v>69</v>
      </c>
      <c r="B4" t="s">
        <v>68</v>
      </c>
      <c r="C4" s="24">
        <v>1.004008143561294</v>
      </c>
      <c r="D4" s="24">
        <v>1.005316917757445</v>
      </c>
      <c r="E4" s="24">
        <v>1.004397585412458</v>
      </c>
      <c r="F4" s="24">
        <v>1.004139572832742</v>
      </c>
      <c r="G4" s="24">
        <v>0.99506752543914545</v>
      </c>
      <c r="H4" s="24">
        <v>0.99420390332603881</v>
      </c>
      <c r="I4" s="24">
        <v>0.99639974017639577</v>
      </c>
      <c r="J4" s="24">
        <v>0.99622060680964775</v>
      </c>
      <c r="K4" s="24">
        <v>0.99659234640815253</v>
      </c>
      <c r="L4" s="24">
        <v>0.99391802632202808</v>
      </c>
      <c r="M4" s="24">
        <v>0.99141822978215655</v>
      </c>
      <c r="N4" s="24">
        <v>0.99572405378114837</v>
      </c>
      <c r="O4" s="24">
        <v>0.99333038342750446</v>
      </c>
      <c r="P4" s="24">
        <v>1.00270544214927</v>
      </c>
      <c r="Q4" s="24">
        <v>1.0020400094726361</v>
      </c>
    </row>
    <row r="5" spans="1:17" x14ac:dyDescent="0.35">
      <c r="A5" t="s">
        <v>70</v>
      </c>
      <c r="B5" t="s">
        <v>68</v>
      </c>
      <c r="C5" s="24">
        <v>1.354004298035239E-2</v>
      </c>
      <c r="D5" s="24">
        <v>1.526592973871738E-2</v>
      </c>
      <c r="E5" s="24">
        <v>1.339899718323458E-2</v>
      </c>
      <c r="F5" s="24">
        <v>1.341382820873244E-2</v>
      </c>
      <c r="G5" s="24">
        <v>1.147899049293988E-2</v>
      </c>
      <c r="H5" s="24">
        <v>1.4554011268818249E-2</v>
      </c>
      <c r="I5" s="24">
        <v>1.6441959336084021E-2</v>
      </c>
      <c r="J5" s="24">
        <v>1.932786207497765E-2</v>
      </c>
      <c r="K5" s="24">
        <v>1.6146150757437399E-2</v>
      </c>
      <c r="L5" s="24">
        <v>1.9420633540886481E-2</v>
      </c>
      <c r="M5" s="24">
        <v>1.8000212360099091E-2</v>
      </c>
      <c r="N5" s="24">
        <v>1.7628536678141151E-2</v>
      </c>
      <c r="O5" s="24">
        <v>1.4252967316984571E-2</v>
      </c>
      <c r="P5" s="24">
        <v>1.5971937197927721E-2</v>
      </c>
      <c r="Q5" s="24">
        <v>1.242410006148313E-2</v>
      </c>
    </row>
    <row r="6" spans="1:17" x14ac:dyDescent="0.35">
      <c r="A6" t="s">
        <v>71</v>
      </c>
      <c r="B6" t="s">
        <v>68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8.7679613529522901E-3</v>
      </c>
      <c r="L6" s="24">
        <v>1.0092640247604621E-2</v>
      </c>
      <c r="M6" s="24">
        <v>1.0440709060643601E-2</v>
      </c>
      <c r="N6" s="24">
        <v>1.09347409752177E-2</v>
      </c>
      <c r="O6" s="24">
        <v>9.6119184864423626E-3</v>
      </c>
      <c r="P6" s="24">
        <v>1.2239843606759721E-2</v>
      </c>
      <c r="Q6" s="24">
        <v>8.0310076051455636E-3</v>
      </c>
    </row>
    <row r="7" spans="1:17" x14ac:dyDescent="0.35">
      <c r="A7" t="s">
        <v>72</v>
      </c>
      <c r="B7" t="s">
        <v>68</v>
      </c>
      <c r="C7" s="24">
        <v>0.1232119142094746</v>
      </c>
      <c r="D7" s="24">
        <v>0.1342580557652939</v>
      </c>
      <c r="E7" s="24">
        <v>0.13524447997246369</v>
      </c>
      <c r="F7" s="24">
        <v>0.15043862939308419</v>
      </c>
      <c r="G7" s="24">
        <v>0.14265318308905661</v>
      </c>
      <c r="H7" s="24">
        <v>0.15723730084520149</v>
      </c>
      <c r="I7" s="24">
        <v>0.164230838319645</v>
      </c>
      <c r="J7" s="24">
        <v>0.24736440320322869</v>
      </c>
      <c r="K7" s="24">
        <v>0.27172561943277379</v>
      </c>
      <c r="L7" s="24">
        <v>0.27539107740567143</v>
      </c>
      <c r="M7" s="24">
        <v>0.28531207170467049</v>
      </c>
      <c r="N7" s="24">
        <v>0.31104969438220859</v>
      </c>
      <c r="O7" s="24">
        <v>0.24219746147801349</v>
      </c>
      <c r="P7" s="24">
        <v>0.233689500034158</v>
      </c>
      <c r="Q7" s="24">
        <v>0.21703657756490519</v>
      </c>
    </row>
    <row r="8" spans="1:17" x14ac:dyDescent="0.35">
      <c r="A8" t="s">
        <v>73</v>
      </c>
      <c r="B8" t="s">
        <v>68</v>
      </c>
      <c r="C8" s="24">
        <v>0.15890686770052939</v>
      </c>
      <c r="D8" s="24">
        <v>0.14057475846877859</v>
      </c>
      <c r="E8" s="24">
        <v>0.1337829142429858</v>
      </c>
      <c r="F8" s="24">
        <v>0.1305855746045218</v>
      </c>
      <c r="G8" s="24">
        <v>0.18491601387041889</v>
      </c>
      <c r="H8" s="24">
        <v>0.15409217351062571</v>
      </c>
      <c r="I8" s="24">
        <v>0.1603283024363088</v>
      </c>
      <c r="J8" s="24">
        <v>0.17173892626224219</v>
      </c>
      <c r="K8" s="24">
        <v>0.23958888042907739</v>
      </c>
      <c r="L8" s="24">
        <v>0.14715800939215501</v>
      </c>
      <c r="M8" s="24">
        <v>0.17835602585712379</v>
      </c>
      <c r="N8" s="24">
        <v>0.16151735540090581</v>
      </c>
      <c r="O8" s="24">
        <v>0.25359945399082823</v>
      </c>
      <c r="P8" s="24">
        <v>0.2322584638331473</v>
      </c>
      <c r="Q8" s="24">
        <v>0.20027262397904511</v>
      </c>
    </row>
    <row r="10" spans="1:17" x14ac:dyDescent="0.35">
      <c r="A10" t="s">
        <v>74</v>
      </c>
    </row>
    <row r="11" spans="1:17" x14ac:dyDescent="0.35">
      <c r="A11" t="s">
        <v>75</v>
      </c>
      <c r="B11" t="s">
        <v>76</v>
      </c>
      <c r="C11">
        <v>2.1039011362029981E-3</v>
      </c>
      <c r="D11">
        <v>1.475569578254433E-3</v>
      </c>
      <c r="E11">
        <v>1.6090605814981049E-3</v>
      </c>
      <c r="F11">
        <v>1.634732612533615E-3</v>
      </c>
      <c r="G11">
        <v>1.968312521570076E-3</v>
      </c>
      <c r="H11">
        <v>2.003156659083934E-3</v>
      </c>
      <c r="I11">
        <v>2.5302230298453448E-3</v>
      </c>
      <c r="J11">
        <v>2.5030917043092839E-3</v>
      </c>
      <c r="K11">
        <v>3.0251837234754912E-3</v>
      </c>
      <c r="L11">
        <v>3.9627325467617158E-3</v>
      </c>
      <c r="M11">
        <v>2.707668031402087E-3</v>
      </c>
      <c r="N11">
        <v>2.8671401381518071E-3</v>
      </c>
      <c r="O11">
        <v>5.8879784707336659E-3</v>
      </c>
      <c r="P11">
        <v>7.1299966762286482E-3</v>
      </c>
      <c r="Q11">
        <v>6.7336390444677286E-3</v>
      </c>
    </row>
    <row r="12" spans="1:17" x14ac:dyDescent="0.35">
      <c r="A12" t="s">
        <v>77</v>
      </c>
      <c r="B12" t="s">
        <v>76</v>
      </c>
      <c r="C12">
        <v>5.4738925124265233E-3</v>
      </c>
      <c r="D12">
        <v>4.3138025162538412E-3</v>
      </c>
      <c r="E12">
        <v>6.3358744244330027E-3</v>
      </c>
      <c r="F12">
        <v>5.1540123004393656E-3</v>
      </c>
      <c r="G12">
        <v>4.7639578111976222E-3</v>
      </c>
      <c r="H12">
        <v>4.248304704584204E-3</v>
      </c>
      <c r="I12">
        <v>5.0559304671155781E-3</v>
      </c>
      <c r="J12">
        <v>5.5573196793787796E-3</v>
      </c>
      <c r="K12">
        <v>4.441308296415823E-3</v>
      </c>
      <c r="L12">
        <v>4.5393489524918314E-3</v>
      </c>
      <c r="M12">
        <v>4.5399427393091954E-3</v>
      </c>
      <c r="N12">
        <v>5.0680561167674998E-3</v>
      </c>
      <c r="O12">
        <v>5.6687461345474466E-3</v>
      </c>
      <c r="P12">
        <v>4.3756829794237336E-3</v>
      </c>
      <c r="Q12">
        <v>5.2548528898007912E-3</v>
      </c>
    </row>
    <row r="13" spans="1:17" x14ac:dyDescent="0.35">
      <c r="A13" t="s">
        <v>78</v>
      </c>
      <c r="B13" t="s">
        <v>76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35">
      <c r="A14" t="s">
        <v>79</v>
      </c>
      <c r="B14" t="s">
        <v>76</v>
      </c>
      <c r="C14">
        <v>3.4908007120619963E-2</v>
      </c>
      <c r="D14">
        <v>3.2134599159504777E-2</v>
      </c>
      <c r="E14">
        <v>3.6233222027771038E-2</v>
      </c>
      <c r="F14">
        <v>3.5909633810867272E-2</v>
      </c>
      <c r="G14">
        <v>2.1737613484941781E-2</v>
      </c>
      <c r="H14">
        <v>2.134554275440036E-2</v>
      </c>
      <c r="I14">
        <v>2.6980472849158721E-2</v>
      </c>
      <c r="J14">
        <v>6.1767485855452643E-2</v>
      </c>
      <c r="K14">
        <v>5.0308782685574961E-2</v>
      </c>
      <c r="L14">
        <v>5.4952777255787288E-2</v>
      </c>
      <c r="M14">
        <v>8.1368638099231949E-2</v>
      </c>
      <c r="N14">
        <v>8.7531620399077859E-2</v>
      </c>
      <c r="O14">
        <v>6.564178961408601E-2</v>
      </c>
      <c r="P14">
        <v>8.2024083414822535E-2</v>
      </c>
      <c r="Q14">
        <v>0.1029627775246232</v>
      </c>
    </row>
    <row r="15" spans="1:17" x14ac:dyDescent="0.35">
      <c r="A15" t="s">
        <v>80</v>
      </c>
      <c r="B15" t="s">
        <v>76</v>
      </c>
      <c r="C15">
        <v>1.5526116983915161E-2</v>
      </c>
      <c r="D15">
        <v>1.7685429786643919E-2</v>
      </c>
      <c r="E15">
        <v>1.5943382417475348E-2</v>
      </c>
      <c r="F15">
        <v>1.490960425400994E-2</v>
      </c>
      <c r="G15">
        <v>1.4637717732145819E-2</v>
      </c>
      <c r="H15">
        <v>8.7863588081394835E-3</v>
      </c>
      <c r="I15">
        <v>5.5362936961217534E-3</v>
      </c>
      <c r="J15">
        <v>1.009607316289505E-2</v>
      </c>
      <c r="K15">
        <v>6.408356495085297E-3</v>
      </c>
      <c r="L15">
        <v>3.1304173629804291E-3</v>
      </c>
      <c r="M15">
        <v>3.316670305300971E-3</v>
      </c>
      <c r="N15">
        <v>2.6664286498194151E-3</v>
      </c>
      <c r="O15">
        <v>3.804308020777635E-3</v>
      </c>
      <c r="P15">
        <v>2.6877564153110181E-3</v>
      </c>
      <c r="Q15">
        <v>2.1972186494001772E-3</v>
      </c>
    </row>
    <row r="16" spans="1:17" x14ac:dyDescent="0.35">
      <c r="A16" t="s">
        <v>81</v>
      </c>
      <c r="B16" t="s">
        <v>76</v>
      </c>
      <c r="C16">
        <v>1.106739078267774E-2</v>
      </c>
      <c r="D16">
        <v>1.181223793303326E-2</v>
      </c>
      <c r="E16">
        <v>1.0756905723343081E-2</v>
      </c>
      <c r="F16">
        <v>6.5324423378866226E-3</v>
      </c>
      <c r="G16">
        <v>4.3556883767145926E-3</v>
      </c>
      <c r="H16">
        <v>5.1488229364493659E-3</v>
      </c>
      <c r="I16">
        <v>6.1740736308905858E-3</v>
      </c>
      <c r="J16">
        <v>9.1483495292044772E-3</v>
      </c>
      <c r="K16">
        <v>8.3642631635692053E-3</v>
      </c>
      <c r="L16">
        <v>1.1032828402545901E-2</v>
      </c>
      <c r="M16">
        <v>1.085483069563851E-2</v>
      </c>
      <c r="N16">
        <v>9.5656260248079238E-3</v>
      </c>
      <c r="O16">
        <v>6.6867279476753583E-3</v>
      </c>
      <c r="P16">
        <v>7.8533064688121879E-3</v>
      </c>
      <c r="Q16">
        <v>4.7977846866297637E-3</v>
      </c>
    </row>
    <row r="17" spans="1:17" x14ac:dyDescent="0.35">
      <c r="A17" t="s">
        <v>82</v>
      </c>
      <c r="B17" t="s">
        <v>76</v>
      </c>
      <c r="C17">
        <v>5.4857916435150896E-3</v>
      </c>
      <c r="D17">
        <v>4.6336453249726343E-3</v>
      </c>
      <c r="E17">
        <v>4.3743929828231349E-3</v>
      </c>
      <c r="F17">
        <v>3.0151143483316892E-3</v>
      </c>
      <c r="G17">
        <v>4.3547702475361738E-3</v>
      </c>
      <c r="H17">
        <v>1.5120791589585639E-3</v>
      </c>
      <c r="I17">
        <v>5.7659136051926331E-4</v>
      </c>
      <c r="J17">
        <v>7.0934050552559744E-4</v>
      </c>
      <c r="K17">
        <v>7.762414405199133E-4</v>
      </c>
      <c r="L17">
        <v>6.3573406998364496E-4</v>
      </c>
      <c r="M17">
        <v>3.1833647034899121E-4</v>
      </c>
      <c r="N17">
        <v>6.5336838437960712E-4</v>
      </c>
      <c r="O17">
        <v>4.0675342491052608E-4</v>
      </c>
      <c r="P17">
        <v>9.8569866858591972E-5</v>
      </c>
      <c r="Q17">
        <v>4.0949421649347998E-4</v>
      </c>
    </row>
    <row r="18" spans="1:17" x14ac:dyDescent="0.35">
      <c r="A18" t="s">
        <v>83</v>
      </c>
      <c r="B18" t="s">
        <v>76</v>
      </c>
      <c r="C18">
        <v>7.6781856289417819E-2</v>
      </c>
      <c r="D18">
        <v>8.823011450452023E-2</v>
      </c>
      <c r="E18">
        <v>9.9072411305358807E-2</v>
      </c>
      <c r="F18">
        <v>0.11473871223211531</v>
      </c>
      <c r="G18">
        <v>0.1099365317973032</v>
      </c>
      <c r="H18">
        <v>0.1351971896620496</v>
      </c>
      <c r="I18">
        <v>0.1590231541015206</v>
      </c>
      <c r="J18">
        <v>0.20721537969257989</v>
      </c>
      <c r="K18">
        <v>0.22209822214109701</v>
      </c>
      <c r="L18">
        <v>0.26571590142139723</v>
      </c>
      <c r="M18">
        <v>0.28272689740660067</v>
      </c>
      <c r="N18">
        <v>0.32372600351444702</v>
      </c>
      <c r="O18">
        <v>0.2927782117375064</v>
      </c>
      <c r="P18">
        <v>0.27365785621455568</v>
      </c>
      <c r="Q18">
        <v>0.25826752070754</v>
      </c>
    </row>
    <row r="19" spans="1:17" x14ac:dyDescent="0.35">
      <c r="A19" t="s">
        <v>84</v>
      </c>
      <c r="B19" t="s">
        <v>76</v>
      </c>
      <c r="C19">
        <v>0.13233583079977121</v>
      </c>
      <c r="D19">
        <v>0.1122609858143282</v>
      </c>
      <c r="E19">
        <v>0.1059876795437974</v>
      </c>
      <c r="F19">
        <v>7.3496948568195497E-2</v>
      </c>
      <c r="G19">
        <v>7.5201101916994043E-2</v>
      </c>
      <c r="H19">
        <v>6.3174535776590768E-2</v>
      </c>
      <c r="I19">
        <v>4.6284291657118552E-2</v>
      </c>
      <c r="J19">
        <v>4.3476910130323017E-2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 t="s">
        <v>85</v>
      </c>
      <c r="B20" t="s">
        <v>76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 t="s">
        <v>86</v>
      </c>
      <c r="B21" t="s">
        <v>76</v>
      </c>
      <c r="C21">
        <v>0.21320985940988141</v>
      </c>
      <c r="D21">
        <v>0.21181162372704379</v>
      </c>
      <c r="E21">
        <v>0.21808518803868421</v>
      </c>
      <c r="F21">
        <v>0.2357362094080431</v>
      </c>
      <c r="G21">
        <v>0.2365353881943468</v>
      </c>
      <c r="H21">
        <v>0.23726568277229809</v>
      </c>
      <c r="I21">
        <v>0.2430886433359217</v>
      </c>
      <c r="J21">
        <v>0.25191077102116022</v>
      </c>
      <c r="K21">
        <v>0.27835167742082539</v>
      </c>
      <c r="L21">
        <v>0.26796444108902151</v>
      </c>
      <c r="M21">
        <v>0.2634935494528225</v>
      </c>
      <c r="N21">
        <v>0.28032787461555919</v>
      </c>
      <c r="O21">
        <v>0.29431103949152598</v>
      </c>
      <c r="P21">
        <v>0.28384967689086188</v>
      </c>
      <c r="Q21">
        <v>0.26169121978294418</v>
      </c>
    </row>
    <row r="22" spans="1:17" x14ac:dyDescent="0.35">
      <c r="A22" t="s">
        <v>87</v>
      </c>
      <c r="B22" t="s">
        <v>76</v>
      </c>
      <c r="C22">
        <v>0.78679014059011865</v>
      </c>
      <c r="D22">
        <v>0.78818837627295602</v>
      </c>
      <c r="E22">
        <v>0.78191481196131574</v>
      </c>
      <c r="F22">
        <v>0.76426379059195693</v>
      </c>
      <c r="G22">
        <v>0.76346461180565328</v>
      </c>
      <c r="H22">
        <v>0.76273431722770191</v>
      </c>
      <c r="I22">
        <v>0.75691135666407827</v>
      </c>
      <c r="J22">
        <v>0.74808922897883978</v>
      </c>
      <c r="K22">
        <v>0.72164832257917466</v>
      </c>
      <c r="L22">
        <v>0.73203555891097838</v>
      </c>
      <c r="M22">
        <v>0.73650645054717745</v>
      </c>
      <c r="N22">
        <v>0.71967212538444059</v>
      </c>
      <c r="O22">
        <v>0.70568896050847385</v>
      </c>
      <c r="P22">
        <v>0.71615032310913795</v>
      </c>
      <c r="Q22">
        <v>0.73830878021705593</v>
      </c>
    </row>
    <row r="23" spans="1:17" x14ac:dyDescent="0.35">
      <c r="A23" t="s">
        <v>88</v>
      </c>
      <c r="B23" t="s">
        <v>76</v>
      </c>
      <c r="C23">
        <v>0</v>
      </c>
      <c r="D23">
        <v>0.67519797678640414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5">
      <c r="A24" t="s">
        <v>89</v>
      </c>
      <c r="B24" t="s">
        <v>76</v>
      </c>
      <c r="C24">
        <v>2.0565243148144879E-2</v>
      </c>
      <c r="D24">
        <v>2.1028188480157799E-2</v>
      </c>
      <c r="E24">
        <v>2.8687763937734249E-2</v>
      </c>
      <c r="F24">
        <v>2.5878892883930651E-2</v>
      </c>
      <c r="G24">
        <v>3.0944461175532598E-2</v>
      </c>
      <c r="H24">
        <v>3.7917613759949113E-2</v>
      </c>
      <c r="I24">
        <v>3.7550453267819917E-2</v>
      </c>
      <c r="J24">
        <v>3.601280508027814E-2</v>
      </c>
      <c r="K24">
        <v>3.6922493259769443E-2</v>
      </c>
      <c r="L24">
        <v>3.4174859513400588E-2</v>
      </c>
      <c r="M24">
        <v>3.2735717228859817E-2</v>
      </c>
      <c r="N24">
        <v>2.9839909143835931E-2</v>
      </c>
      <c r="O24">
        <v>3.4903353916499118E-2</v>
      </c>
      <c r="P24">
        <v>3.5324101898153888E-2</v>
      </c>
      <c r="Q24">
        <v>4.0662237669801288E-2</v>
      </c>
    </row>
    <row r="25" spans="1:17" x14ac:dyDescent="0.35">
      <c r="A25" t="s">
        <v>90</v>
      </c>
      <c r="B25" t="s">
        <v>76</v>
      </c>
      <c r="C25">
        <v>0.12076176003059901</v>
      </c>
      <c r="D25">
        <v>9.4053325648950539E-2</v>
      </c>
      <c r="E25">
        <v>9.9224790429354948E-2</v>
      </c>
      <c r="F25">
        <v>0.1099708275819445</v>
      </c>
      <c r="G25">
        <v>0.16738902647434531</v>
      </c>
      <c r="H25">
        <v>0.1336626927376072</v>
      </c>
      <c r="I25">
        <v>0.12751761248913279</v>
      </c>
      <c r="J25">
        <v>0.16060641528787001</v>
      </c>
      <c r="K25">
        <v>0.237833774216543</v>
      </c>
      <c r="L25">
        <v>0.15646076378310539</v>
      </c>
      <c r="M25">
        <v>0.17280819366107489</v>
      </c>
      <c r="N25">
        <v>0.15340998342612669</v>
      </c>
      <c r="O25">
        <v>0.2318375234282635</v>
      </c>
      <c r="P25">
        <v>0.2137602637430121</v>
      </c>
      <c r="Q25">
        <v>0.20175734439481649</v>
      </c>
    </row>
    <row r="26" spans="1:17" x14ac:dyDescent="0.35">
      <c r="A26" t="s">
        <v>91</v>
      </c>
      <c r="B26" t="s">
        <v>76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1.5977187284271371E-2</v>
      </c>
      <c r="L26">
        <v>1.749408704602104E-2</v>
      </c>
      <c r="M26">
        <v>1.4795670755916181E-2</v>
      </c>
      <c r="N26">
        <v>1.434597927443239E-2</v>
      </c>
      <c r="O26">
        <v>1.381442004360014E-2</v>
      </c>
      <c r="P26">
        <v>1.470132724592429E-2</v>
      </c>
      <c r="Q26">
        <v>6.6669465308795122E-3</v>
      </c>
    </row>
    <row r="27" spans="1:17" x14ac:dyDescent="0.35">
      <c r="A27" t="s">
        <v>92</v>
      </c>
      <c r="B27" t="s">
        <v>76</v>
      </c>
      <c r="C27">
        <v>1.6627740034144609E-2</v>
      </c>
      <c r="D27">
        <v>2.0909955769427981E-2</v>
      </c>
      <c r="E27">
        <v>1.9612575228108459E-2</v>
      </c>
      <c r="F27">
        <v>1.8955398974232179E-2</v>
      </c>
      <c r="G27">
        <v>1.8552416100355379E-2</v>
      </c>
      <c r="H27">
        <v>2.0281584598933179E-2</v>
      </c>
      <c r="I27">
        <v>2.186651990782151E-2</v>
      </c>
      <c r="J27">
        <v>2.02000199349196E-2</v>
      </c>
      <c r="K27">
        <v>1.9032943431612041E-2</v>
      </c>
      <c r="L27">
        <v>1.995262838522106E-2</v>
      </c>
      <c r="M27">
        <v>2.176757351512331E-2</v>
      </c>
      <c r="N27">
        <v>2.2066610184036259E-2</v>
      </c>
      <c r="O27">
        <v>1.9786158888147491E-2</v>
      </c>
      <c r="P27">
        <v>2.5142732960778669E-2</v>
      </c>
      <c r="Q27">
        <v>1.8652446733721659E-2</v>
      </c>
    </row>
    <row r="28" spans="1:17" x14ac:dyDescent="0.35">
      <c r="A28" t="s">
        <v>93</v>
      </c>
      <c r="B28" t="s">
        <v>76</v>
      </c>
      <c r="C28">
        <v>1.0210981192172279</v>
      </c>
      <c r="D28">
        <v>1.017474624789358</v>
      </c>
      <c r="E28">
        <v>1.008574364372534</v>
      </c>
      <c r="F28">
        <v>1.002290517410612</v>
      </c>
      <c r="G28">
        <v>1.008666050489643</v>
      </c>
      <c r="H28">
        <v>0.99302135177476869</v>
      </c>
      <c r="I28">
        <v>0.9924199401740097</v>
      </c>
      <c r="J28">
        <v>0.99534159523383114</v>
      </c>
      <c r="K28">
        <v>0.98691376534577846</v>
      </c>
      <c r="L28">
        <v>0.9864000217354244</v>
      </c>
      <c r="M28">
        <v>0.97340367141420614</v>
      </c>
      <c r="N28">
        <v>0.9651725223312333</v>
      </c>
      <c r="O28">
        <v>0.94279411990848228</v>
      </c>
      <c r="P28">
        <v>0.9330664822455117</v>
      </c>
      <c r="Q28">
        <v>0.9265987060876677</v>
      </c>
    </row>
    <row r="30" spans="1:17" x14ac:dyDescent="0.35">
      <c r="A30" t="s">
        <v>94</v>
      </c>
    </row>
    <row r="31" spans="1:17" x14ac:dyDescent="0.35">
      <c r="A31" t="s">
        <v>95</v>
      </c>
      <c r="B31" t="s">
        <v>96</v>
      </c>
      <c r="C31">
        <v>8.2131661442006273E-2</v>
      </c>
      <c r="D31">
        <v>6.1600188812839282E-2</v>
      </c>
      <c r="E31">
        <v>5.2272374747944779E-2</v>
      </c>
      <c r="F31">
        <v>4.8351857129286593E-2</v>
      </c>
      <c r="G31">
        <v>3.9331421006178292E-2</v>
      </c>
      <c r="H31">
        <v>3.2241740764837698E-2</v>
      </c>
      <c r="I31">
        <v>2.955892540989916E-2</v>
      </c>
      <c r="J31">
        <v>3.963815789473684E-2</v>
      </c>
      <c r="K31">
        <v>1.38592750533049E-3</v>
      </c>
      <c r="L31">
        <v>0</v>
      </c>
      <c r="M31">
        <v>0</v>
      </c>
      <c r="N31">
        <v>0</v>
      </c>
      <c r="O31">
        <v>2.6116479498563601E-4</v>
      </c>
      <c r="P31">
        <v>0</v>
      </c>
      <c r="Q31">
        <v>0</v>
      </c>
    </row>
    <row r="32" spans="1:17" x14ac:dyDescent="0.35">
      <c r="A32" t="s">
        <v>97</v>
      </c>
      <c r="B32" t="s">
        <v>96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7.4013157894736845E-4</v>
      </c>
      <c r="K32">
        <v>1.4712153518123669E-2</v>
      </c>
      <c r="L32">
        <v>1.331285202252944E-2</v>
      </c>
      <c r="M32">
        <v>1.0492227979274611E-2</v>
      </c>
      <c r="N32">
        <v>1.1739672756621911E-2</v>
      </c>
      <c r="O32">
        <v>1.6845129276573521E-2</v>
      </c>
      <c r="P32">
        <v>1.225690472299395E-2</v>
      </c>
      <c r="Q32">
        <v>8.5172953241786902E-3</v>
      </c>
    </row>
    <row r="33" spans="1:17" x14ac:dyDescent="0.35">
      <c r="A33" t="s">
        <v>98</v>
      </c>
      <c r="B33" t="s">
        <v>96</v>
      </c>
      <c r="C33">
        <v>0.22166492511320099</v>
      </c>
      <c r="D33">
        <v>0.24191645031862169</v>
      </c>
      <c r="E33">
        <v>0.2340623545835272</v>
      </c>
      <c r="F33">
        <v>0.24147430417022889</v>
      </c>
      <c r="G33">
        <v>0.19798102383053839</v>
      </c>
      <c r="H33">
        <v>0.24687341863659371</v>
      </c>
      <c r="I33">
        <v>0.23092910476483719</v>
      </c>
      <c r="J33">
        <v>0.24128289473684211</v>
      </c>
      <c r="K33">
        <v>0.23779317697228139</v>
      </c>
      <c r="L33">
        <v>0.26785714285714279</v>
      </c>
      <c r="M33">
        <v>0.2596502590673575</v>
      </c>
      <c r="N33">
        <v>0.26590358793748631</v>
      </c>
      <c r="O33">
        <v>0.30421345869243488</v>
      </c>
      <c r="P33">
        <v>0.32881189736885108</v>
      </c>
      <c r="Q33">
        <v>0.33947505649226489</v>
      </c>
    </row>
    <row r="34" spans="1:17" x14ac:dyDescent="0.35">
      <c r="A34" t="s">
        <v>99</v>
      </c>
      <c r="B34" t="s">
        <v>96</v>
      </c>
      <c r="C34">
        <v>0.85022640195053989</v>
      </c>
      <c r="D34">
        <v>0.8485563684997246</v>
      </c>
      <c r="E34">
        <v>0.83728866139289593</v>
      </c>
      <c r="F34">
        <v>0.83604065735727173</v>
      </c>
      <c r="G34">
        <v>0.8702559576345984</v>
      </c>
      <c r="H34">
        <v>0.86510518325742791</v>
      </c>
      <c r="I34">
        <v>0.87037179585867142</v>
      </c>
      <c r="J34">
        <v>0.86932565789473681</v>
      </c>
      <c r="K34">
        <v>0.8600746268656716</v>
      </c>
      <c r="L34">
        <v>0.87243983614951359</v>
      </c>
      <c r="M34">
        <v>0.87817357512953365</v>
      </c>
      <c r="N34">
        <v>0.87614645241763889</v>
      </c>
      <c r="O34">
        <v>0.90088796030295115</v>
      </c>
      <c r="P34">
        <v>0.89649724900582883</v>
      </c>
      <c r="Q34">
        <v>0.8936207196245437</v>
      </c>
    </row>
    <row r="35" spans="1:17" x14ac:dyDescent="0.35">
      <c r="A35" t="s">
        <v>100</v>
      </c>
      <c r="B35" t="s">
        <v>96</v>
      </c>
      <c r="C35">
        <v>9.9059561128526652E-2</v>
      </c>
      <c r="D35">
        <v>0.1043190936983715</v>
      </c>
      <c r="E35">
        <v>0.1111369629284939</v>
      </c>
      <c r="F35">
        <v>0.10173838700484469</v>
      </c>
      <c r="G35">
        <v>8.1972639011473961E-2</v>
      </c>
      <c r="H35">
        <v>8.1544133593580564E-2</v>
      </c>
      <c r="I35">
        <v>7.7900084674005082E-2</v>
      </c>
      <c r="J35">
        <v>7.434210526315789E-2</v>
      </c>
      <c r="K35">
        <v>8.4381663113006392E-2</v>
      </c>
      <c r="L35">
        <v>7.757296466973887E-2</v>
      </c>
      <c r="M35">
        <v>7.370466321243524E-2</v>
      </c>
      <c r="N35">
        <v>7.5647516325482431E-2</v>
      </c>
      <c r="O35">
        <v>6.5465308609732736E-2</v>
      </c>
      <c r="P35">
        <v>6.9183417769788091E-2</v>
      </c>
      <c r="Q35">
        <v>6.5704849643664173E-2</v>
      </c>
    </row>
    <row r="36" spans="1:17" x14ac:dyDescent="0.35">
      <c r="A36" t="s">
        <v>101</v>
      </c>
      <c r="B36" t="s">
        <v>96</v>
      </c>
      <c r="C36">
        <v>4.709160571229537E-2</v>
      </c>
      <c r="D36">
        <v>4.2246872787349538E-2</v>
      </c>
      <c r="E36">
        <v>4.6378160384675043E-2</v>
      </c>
      <c r="F36">
        <v>5.5666381685190461E-2</v>
      </c>
      <c r="G36">
        <v>4.4571932921447482E-2</v>
      </c>
      <c r="H36">
        <v>4.7856574857225477E-2</v>
      </c>
      <c r="I36">
        <v>4.6262797321222383E-2</v>
      </c>
      <c r="J36">
        <v>4.9013157894736842E-2</v>
      </c>
      <c r="K36">
        <v>4.9466950959488283E-2</v>
      </c>
      <c r="L36">
        <v>4.7043010752688172E-2</v>
      </c>
      <c r="M36">
        <v>4.4883419689119172E-2</v>
      </c>
      <c r="N36">
        <v>4.4023772837332158E-2</v>
      </c>
      <c r="O36">
        <v>3.0904500739966919E-2</v>
      </c>
      <c r="P36">
        <v>3.1976902543988668E-2</v>
      </c>
      <c r="Q36">
        <v>3.80670954284721E-2</v>
      </c>
    </row>
    <row r="37" spans="1:17" x14ac:dyDescent="0.35">
      <c r="A37" t="s">
        <v>102</v>
      </c>
      <c r="B37" t="s">
        <v>96</v>
      </c>
      <c r="C37">
        <v>3.6224312086381048E-3</v>
      </c>
      <c r="D37">
        <v>4.8776650145543228E-3</v>
      </c>
      <c r="E37">
        <v>5.1962152939351632E-3</v>
      </c>
      <c r="F37">
        <v>6.5545739526930748E-3</v>
      </c>
      <c r="G37">
        <v>3.1994704324801409E-3</v>
      </c>
      <c r="H37">
        <v>5.4941082917660663E-3</v>
      </c>
      <c r="I37">
        <v>5.4653221461011467E-3</v>
      </c>
      <c r="J37">
        <v>7.3190789473684213E-3</v>
      </c>
      <c r="K37">
        <v>6.0767590618336876E-3</v>
      </c>
      <c r="L37">
        <v>2.944188428059396E-3</v>
      </c>
      <c r="M37">
        <v>3.2383419689119169E-3</v>
      </c>
      <c r="N37">
        <v>4.1822584195465549E-3</v>
      </c>
      <c r="O37">
        <v>2.7422303473491772E-3</v>
      </c>
      <c r="P37">
        <v>2.3424306803944001E-3</v>
      </c>
      <c r="Q37">
        <v>2.6073353033200068E-3</v>
      </c>
    </row>
    <row r="38" spans="1:17" x14ac:dyDescent="0.35">
      <c r="A38" t="s">
        <v>103</v>
      </c>
      <c r="B38" t="s">
        <v>96</v>
      </c>
      <c r="C38">
        <v>0.1823754789272031</v>
      </c>
      <c r="D38">
        <v>0.25316654865864208</v>
      </c>
      <c r="E38">
        <v>0.24143012253761439</v>
      </c>
      <c r="F38">
        <v>0.2288401253918495</v>
      </c>
      <c r="G38">
        <v>0.27504413062665489</v>
      </c>
      <c r="H38">
        <v>0.26205450733752622</v>
      </c>
      <c r="I38">
        <v>0.26710799784466172</v>
      </c>
      <c r="J38">
        <v>0.24983552631578951</v>
      </c>
      <c r="K38">
        <v>0.32910447761194028</v>
      </c>
      <c r="L38">
        <v>0.31233998975934463</v>
      </c>
      <c r="M38">
        <v>0.35939119170984463</v>
      </c>
      <c r="N38">
        <v>0.35747303543913711</v>
      </c>
      <c r="O38">
        <v>0.46556977452772702</v>
      </c>
      <c r="P38">
        <v>0.44353652557607448</v>
      </c>
      <c r="Q38">
        <v>0.32887189292543018</v>
      </c>
    </row>
    <row r="39" spans="1:17" x14ac:dyDescent="0.35">
      <c r="A39" t="s">
        <v>104</v>
      </c>
      <c r="B39" t="s">
        <v>96</v>
      </c>
      <c r="C39">
        <v>0.17951933124346919</v>
      </c>
      <c r="D39">
        <v>0.16851545905121551</v>
      </c>
      <c r="E39">
        <v>0.15588645881805491</v>
      </c>
      <c r="F39">
        <v>0.1514201576897502</v>
      </c>
      <c r="G39">
        <v>0.20255957634598409</v>
      </c>
      <c r="H39">
        <v>0.18079953733824911</v>
      </c>
      <c r="I39">
        <v>0.19467323531675779</v>
      </c>
      <c r="J39">
        <v>0.1848684210526316</v>
      </c>
      <c r="K39">
        <v>0.2417377398720682</v>
      </c>
      <c r="L39">
        <v>0.134536610343062</v>
      </c>
      <c r="M39">
        <v>0.1848445595854922</v>
      </c>
      <c r="N39">
        <v>0.1702252549710177</v>
      </c>
      <c r="O39">
        <v>0.27248193610168009</v>
      </c>
      <c r="P39">
        <v>0.25025875687748539</v>
      </c>
      <c r="Q39">
        <v>0.19902659482009391</v>
      </c>
    </row>
    <row r="40" spans="1:17" x14ac:dyDescent="0.35">
      <c r="A40" t="s">
        <v>105</v>
      </c>
      <c r="B40" t="s">
        <v>96</v>
      </c>
      <c r="C40">
        <v>0.63504005572971089</v>
      </c>
      <c r="D40">
        <v>0.65533789631028239</v>
      </c>
      <c r="E40">
        <v>0.68535753063440363</v>
      </c>
      <c r="F40">
        <v>0.70361926474779135</v>
      </c>
      <c r="G40">
        <v>0.75038614298323036</v>
      </c>
      <c r="H40">
        <v>0.74813850936167137</v>
      </c>
      <c r="I40">
        <v>0.75590793626356712</v>
      </c>
      <c r="J40">
        <v>0.73840460526315788</v>
      </c>
      <c r="K40">
        <v>0.75170575692963748</v>
      </c>
      <c r="L40">
        <v>0.79614695340501795</v>
      </c>
      <c r="M40">
        <v>0.8052461139896373</v>
      </c>
      <c r="N40">
        <v>0.83491085186000435</v>
      </c>
      <c r="O40">
        <v>0.87015756942630795</v>
      </c>
      <c r="P40">
        <v>0.8458898512828894</v>
      </c>
      <c r="Q40">
        <v>0.83608552059794894</v>
      </c>
    </row>
    <row r="41" spans="1:17" x14ac:dyDescent="0.35">
      <c r="A41" t="s">
        <v>106</v>
      </c>
      <c r="B41" t="s">
        <v>96</v>
      </c>
      <c r="C41">
        <v>9.9059561128526652E-2</v>
      </c>
      <c r="D41">
        <v>0.1187947447093069</v>
      </c>
      <c r="E41">
        <v>0.13463626492942449</v>
      </c>
      <c r="F41">
        <v>0.13365631233969791</v>
      </c>
      <c r="G41">
        <v>0.13393645189761691</v>
      </c>
      <c r="H41">
        <v>8.6749078291043155E-2</v>
      </c>
      <c r="I41">
        <v>0.1003771842044492</v>
      </c>
      <c r="J41">
        <v>8.9309210526315783E-2</v>
      </c>
      <c r="K41">
        <v>4.7014925373134328E-2</v>
      </c>
      <c r="L41">
        <v>8.8837685611879158E-2</v>
      </c>
      <c r="M41">
        <v>0.113860103626943</v>
      </c>
      <c r="N41">
        <v>0.12612810917895659</v>
      </c>
      <c r="O41">
        <v>0.1042047531992687</v>
      </c>
      <c r="P41">
        <v>0.10116032031377679</v>
      </c>
      <c r="Q41">
        <v>0.108638970971667</v>
      </c>
    </row>
    <row r="42" spans="1:17" x14ac:dyDescent="0.35">
      <c r="A42" t="s">
        <v>107</v>
      </c>
      <c r="B42" t="s">
        <v>96</v>
      </c>
      <c r="C42">
        <v>0.24688261929641239</v>
      </c>
      <c r="D42">
        <v>0.22751947132405001</v>
      </c>
      <c r="E42">
        <v>0.2357685745307895</v>
      </c>
      <c r="F42">
        <v>0.22475539089959151</v>
      </c>
      <c r="G42">
        <v>0.18617608120035301</v>
      </c>
      <c r="H42">
        <v>0.16323284898431289</v>
      </c>
      <c r="I42">
        <v>0.18174120544992689</v>
      </c>
      <c r="J42">
        <v>0.17845394736842099</v>
      </c>
      <c r="K42">
        <v>0.16215351812366741</v>
      </c>
      <c r="L42">
        <v>0.11699948796722991</v>
      </c>
      <c r="M42">
        <v>0.12610103626943009</v>
      </c>
      <c r="N42">
        <v>0.1421967862645829</v>
      </c>
      <c r="O42">
        <v>0.1132149386262732</v>
      </c>
      <c r="P42">
        <v>0.1115105954131939</v>
      </c>
      <c r="Q42">
        <v>0.12219711454893099</v>
      </c>
    </row>
    <row r="43" spans="1:17" x14ac:dyDescent="0.35">
      <c r="A43" t="s">
        <v>108</v>
      </c>
      <c r="B43" t="s">
        <v>96</v>
      </c>
      <c r="C43">
        <v>8.4291187739463605E-2</v>
      </c>
      <c r="D43">
        <v>7.37156793328613E-2</v>
      </c>
      <c r="E43">
        <v>6.8636575151233128E-2</v>
      </c>
      <c r="F43">
        <v>7.0105443146195504E-2</v>
      </c>
      <c r="G43">
        <v>8.1310679611650491E-2</v>
      </c>
      <c r="H43">
        <v>8.0026024723487313E-2</v>
      </c>
      <c r="I43">
        <v>7.328150257870833E-2</v>
      </c>
      <c r="J43">
        <v>9.4983552631578941E-2</v>
      </c>
      <c r="K43">
        <v>0.13065031982942429</v>
      </c>
      <c r="L43">
        <v>0.10163850486431129</v>
      </c>
      <c r="M43">
        <v>0.10187823834196889</v>
      </c>
      <c r="N43">
        <v>0.11409494460341919</v>
      </c>
      <c r="O43">
        <v>0.13510925393923559</v>
      </c>
      <c r="P43">
        <v>0.13651468104810149</v>
      </c>
      <c r="Q43">
        <v>0.10829132626455761</v>
      </c>
    </row>
    <row r="44" spans="1:17" x14ac:dyDescent="0.35">
      <c r="A44" t="s">
        <v>109</v>
      </c>
      <c r="B44" t="s">
        <v>96</v>
      </c>
      <c r="C44">
        <v>3.9428770463253222E-2</v>
      </c>
      <c r="D44">
        <v>4.6023129572810947E-2</v>
      </c>
      <c r="E44">
        <v>4.9402823018458199E-2</v>
      </c>
      <c r="F44">
        <v>4.3317184383015107E-2</v>
      </c>
      <c r="G44">
        <v>3.2987643424536632E-2</v>
      </c>
      <c r="H44">
        <v>3.9615412419576383E-2</v>
      </c>
      <c r="I44">
        <v>4.0027711492571783E-2</v>
      </c>
      <c r="J44">
        <v>4.0542763157894728E-2</v>
      </c>
      <c r="K44">
        <v>3.8059701492537311E-2</v>
      </c>
      <c r="L44">
        <v>4.1346646185355863E-2</v>
      </c>
      <c r="M44">
        <v>3.9831606217616583E-2</v>
      </c>
      <c r="N44">
        <v>4.2996551471127742E-2</v>
      </c>
      <c r="O44">
        <v>3.7781840341255327E-2</v>
      </c>
      <c r="P44">
        <v>4.4342757531187008E-2</v>
      </c>
      <c r="Q44">
        <v>3.6676516600034757E-2</v>
      </c>
    </row>
    <row r="45" spans="1:17" x14ac:dyDescent="0.35">
      <c r="A45" t="s">
        <v>110</v>
      </c>
      <c r="B45" t="s">
        <v>96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6.4473684210526322E-2</v>
      </c>
      <c r="K45">
        <v>0.92094882729211092</v>
      </c>
      <c r="L45">
        <v>0.87615207373271886</v>
      </c>
      <c r="M45">
        <v>0.92707253886010366</v>
      </c>
      <c r="N45">
        <v>0.92655367231638419</v>
      </c>
      <c r="O45">
        <v>0.95673369896404636</v>
      </c>
      <c r="P45">
        <v>0.97303480960941335</v>
      </c>
      <c r="Q45">
        <v>0.74222144967842862</v>
      </c>
    </row>
    <row r="46" spans="1:17" x14ac:dyDescent="0.35">
      <c r="A46" t="s">
        <v>111</v>
      </c>
      <c r="B46" t="s">
        <v>96</v>
      </c>
      <c r="C46">
        <v>0.2027864855451062</v>
      </c>
      <c r="D46">
        <v>0.18983557548579971</v>
      </c>
      <c r="E46">
        <v>0.19652551574375679</v>
      </c>
      <c r="F46">
        <v>0.1978721383110098</v>
      </c>
      <c r="G46">
        <v>0.1386253309796999</v>
      </c>
      <c r="H46">
        <v>0.14638906961613529</v>
      </c>
      <c r="I46">
        <v>0.14610114694788701</v>
      </c>
      <c r="J46">
        <v>0.11652960526315791</v>
      </c>
      <c r="K46">
        <v>6.1833688699360338E-2</v>
      </c>
      <c r="L46">
        <v>0.1237199180747568</v>
      </c>
      <c r="M46">
        <v>7.2927461139896371E-2</v>
      </c>
      <c r="N46">
        <v>6.6916134712744879E-2</v>
      </c>
      <c r="O46">
        <v>2.385305127535475E-2</v>
      </c>
      <c r="P46">
        <v>2.6474914201666939E-2</v>
      </c>
      <c r="Q46">
        <v>0.25743090561446202</v>
      </c>
    </row>
    <row r="47" spans="1:17" x14ac:dyDescent="0.35">
      <c r="A47" t="s">
        <v>112</v>
      </c>
      <c r="B47" t="s">
        <v>96</v>
      </c>
      <c r="C47">
        <v>6.5654301637060319</v>
      </c>
      <c r="D47">
        <v>6.5382673799596178</v>
      </c>
      <c r="E47">
        <v>6.5543146683211857</v>
      </c>
      <c r="F47">
        <v>6.16212279535163</v>
      </c>
      <c r="G47">
        <v>6.1314127316858027</v>
      </c>
      <c r="H47">
        <v>5.2575182534518889</v>
      </c>
      <c r="I47">
        <v>5.451806378775049</v>
      </c>
      <c r="J47">
        <v>5.2277617872807038</v>
      </c>
      <c r="K47">
        <v>4.912397832267243</v>
      </c>
      <c r="L47">
        <v>5.1108924304488808</v>
      </c>
      <c r="M47">
        <v>5.334223877374785</v>
      </c>
      <c r="N47">
        <v>5.1393658130946216</v>
      </c>
      <c r="O47">
        <v>4.724199094628716</v>
      </c>
      <c r="P47">
        <v>4.7233888979680776</v>
      </c>
      <c r="Q47">
        <v>4.7302566776753396</v>
      </c>
    </row>
    <row r="48" spans="1:17" x14ac:dyDescent="0.35">
      <c r="A48" t="s">
        <v>113</v>
      </c>
      <c r="B48" t="s">
        <v>96</v>
      </c>
      <c r="C48">
        <v>0.64151863462208292</v>
      </c>
      <c r="D48">
        <v>0.63873810085752503</v>
      </c>
      <c r="E48">
        <v>0.63471382038157287</v>
      </c>
      <c r="F48">
        <v>0.62733922295050826</v>
      </c>
      <c r="G48">
        <v>0.65517431597528686</v>
      </c>
      <c r="H48">
        <v>0.64678666955830266</v>
      </c>
      <c r="I48">
        <v>0.64213686398275727</v>
      </c>
      <c r="J48">
        <v>0.63766447368421053</v>
      </c>
      <c r="K48">
        <v>0.62356076759061829</v>
      </c>
      <c r="L48">
        <v>0.61693548387096775</v>
      </c>
      <c r="M48">
        <v>0.6226036269430052</v>
      </c>
      <c r="N48">
        <v>0.61486536062807251</v>
      </c>
      <c r="O48">
        <v>0.61243144424131624</v>
      </c>
      <c r="P48">
        <v>0.60641717056163857</v>
      </c>
      <c r="Q48">
        <v>0.59916565270293765</v>
      </c>
    </row>
    <row r="49" spans="1:17" x14ac:dyDescent="0.35">
      <c r="A49" t="s">
        <v>114</v>
      </c>
      <c r="B49" t="s">
        <v>96</v>
      </c>
      <c r="C49">
        <v>0.14977359804946011</v>
      </c>
      <c r="D49">
        <v>0.15144363150027529</v>
      </c>
      <c r="E49">
        <v>0.1627113386071041</v>
      </c>
      <c r="F49">
        <v>0.16395934264272821</v>
      </c>
      <c r="G49">
        <v>0.1297440423654016</v>
      </c>
      <c r="H49">
        <v>0.13489481674257209</v>
      </c>
      <c r="I49">
        <v>0.12962820414132861</v>
      </c>
      <c r="J49">
        <v>0.13067434210526321</v>
      </c>
      <c r="K49">
        <v>0.13992537313432829</v>
      </c>
      <c r="L49">
        <v>0.12756016385048641</v>
      </c>
      <c r="M49">
        <v>0.1218264248704663</v>
      </c>
      <c r="N49">
        <v>0.1238535475823611</v>
      </c>
      <c r="O49">
        <v>9.9112039697048834E-2</v>
      </c>
      <c r="P49">
        <v>0.10350275099417119</v>
      </c>
      <c r="Q49">
        <v>0.1063792803754563</v>
      </c>
    </row>
    <row r="50" spans="1:17" x14ac:dyDescent="0.35">
      <c r="A50" t="s">
        <v>115</v>
      </c>
      <c r="B50" t="s">
        <v>96</v>
      </c>
      <c r="C50">
        <v>8.1574364332985025E-2</v>
      </c>
      <c r="D50">
        <v>0.122334985445677</v>
      </c>
      <c r="E50">
        <v>0.1220722816814022</v>
      </c>
      <c r="F50">
        <v>0.1188372755770875</v>
      </c>
      <c r="G50">
        <v>8.572374227714033E-2</v>
      </c>
      <c r="H50">
        <v>0.12578616352201261</v>
      </c>
      <c r="I50">
        <v>0.1173889615887922</v>
      </c>
      <c r="J50">
        <v>0.1258223684210526</v>
      </c>
      <c r="K50">
        <v>0.12356076759061831</v>
      </c>
      <c r="L50">
        <v>0.16052227342549921</v>
      </c>
      <c r="M50">
        <v>0.15220207253886009</v>
      </c>
      <c r="N50">
        <v>0.15129503265096489</v>
      </c>
      <c r="O50">
        <v>0.127666057282145</v>
      </c>
      <c r="P50">
        <v>0.1771531295963393</v>
      </c>
      <c r="Q50">
        <v>0.18546845124282979</v>
      </c>
    </row>
    <row r="51" spans="1:17" x14ac:dyDescent="0.35">
      <c r="A51" t="s">
        <v>116</v>
      </c>
      <c r="B51" t="s">
        <v>96</v>
      </c>
      <c r="C51">
        <v>9.8223615464994776E-3</v>
      </c>
      <c r="D51">
        <v>9.1259538981984106E-3</v>
      </c>
      <c r="E51">
        <v>8.6862106406080351E-3</v>
      </c>
      <c r="F51">
        <v>8.7394319369240997E-3</v>
      </c>
      <c r="G51">
        <v>8.3848190644307142E-3</v>
      </c>
      <c r="H51">
        <v>8.8917805248319229E-3</v>
      </c>
      <c r="I51">
        <v>6.3890385651604953E-3</v>
      </c>
      <c r="J51">
        <v>6.3322368421052629E-3</v>
      </c>
      <c r="K51">
        <v>5.3304904051172707E-3</v>
      </c>
      <c r="L51">
        <v>5.1843317972350231E-3</v>
      </c>
      <c r="M51">
        <v>5.699481865284974E-3</v>
      </c>
      <c r="N51">
        <v>6.6035659255998238E-3</v>
      </c>
      <c r="O51">
        <v>5.7456254896839903E-3</v>
      </c>
      <c r="P51">
        <v>3.758784115051479E-3</v>
      </c>
      <c r="Q51">
        <v>4.6932035459760126E-3</v>
      </c>
    </row>
    <row r="52" spans="1:17" x14ac:dyDescent="0.35">
      <c r="A52" t="s">
        <v>117</v>
      </c>
      <c r="B52" t="s">
        <v>96</v>
      </c>
      <c r="C52">
        <v>9.7387669801462906E-2</v>
      </c>
      <c r="D52">
        <v>9.6215876012902213E-2</v>
      </c>
      <c r="E52">
        <v>0.1066387467038933</v>
      </c>
      <c r="F52">
        <v>9.8128621639593433E-2</v>
      </c>
      <c r="G52">
        <v>9.7528684907325677E-2</v>
      </c>
      <c r="H52">
        <v>9.6291476903057907E-2</v>
      </c>
      <c r="I52">
        <v>0.1005311369409591</v>
      </c>
      <c r="J52">
        <v>0.109375</v>
      </c>
      <c r="K52">
        <v>0.11561833688699361</v>
      </c>
      <c r="L52">
        <v>0.1031746031746032</v>
      </c>
      <c r="M52">
        <v>0.10064766839378241</v>
      </c>
      <c r="N52">
        <v>7.9829774745028989E-2</v>
      </c>
      <c r="O52">
        <v>7.9872899799773661E-2</v>
      </c>
      <c r="P52">
        <v>7.5339107697336163E-2</v>
      </c>
      <c r="Q52">
        <v>6.7616895532765509E-2</v>
      </c>
    </row>
    <row r="53" spans="1:17" x14ac:dyDescent="0.35">
      <c r="A53" t="s">
        <v>118</v>
      </c>
      <c r="B53" t="s">
        <v>96</v>
      </c>
      <c r="C53">
        <v>0.38133054684778822</v>
      </c>
      <c r="D53">
        <v>0.36865706868067027</v>
      </c>
      <c r="E53">
        <v>0.35931440980300922</v>
      </c>
      <c r="F53">
        <v>0.36762610430322029</v>
      </c>
      <c r="G53">
        <v>0.37036628420123568</v>
      </c>
      <c r="H53">
        <v>0.38039470830622418</v>
      </c>
      <c r="I53">
        <v>0.37756908629050878</v>
      </c>
      <c r="J53">
        <v>0.36439144736842111</v>
      </c>
      <c r="K53">
        <v>0.35767590618336892</v>
      </c>
      <c r="L53">
        <v>0.37992831541218641</v>
      </c>
      <c r="M53">
        <v>0.37571243523316061</v>
      </c>
      <c r="N53">
        <v>0.42607674811064639</v>
      </c>
      <c r="O53">
        <v>0.43431705406111248</v>
      </c>
      <c r="P53">
        <v>0.42321730130195567</v>
      </c>
      <c r="Q53">
        <v>0.44046584390752652</v>
      </c>
    </row>
    <row r="54" spans="1:17" x14ac:dyDescent="0.35">
      <c r="A54" t="s">
        <v>119</v>
      </c>
      <c r="B54" t="s">
        <v>96</v>
      </c>
      <c r="C54">
        <v>3.2323232323232323E-2</v>
      </c>
      <c r="D54">
        <v>3.4300999134607817E-2</v>
      </c>
      <c r="E54">
        <v>3.3503955328059561E-2</v>
      </c>
      <c r="F54">
        <v>3.5622684525505842E-2</v>
      </c>
      <c r="G54">
        <v>3.2601500441306268E-2</v>
      </c>
      <c r="H54">
        <v>3.2892358852020527E-2</v>
      </c>
      <c r="I54">
        <v>3.3946578400431068E-2</v>
      </c>
      <c r="J54">
        <v>3.6019736842105257E-2</v>
      </c>
      <c r="K54">
        <v>3.4381663113006403E-2</v>
      </c>
      <c r="L54">
        <v>3.5714285714285712E-2</v>
      </c>
      <c r="M54">
        <v>3.3290155440414512E-2</v>
      </c>
      <c r="N54">
        <v>3.1843862352336931E-2</v>
      </c>
      <c r="O54">
        <v>2.9598676765038742E-2</v>
      </c>
      <c r="P54">
        <v>2.1190826387753992E-2</v>
      </c>
      <c r="Q54">
        <v>1.581783417347471E-2</v>
      </c>
    </row>
    <row r="55" spans="1:17" x14ac:dyDescent="0.35">
      <c r="A55" t="s">
        <v>120</v>
      </c>
      <c r="B55" t="s">
        <v>96</v>
      </c>
      <c r="C55">
        <v>1.8112156043190521E-2</v>
      </c>
      <c r="D55">
        <v>2.1241444418220439E-2</v>
      </c>
      <c r="E55">
        <v>2.2801302931596091E-2</v>
      </c>
      <c r="F55">
        <v>2.1943573667711599E-2</v>
      </c>
      <c r="G55">
        <v>2.675419240953222E-2</v>
      </c>
      <c r="H55">
        <v>2.7831995951709682E-2</v>
      </c>
      <c r="I55">
        <v>2.686475252097606E-2</v>
      </c>
      <c r="J55">
        <v>2.4917763157894741E-2</v>
      </c>
      <c r="K55">
        <v>3.0490405117270789E-2</v>
      </c>
      <c r="L55">
        <v>2.5089605734767029E-2</v>
      </c>
      <c r="M55">
        <v>2.4611398963730571E-2</v>
      </c>
      <c r="N55">
        <v>2.054442732408834E-2</v>
      </c>
      <c r="O55">
        <v>2.167667798380778E-2</v>
      </c>
      <c r="P55">
        <v>1.63970147627608E-2</v>
      </c>
      <c r="Q55">
        <v>1.234138710238137E-2</v>
      </c>
    </row>
    <row r="56" spans="1:17" x14ac:dyDescent="0.35">
      <c r="A56" t="s">
        <v>121</v>
      </c>
      <c r="B56" t="s">
        <v>96</v>
      </c>
      <c r="C56">
        <v>0.17457331940090559</v>
      </c>
      <c r="D56">
        <v>0.1362599323420659</v>
      </c>
      <c r="E56">
        <v>0.12261516984644021</v>
      </c>
      <c r="F56">
        <v>0.12225705329153599</v>
      </c>
      <c r="G56">
        <v>0.12808914386584291</v>
      </c>
      <c r="H56">
        <v>0.1100990385310489</v>
      </c>
      <c r="I56">
        <v>0.1051497190362559</v>
      </c>
      <c r="J56">
        <v>0.1111019736842105</v>
      </c>
      <c r="K56">
        <v>1.7590618336886989E-2</v>
      </c>
      <c r="L56">
        <v>1.331285202252944E-2</v>
      </c>
      <c r="M56">
        <v>1.0492227979274611E-2</v>
      </c>
      <c r="N56">
        <v>1.1813045711350801E-2</v>
      </c>
      <c r="O56">
        <v>1.7672151127361369E-2</v>
      </c>
      <c r="P56">
        <v>1.2311379855096149E-2</v>
      </c>
      <c r="Q56">
        <v>8.5172953241786902E-3</v>
      </c>
    </row>
    <row r="57" spans="1:17" x14ac:dyDescent="0.35">
      <c r="A57" t="s">
        <v>122</v>
      </c>
      <c r="B57" t="s">
        <v>96</v>
      </c>
      <c r="C57">
        <v>0.20508533611981891</v>
      </c>
      <c r="D57">
        <v>0.23161041617496661</v>
      </c>
      <c r="E57">
        <v>0.25190010857763301</v>
      </c>
      <c r="F57">
        <v>0.23463474874133181</v>
      </c>
      <c r="G57">
        <v>0.21789496910856129</v>
      </c>
      <c r="H57">
        <v>0.15932914046121591</v>
      </c>
      <c r="I57">
        <v>0.1864367639134786</v>
      </c>
      <c r="J57">
        <v>0.17097039473684211</v>
      </c>
      <c r="K57">
        <v>8.9179104477611945E-2</v>
      </c>
      <c r="L57">
        <v>0.13728878648233489</v>
      </c>
      <c r="M57">
        <v>0.1724093264248705</v>
      </c>
      <c r="N57">
        <v>0.17858977181011079</v>
      </c>
      <c r="O57">
        <v>0.1318446940019152</v>
      </c>
      <c r="P57">
        <v>0.13074031704526881</v>
      </c>
      <c r="Q57">
        <v>0.14183904050060839</v>
      </c>
    </row>
    <row r="58" spans="1:17" x14ac:dyDescent="0.35">
      <c r="A58" t="s">
        <v>123</v>
      </c>
      <c r="B58" t="s">
        <v>96</v>
      </c>
      <c r="C58">
        <v>0.28631138975966558</v>
      </c>
      <c r="D58">
        <v>0.26040437416410978</v>
      </c>
      <c r="E58">
        <v>0.26182720645261359</v>
      </c>
      <c r="F58">
        <v>0.25809822361546497</v>
      </c>
      <c r="G58">
        <v>0.2151919682259488</v>
      </c>
      <c r="H58">
        <v>0.21557145955324231</v>
      </c>
      <c r="I58">
        <v>0.2203833423139096</v>
      </c>
      <c r="J58">
        <v>0.1842927631578947</v>
      </c>
      <c r="K58">
        <v>0.1493070362473348</v>
      </c>
      <c r="L58">
        <v>0.16026625704045061</v>
      </c>
      <c r="M58">
        <v>0.14818652849740929</v>
      </c>
      <c r="N58">
        <v>0.14924058991855599</v>
      </c>
      <c r="O58">
        <v>9.66309741446853E-2</v>
      </c>
      <c r="P58">
        <v>9.7129160538214299E-2</v>
      </c>
      <c r="Q58">
        <v>6.9355119068312182E-2</v>
      </c>
    </row>
    <row r="59" spans="1:17" x14ac:dyDescent="0.35">
      <c r="A59" t="s">
        <v>124</v>
      </c>
      <c r="B59" t="s">
        <v>96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0.73429276315789471</v>
      </c>
      <c r="K59">
        <v>0.46977611940298508</v>
      </c>
      <c r="L59">
        <v>0.47695852534562211</v>
      </c>
      <c r="M59">
        <v>0.46955958549222798</v>
      </c>
      <c r="N59">
        <v>0.35211680974392839</v>
      </c>
      <c r="O59">
        <v>0</v>
      </c>
      <c r="P59">
        <v>0</v>
      </c>
      <c r="Q59">
        <v>0</v>
      </c>
    </row>
    <row r="60" spans="1:17" x14ac:dyDescent="0.35">
      <c r="A60" t="s">
        <v>125</v>
      </c>
      <c r="B60" t="s">
        <v>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0.26570723684210529</v>
      </c>
      <c r="K60">
        <v>0.53022388059701497</v>
      </c>
      <c r="L60">
        <v>0.52304147465437789</v>
      </c>
      <c r="M60">
        <v>0.53044041450777202</v>
      </c>
      <c r="N60">
        <v>0.63188788612517421</v>
      </c>
      <c r="O60">
        <v>0.56664055018716808</v>
      </c>
      <c r="P60">
        <v>3.8840769188865282E-2</v>
      </c>
      <c r="Q60">
        <v>0</v>
      </c>
    </row>
    <row r="61" spans="1:17" x14ac:dyDescent="0.35">
      <c r="A61" t="s">
        <v>126</v>
      </c>
      <c r="B61" t="s">
        <v>96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0.32432314790632888</v>
      </c>
      <c r="P61">
        <v>0.79550035408835862</v>
      </c>
      <c r="Q61">
        <v>0.78411263688510346</v>
      </c>
    </row>
    <row r="62" spans="1:17" x14ac:dyDescent="0.35">
      <c r="A62" t="s">
        <v>127</v>
      </c>
      <c r="B62" t="s">
        <v>96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1.599530413089735E-2</v>
      </c>
      <c r="O62">
        <v>0.109036301906503</v>
      </c>
      <c r="P62">
        <v>0.16565887672277599</v>
      </c>
      <c r="Q62">
        <v>0.21588736311489659</v>
      </c>
    </row>
    <row r="64" spans="1:17" x14ac:dyDescent="0.35">
      <c r="A64" t="s">
        <v>128</v>
      </c>
    </row>
    <row r="65" spans="1:17" x14ac:dyDescent="0.35">
      <c r="A65" t="s">
        <v>129</v>
      </c>
      <c r="B65" t="s">
        <v>76</v>
      </c>
      <c r="C65">
        <v>8616</v>
      </c>
      <c r="D65">
        <v>8482</v>
      </c>
      <c r="E65">
        <v>9233</v>
      </c>
      <c r="F65">
        <v>11960</v>
      </c>
      <c r="G65">
        <v>20233</v>
      </c>
      <c r="H65">
        <v>20434</v>
      </c>
      <c r="I65">
        <v>15116</v>
      </c>
      <c r="J65">
        <v>15731</v>
      </c>
      <c r="K65">
        <v>25639</v>
      </c>
      <c r="L65">
        <v>23569</v>
      </c>
      <c r="M65">
        <v>19164</v>
      </c>
      <c r="N65">
        <v>15373</v>
      </c>
      <c r="O65">
        <v>21603</v>
      </c>
      <c r="P65">
        <v>19646</v>
      </c>
      <c r="Q65">
        <v>5273</v>
      </c>
    </row>
    <row r="66" spans="1:17" x14ac:dyDescent="0.35">
      <c r="A66" t="s">
        <v>130</v>
      </c>
      <c r="B66" t="s">
        <v>96</v>
      </c>
      <c r="C66">
        <v>14355</v>
      </c>
      <c r="D66">
        <v>12711</v>
      </c>
      <c r="E66">
        <v>12894</v>
      </c>
      <c r="F66">
        <v>10527</v>
      </c>
      <c r="G66">
        <v>18128</v>
      </c>
      <c r="H66">
        <v>13833</v>
      </c>
      <c r="I66">
        <v>12991</v>
      </c>
      <c r="J66">
        <v>12160</v>
      </c>
      <c r="K66">
        <v>18760</v>
      </c>
      <c r="L66">
        <v>15624</v>
      </c>
      <c r="M66">
        <v>15440</v>
      </c>
      <c r="N66">
        <v>13629</v>
      </c>
      <c r="O66">
        <v>22974</v>
      </c>
      <c r="P66">
        <v>18357</v>
      </c>
      <c r="Q66">
        <v>5753</v>
      </c>
    </row>
    <row r="67" spans="1:17" x14ac:dyDescent="0.35">
      <c r="A67" t="s">
        <v>131</v>
      </c>
      <c r="B67" t="s">
        <v>132</v>
      </c>
      <c r="C67">
        <v>22971</v>
      </c>
      <c r="D67">
        <v>21193</v>
      </c>
      <c r="E67">
        <v>22127</v>
      </c>
      <c r="F67">
        <v>22487</v>
      </c>
      <c r="G67">
        <v>38361</v>
      </c>
      <c r="H67">
        <v>34267</v>
      </c>
      <c r="I67">
        <v>28107</v>
      </c>
      <c r="J67">
        <v>27891</v>
      </c>
      <c r="K67">
        <v>44399</v>
      </c>
      <c r="L67">
        <v>39193</v>
      </c>
      <c r="M67">
        <v>34604</v>
      </c>
      <c r="N67">
        <v>29002</v>
      </c>
      <c r="O67">
        <v>44577</v>
      </c>
      <c r="P67">
        <v>38003</v>
      </c>
      <c r="Q67">
        <v>11026</v>
      </c>
    </row>
    <row r="68" spans="1:17" x14ac:dyDescent="0.35">
      <c r="A68" t="s">
        <v>133</v>
      </c>
      <c r="B68" t="s">
        <v>76</v>
      </c>
      <c r="C68">
        <v>160228644.83000001</v>
      </c>
      <c r="D68">
        <v>169364806.61000001</v>
      </c>
      <c r="E68">
        <v>186088370.78</v>
      </c>
      <c r="F68">
        <v>241954655.12</v>
      </c>
      <c r="G68">
        <v>392543375.45999998</v>
      </c>
      <c r="H68">
        <v>425825056.82999998</v>
      </c>
      <c r="I68">
        <v>314449068.75999999</v>
      </c>
      <c r="J68">
        <v>340608679.01999998</v>
      </c>
      <c r="K68">
        <v>546392563.39999998</v>
      </c>
      <c r="L68">
        <v>533993040.44</v>
      </c>
      <c r="M68">
        <v>453329007.44</v>
      </c>
      <c r="N68">
        <v>368543370.81000012</v>
      </c>
      <c r="O68">
        <v>489325158.23000008</v>
      </c>
      <c r="P68">
        <v>473715957.29000008</v>
      </c>
      <c r="Q68">
        <v>128837553.56999999</v>
      </c>
    </row>
    <row r="69" spans="1:17" x14ac:dyDescent="0.35">
      <c r="A69" t="s">
        <v>134</v>
      </c>
      <c r="B69" t="s">
        <v>96</v>
      </c>
      <c r="C69">
        <v>296516663.13999999</v>
      </c>
      <c r="D69">
        <v>281993411.35000002</v>
      </c>
      <c r="E69">
        <v>290942700.88</v>
      </c>
      <c r="F69">
        <v>239401671.05000001</v>
      </c>
      <c r="G69">
        <v>389949751</v>
      </c>
      <c r="H69">
        <v>325729819.95999998</v>
      </c>
      <c r="I69">
        <v>300402127.30000001</v>
      </c>
      <c r="J69">
        <v>288802419.11000001</v>
      </c>
      <c r="K69">
        <v>446272549.67000002</v>
      </c>
      <c r="L69">
        <v>393586010.74000001</v>
      </c>
      <c r="M69">
        <v>387605793.25999999</v>
      </c>
      <c r="N69">
        <v>343127314.68000001</v>
      </c>
      <c r="O69">
        <v>563943874.19000006</v>
      </c>
      <c r="P69">
        <v>486819439.12000012</v>
      </c>
      <c r="Q69">
        <v>153517872.94</v>
      </c>
    </row>
    <row r="70" spans="1:17" x14ac:dyDescent="0.35">
      <c r="A70" t="s">
        <v>135</v>
      </c>
      <c r="B70" t="s">
        <v>132</v>
      </c>
      <c r="C70">
        <v>456745307.97000003</v>
      </c>
      <c r="D70">
        <v>451358217.95999998</v>
      </c>
      <c r="E70">
        <v>477031071.66000003</v>
      </c>
      <c r="F70">
        <v>481356326.17000002</v>
      </c>
      <c r="G70">
        <v>782493126.46000004</v>
      </c>
      <c r="H70">
        <v>751554876.78999996</v>
      </c>
      <c r="I70">
        <v>614851196.05999994</v>
      </c>
      <c r="J70">
        <v>629411098.13</v>
      </c>
      <c r="K70">
        <v>992665113.06999993</v>
      </c>
      <c r="L70">
        <v>927579051.18000007</v>
      </c>
      <c r="M70">
        <v>840934800.70000005</v>
      </c>
      <c r="N70">
        <v>711670685.49000001</v>
      </c>
      <c r="O70">
        <v>1053269032.42</v>
      </c>
      <c r="P70">
        <v>960535396.41000009</v>
      </c>
      <c r="Q70">
        <v>282355426.50999999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workbookViewId="0"/>
  </sheetViews>
  <sheetFormatPr defaultRowHeight="14.5" x14ac:dyDescent="0.35"/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>
        <v>-1.1625051758873441E-2</v>
      </c>
      <c r="C2">
        <v>-3.8592766710372991E-3</v>
      </c>
      <c r="D2">
        <v>-5.4867378764754766E-3</v>
      </c>
      <c r="E2">
        <v>-4.5627913421899058E-3</v>
      </c>
      <c r="F2">
        <v>-7.6179011811885362E-3</v>
      </c>
      <c r="G2">
        <v>-7.2820340365057079E-3</v>
      </c>
      <c r="H2">
        <v>-8.7721455836627469E-3</v>
      </c>
      <c r="I2">
        <v>-5.966762244736374E-3</v>
      </c>
      <c r="J2">
        <v>-7.5826738102888411E-3</v>
      </c>
      <c r="K2">
        <v>-1.1019647888815379E-2</v>
      </c>
      <c r="L2">
        <v>-9.1359606195387504E-3</v>
      </c>
      <c r="M2">
        <v>-6.6633555910227179E-3</v>
      </c>
      <c r="N2">
        <v>-1.565288320298542E-2</v>
      </c>
      <c r="O2">
        <v>-1.315691185169293E-2</v>
      </c>
      <c r="P2">
        <v>-1.045732470583652E-2</v>
      </c>
    </row>
    <row r="3" spans="1:16" x14ac:dyDescent="0.35">
      <c r="A3" t="s">
        <v>16</v>
      </c>
      <c r="B3">
        <v>-3.8738012115370601E-3</v>
      </c>
      <c r="C3">
        <v>-3.8586695324098362E-3</v>
      </c>
      <c r="D3">
        <v>-1.0969808828207811E-2</v>
      </c>
      <c r="E3">
        <v>-4.5619455715928533E-3</v>
      </c>
      <c r="F3">
        <v>-6.663737882164943E-3</v>
      </c>
      <c r="G3">
        <v>-6.2400155373294967E-3</v>
      </c>
      <c r="H3">
        <v>-1.1691320793894341E-2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17</v>
      </c>
      <c r="B4">
        <v>-2.9227598206372812E-2</v>
      </c>
      <c r="C4">
        <v>-4.2405348268455413E-2</v>
      </c>
      <c r="D4">
        <v>-4.5654998073902137E-2</v>
      </c>
      <c r="E4">
        <v>-7.7423974915120236E-2</v>
      </c>
      <c r="F4">
        <v>-6.4640121020476698E-2</v>
      </c>
      <c r="G4">
        <v>-4.5711456423257392E-2</v>
      </c>
      <c r="H4">
        <v>-5.4000057941812743E-2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19</v>
      </c>
      <c r="B5">
        <v>-0.1569648125998431</v>
      </c>
      <c r="C5">
        <v>-0.13309965634977261</v>
      </c>
      <c r="D5">
        <v>-0.1146764968591113</v>
      </c>
      <c r="E5">
        <v>-0.1060240891144754</v>
      </c>
      <c r="F5">
        <v>-8.2739424533380887E-2</v>
      </c>
      <c r="G5">
        <v>-4.4797243011884369E-2</v>
      </c>
      <c r="H5">
        <v>-3.9476176886971477E-2</v>
      </c>
      <c r="I5">
        <v>-7.0001004560593896E-2</v>
      </c>
      <c r="J5">
        <v>-3.3672167159285227E-2</v>
      </c>
      <c r="K5">
        <v>-1.863700254813825E-2</v>
      </c>
      <c r="L5">
        <v>-2.0289451797354911E-2</v>
      </c>
      <c r="M5">
        <v>-1.5984383224287298E-2</v>
      </c>
      <c r="N5">
        <v>-1.7597079865929781E-2</v>
      </c>
      <c r="O5">
        <v>-8.7671711113695427E-3</v>
      </c>
      <c r="P5">
        <v>-1.045263321858598E-2</v>
      </c>
    </row>
    <row r="6" spans="1:16" x14ac:dyDescent="0.35">
      <c r="A6" t="s">
        <v>22</v>
      </c>
      <c r="B6">
        <v>-1.36438350921589E-2</v>
      </c>
      <c r="C6">
        <v>-1.531864106823708E-2</v>
      </c>
      <c r="D6">
        <v>-1.4705443479561559E-2</v>
      </c>
      <c r="E6">
        <v>-4.5272315281715894E-3</v>
      </c>
      <c r="F6">
        <v>-1.0500311933315441E-2</v>
      </c>
      <c r="G6">
        <v>-6.2153447478578549E-3</v>
      </c>
      <c r="H6">
        <v>-1.484176648762912E-2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27</v>
      </c>
      <c r="B7">
        <v>0.42005540189748602</v>
      </c>
      <c r="C7">
        <v>0.34331632339289397</v>
      </c>
      <c r="D7">
        <v>0.36679673937985702</v>
      </c>
      <c r="E7">
        <v>0.42847445724651878</v>
      </c>
      <c r="F7">
        <v>0.41314294834071208</v>
      </c>
      <c r="G7">
        <v>0.48475045490649288</v>
      </c>
      <c r="H7">
        <v>0.53202458587200419</v>
      </c>
      <c r="I7">
        <v>1.2272784356106039</v>
      </c>
      <c r="J7">
        <v>1.157843698460411</v>
      </c>
      <c r="K7">
        <v>1.260186661904126</v>
      </c>
      <c r="L7">
        <v>1.4601509934953649</v>
      </c>
      <c r="M7">
        <v>1.555211762407199</v>
      </c>
      <c r="N7">
        <v>1.442262918113445</v>
      </c>
      <c r="O7">
        <v>1.407281482963439</v>
      </c>
      <c r="P7">
        <v>1.3581773466920339</v>
      </c>
    </row>
    <row r="8" spans="1:16" x14ac:dyDescent="0.35">
      <c r="A8" t="s">
        <v>28</v>
      </c>
      <c r="B8">
        <v>0.2112097538801862</v>
      </c>
      <c r="C8">
        <v>0.2268901781863846</v>
      </c>
      <c r="D8">
        <v>0.20528557060199659</v>
      </c>
      <c r="E8">
        <v>0.19546133506596031</v>
      </c>
      <c r="F8">
        <v>0.17585908438891029</v>
      </c>
      <c r="G8">
        <v>0.19016338885446771</v>
      </c>
      <c r="H8">
        <v>0.22543149833773041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35</v>
      </c>
      <c r="B10">
        <v>-3.3758482982831982E-2</v>
      </c>
      <c r="C10">
        <v>7.8950491334806062E-3</v>
      </c>
      <c r="D10">
        <v>4.1438518289223644E-3</v>
      </c>
      <c r="E10">
        <v>-2.0141971410132641E-2</v>
      </c>
      <c r="F10">
        <v>-1.504845748309893E-2</v>
      </c>
      <c r="G10">
        <v>-1.92157837191638E-3</v>
      </c>
      <c r="H10">
        <v>-8.2715390817259867E-3</v>
      </c>
      <c r="I10">
        <v>5.0788646859938457E-3</v>
      </c>
      <c r="J10">
        <v>6.8630968472777804E-2</v>
      </c>
      <c r="K10">
        <v>4.1692096855700862E-2</v>
      </c>
      <c r="L10">
        <v>9.0581341657239352E-3</v>
      </c>
      <c r="M10">
        <v>6.5100084970146369E-2</v>
      </c>
      <c r="N10">
        <v>8.1193814187379837E-2</v>
      </c>
      <c r="O10">
        <v>4.607829630195661E-2</v>
      </c>
      <c r="P10">
        <v>1.0246986354995669E-3</v>
      </c>
    </row>
    <row r="11" spans="1:16" x14ac:dyDescent="0.35">
      <c r="A11" t="s">
        <v>37</v>
      </c>
      <c r="B11">
        <v>0</v>
      </c>
      <c r="C11">
        <v>0.30662227275468429</v>
      </c>
      <c r="D11">
        <v>0.45784640442770669</v>
      </c>
      <c r="E11">
        <v>0.48052122487807558</v>
      </c>
      <c r="F11">
        <v>-9.049703722833026E-2</v>
      </c>
      <c r="G11">
        <v>-4.1199416429778111E-4</v>
      </c>
      <c r="H11">
        <v>7.1655333080984707E-2</v>
      </c>
      <c r="I11">
        <v>-3.7006375638610492E-2</v>
      </c>
      <c r="J11">
        <v>-8.131198402485941E-2</v>
      </c>
      <c r="K11">
        <v>0.11222332370358851</v>
      </c>
      <c r="L11">
        <v>9.400243685536358E-2</v>
      </c>
      <c r="M11">
        <v>0.22018173667787849</v>
      </c>
      <c r="N11">
        <v>0.23024695537143219</v>
      </c>
      <c r="O11">
        <v>0.22266257797236169</v>
      </c>
      <c r="P11">
        <v>0.26301109891957158</v>
      </c>
    </row>
    <row r="12" spans="1:16" x14ac:dyDescent="0.35">
      <c r="A12" t="s">
        <v>23</v>
      </c>
      <c r="B12">
        <v>0.12871448148684231</v>
      </c>
      <c r="C12">
        <v>0.16036304363707721</v>
      </c>
      <c r="D12">
        <v>0.17027887543733161</v>
      </c>
      <c r="E12">
        <v>0.1298901206051192</v>
      </c>
      <c r="F12">
        <v>0.17152547458183259</v>
      </c>
      <c r="G12">
        <v>0.20812453335894501</v>
      </c>
      <c r="H12">
        <v>0.18590186052181351</v>
      </c>
      <c r="I12">
        <v>0.20070024953066559</v>
      </c>
      <c r="J12">
        <v>0.19597228457520291</v>
      </c>
      <c r="K12">
        <v>0.20999413626696761</v>
      </c>
      <c r="L12">
        <v>0.17099928769983341</v>
      </c>
      <c r="M12">
        <v>0.1516488471258251</v>
      </c>
      <c r="N12">
        <v>0.1427028611132552</v>
      </c>
      <c r="O12">
        <v>0.13621267782107971</v>
      </c>
      <c r="P12">
        <v>0.15650647821474989</v>
      </c>
    </row>
    <row r="13" spans="1:16" x14ac:dyDescent="0.35">
      <c r="A13" t="s">
        <v>39</v>
      </c>
      <c r="B13">
        <v>0.1781638731956347</v>
      </c>
      <c r="C13">
        <v>0.34797262627412978</v>
      </c>
      <c r="D13">
        <v>0.30167408558516001</v>
      </c>
      <c r="E13">
        <v>0.25422528547198647</v>
      </c>
      <c r="F13">
        <v>-5.7301710415307563E-3</v>
      </c>
      <c r="G13">
        <v>9.6675409106589297E-2</v>
      </c>
      <c r="H13">
        <v>0.11461484815728309</v>
      </c>
      <c r="I13">
        <v>-0.19498197906523959</v>
      </c>
      <c r="J13">
        <v>-0.44049478738166931</v>
      </c>
      <c r="K13">
        <v>1.9648991370200739E-2</v>
      </c>
      <c r="L13">
        <v>-9.3842890449348348E-2</v>
      </c>
      <c r="M13">
        <v>-5.8394384928413458E-2</v>
      </c>
      <c r="N13">
        <v>-0.53923348676909677</v>
      </c>
      <c r="O13">
        <v>-0.37971055272710741</v>
      </c>
      <c r="P13">
        <v>-0.37980375633130242</v>
      </c>
    </row>
    <row r="14" spans="1:16" x14ac:dyDescent="0.3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2.319951421313075E-2</v>
      </c>
      <c r="K14">
        <v>1.7298808780849589E-2</v>
      </c>
      <c r="L14">
        <v>1.9085162163653111E-2</v>
      </c>
      <c r="M14">
        <v>-2.1443700563686832E-3</v>
      </c>
      <c r="N14">
        <v>3.5652500957070229E-3</v>
      </c>
      <c r="O14">
        <v>1.7005588723274231E-2</v>
      </c>
      <c r="P14">
        <v>-1.6076326588263079E-2</v>
      </c>
    </row>
    <row r="15" spans="1:16" x14ac:dyDescent="0.35">
      <c r="A15" t="s">
        <v>43</v>
      </c>
      <c r="B15">
        <v>-4.5466338280189478E-2</v>
      </c>
      <c r="C15">
        <v>-6.7897562890724822E-2</v>
      </c>
      <c r="D15">
        <v>-5.8925719031103191E-2</v>
      </c>
      <c r="E15">
        <v>-4.005677189997886E-2</v>
      </c>
      <c r="F15">
        <v>-5.5084502079521001E-2</v>
      </c>
      <c r="G15">
        <v>-5.9887521780346467E-2</v>
      </c>
      <c r="H15">
        <v>-7.3849709497589844E-2</v>
      </c>
      <c r="I15">
        <v>-4.517058764696933E-2</v>
      </c>
      <c r="J15">
        <v>-5.0248940964986263E-2</v>
      </c>
      <c r="K15">
        <v>-4.5441894715569218E-2</v>
      </c>
      <c r="L15">
        <v>-6.1661162065546497E-2</v>
      </c>
      <c r="M15">
        <v>-5.8198918405595303E-2</v>
      </c>
      <c r="N15">
        <v>-5.1848076919166687E-2</v>
      </c>
      <c r="O15">
        <v>-6.4404489583450242E-2</v>
      </c>
      <c r="P15">
        <v>-4.3225930480779003E-2</v>
      </c>
    </row>
    <row r="16" spans="1:16" x14ac:dyDescent="0.35">
      <c r="A16" t="s">
        <v>52</v>
      </c>
      <c r="B16">
        <v>-0.32626611631024099</v>
      </c>
      <c r="C16">
        <v>-0.41981239602814358</v>
      </c>
      <c r="D16">
        <v>-0.29194909140828051</v>
      </c>
      <c r="E16">
        <v>-0.39073881639892011</v>
      </c>
      <c r="F16">
        <v>-4.4288365589168537E-2</v>
      </c>
      <c r="G16">
        <v>-0.17315548357619551</v>
      </c>
      <c r="H16">
        <v>-8.8403415443704586E-2</v>
      </c>
      <c r="I16">
        <v>1.0315659797812659E-2</v>
      </c>
      <c r="J16">
        <v>0.1138847416791324</v>
      </c>
      <c r="K16">
        <v>0.28552987496834242</v>
      </c>
      <c r="L16">
        <v>0.43443802423601707</v>
      </c>
      <c r="M16">
        <v>0.30924627418064299</v>
      </c>
      <c r="N16">
        <v>0.37999699760573918</v>
      </c>
      <c r="O16">
        <v>0.33316664174520971</v>
      </c>
      <c r="P16">
        <v>0.3089582470104269</v>
      </c>
    </row>
    <row r="17" spans="1:16" x14ac:dyDescent="0.35">
      <c r="A17" t="s">
        <v>54</v>
      </c>
      <c r="B17">
        <v>-9.0865953652857198E-2</v>
      </c>
      <c r="C17">
        <v>-8.1936186301248562E-2</v>
      </c>
      <c r="D17">
        <v>-6.8338823527074002E-2</v>
      </c>
      <c r="E17">
        <v>-9.4023450128752462E-2</v>
      </c>
      <c r="F17">
        <v>-7.7325238597786186E-2</v>
      </c>
      <c r="G17">
        <v>-8.7940099155217583E-2</v>
      </c>
      <c r="H17">
        <v>-8.5767498172695009E-2</v>
      </c>
      <c r="I17">
        <v>-8.7984338706644655E-2</v>
      </c>
      <c r="J17">
        <v>-9.7788128941688798E-2</v>
      </c>
      <c r="K17">
        <v>-0.1170616738752004</v>
      </c>
      <c r="L17">
        <v>-0.1126609258925253</v>
      </c>
      <c r="M17">
        <v>-9.6723142722910035E-2</v>
      </c>
      <c r="N17">
        <v>-8.9217800928306584E-2</v>
      </c>
      <c r="O17">
        <v>-8.4776866071946649E-2</v>
      </c>
      <c r="P17">
        <v>-5.5352712115178372E-2</v>
      </c>
    </row>
    <row r="18" spans="1:16" x14ac:dyDescent="0.35">
      <c r="A18" t="s">
        <v>56</v>
      </c>
      <c r="B18">
        <v>0.27229046026967102</v>
      </c>
      <c r="C18">
        <v>0.24604893110321119</v>
      </c>
      <c r="D18">
        <v>-0.33824195382088651</v>
      </c>
      <c r="E18">
        <v>-7.9439015930704682E-2</v>
      </c>
      <c r="F18">
        <v>0.1411637563129563</v>
      </c>
      <c r="G18">
        <v>0.50653277578070843</v>
      </c>
      <c r="H18">
        <v>3.3862316047449062E-2</v>
      </c>
      <c r="I18">
        <v>-0.1508137351460323</v>
      </c>
      <c r="J18">
        <v>0.47756995216554787</v>
      </c>
      <c r="K18">
        <v>0.67045284792919368</v>
      </c>
      <c r="L18">
        <v>1.0478333916893861</v>
      </c>
      <c r="M18">
        <v>0.79285196383862266</v>
      </c>
      <c r="N18">
        <v>1.316105275546156</v>
      </c>
      <c r="O18">
        <v>1.5530548779118469</v>
      </c>
      <c r="P18">
        <v>1.9518597610865951</v>
      </c>
    </row>
    <row r="19" spans="1:16" x14ac:dyDescent="0.35">
      <c r="A19" t="s">
        <v>61</v>
      </c>
      <c r="B19">
        <v>0.11933529626230049</v>
      </c>
      <c r="C19">
        <v>6.7825686033105265E-2</v>
      </c>
      <c r="D19">
        <v>0.19923692187186129</v>
      </c>
      <c r="E19">
        <v>0.10699805852654951</v>
      </c>
      <c r="F19">
        <v>0.12750875314401289</v>
      </c>
      <c r="G19">
        <v>9.9730914843601179E-2</v>
      </c>
      <c r="H19">
        <v>0.1126469655045628</v>
      </c>
      <c r="I19">
        <v>6.0319986109268968E-2</v>
      </c>
      <c r="J19">
        <v>7.3318873347147789E-2</v>
      </c>
      <c r="K19">
        <v>2.6822565506707898E-3</v>
      </c>
      <c r="L19">
        <v>-8.5351254870145055E-2</v>
      </c>
      <c r="M19">
        <v>-0.1188961041372841</v>
      </c>
      <c r="N19">
        <v>-8.8112020765930207E-2</v>
      </c>
      <c r="O19">
        <v>-8.3913006983392796E-2</v>
      </c>
      <c r="P19">
        <v>-0.20097956574187359</v>
      </c>
    </row>
    <row r="20" spans="1:16" x14ac:dyDescent="0.35">
      <c r="A20" t="s">
        <v>136</v>
      </c>
      <c r="B20">
        <v>0.18350813413153749</v>
      </c>
      <c r="C20">
        <v>0.13023999035124351</v>
      </c>
      <c r="D20">
        <v>-6.3474801357470745E-2</v>
      </c>
      <c r="E20">
        <v>-5.7065416928522286E-3</v>
      </c>
      <c r="F20">
        <v>4.2552610213084652E-3</v>
      </c>
      <c r="G20">
        <v>-3.1092097395721611E-2</v>
      </c>
      <c r="H20">
        <v>4.5167745262871928E-2</v>
      </c>
      <c r="I20">
        <v>0.1658714073615957</v>
      </c>
      <c r="J20">
        <v>-2.2163304730128841E-2</v>
      </c>
      <c r="K20">
        <v>1.7637249800697141E-2</v>
      </c>
      <c r="L20">
        <v>2.4940359480790431E-2</v>
      </c>
      <c r="M20">
        <v>0.13223585029914359</v>
      </c>
      <c r="N20">
        <v>0.17315279369816669</v>
      </c>
      <c r="O20">
        <v>0.24967214567214269</v>
      </c>
      <c r="P20">
        <v>0.2341652368705858</v>
      </c>
    </row>
    <row r="21" spans="1:16" x14ac:dyDescent="0.35">
      <c r="A21" t="s">
        <v>137</v>
      </c>
      <c r="B21">
        <v>0.80158541102875347</v>
      </c>
      <c r="C21">
        <v>1.0689863637561809</v>
      </c>
      <c r="D21">
        <v>0.69283857487076261</v>
      </c>
      <c r="E21">
        <v>0.76836388186131899</v>
      </c>
      <c r="F21">
        <v>0.57332000921977055</v>
      </c>
      <c r="G21">
        <v>1.1213226086502741</v>
      </c>
      <c r="H21">
        <v>0.93623152289501377</v>
      </c>
      <c r="I21">
        <v>1.077639820087114</v>
      </c>
      <c r="J21">
        <v>1.377158045900444</v>
      </c>
      <c r="K21">
        <v>2.4451860291026151</v>
      </c>
      <c r="L21">
        <v>2.877566144091674</v>
      </c>
      <c r="M21">
        <v>2.869471860433578</v>
      </c>
      <c r="N21">
        <v>2.9675655172798661</v>
      </c>
      <c r="O21">
        <v>3.3304052907823518</v>
      </c>
      <c r="P21">
        <v>3.557354618247643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"/>
  <sheetViews>
    <sheetView workbookViewId="0"/>
  </sheetViews>
  <sheetFormatPr defaultRowHeight="14.5" x14ac:dyDescent="0.35"/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>
        <v>-5.9090944599793759E-3</v>
      </c>
      <c r="C2">
        <v>-3.8088093284804618E-3</v>
      </c>
      <c r="D2">
        <v>-4.0424299978113693E-3</v>
      </c>
      <c r="E2">
        <v>-5.7176237171663469E-3</v>
      </c>
      <c r="F2">
        <v>-5.0448906402169027E-3</v>
      </c>
      <c r="G2">
        <v>-4.4473193718774706E-3</v>
      </c>
      <c r="H2">
        <v>-7.2003968203821506E-3</v>
      </c>
      <c r="I2">
        <v>-8.4096162963047411E-3</v>
      </c>
      <c r="J2">
        <v>-8.4699091597662847E-3</v>
      </c>
      <c r="K2">
        <v>-1.4082033652678761E-2</v>
      </c>
      <c r="L2">
        <v>-6.9420878617599876E-3</v>
      </c>
      <c r="M2">
        <v>-6.6908325121065168E-3</v>
      </c>
      <c r="N2">
        <v>-1.197640893559318E-2</v>
      </c>
      <c r="O2">
        <v>-1.3350367769535061E-2</v>
      </c>
      <c r="P2">
        <v>-1.1947893871987121E-2</v>
      </c>
    </row>
    <row r="3" spans="1:16" x14ac:dyDescent="0.35">
      <c r="A3" t="s">
        <v>16</v>
      </c>
      <c r="B3">
        <v>-4.7221938914335827E-2</v>
      </c>
      <c r="C3">
        <v>-3.2984931904132188E-2</v>
      </c>
      <c r="D3">
        <v>-4.7448532650294341E-2</v>
      </c>
      <c r="E3">
        <v>-2.539566612717464E-2</v>
      </c>
      <c r="F3">
        <v>-2.088952943281085E-2</v>
      </c>
      <c r="G3">
        <v>-1.9832226639163401E-2</v>
      </c>
      <c r="H3">
        <v>-2.0239884530952389E-2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17</v>
      </c>
      <c r="B4">
        <v>-1.031777722599056E-2</v>
      </c>
      <c r="C4">
        <v>-1.0140293196958571E-2</v>
      </c>
      <c r="D4">
        <v>-2.0364502460116309E-2</v>
      </c>
      <c r="E4">
        <v>-2.2833804502443461E-2</v>
      </c>
      <c r="F4">
        <v>-9.7905190633765359E-3</v>
      </c>
      <c r="G4">
        <v>-1.643511242718957E-2</v>
      </c>
      <c r="H4">
        <v>-1.8066966695782179E-2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19</v>
      </c>
      <c r="B5">
        <v>-4.4317401278391122E-2</v>
      </c>
      <c r="C5">
        <v>-5.8225480164805998E-2</v>
      </c>
      <c r="D5">
        <v>-4.3595531019127873E-2</v>
      </c>
      <c r="E5">
        <v>-3.0412286502885889E-2</v>
      </c>
      <c r="F5">
        <v>-4.1387761615948482E-2</v>
      </c>
      <c r="G5">
        <v>-2.08614244905721E-2</v>
      </c>
      <c r="H5">
        <v>-8.6243442086457178E-3</v>
      </c>
      <c r="I5">
        <v>-1.8911204300293201E-2</v>
      </c>
      <c r="J5">
        <v>-1.0160067322834381E-2</v>
      </c>
      <c r="K5">
        <v>-6.2893464242424358E-3</v>
      </c>
      <c r="L5">
        <v>-6.5748735147256919E-3</v>
      </c>
      <c r="M5">
        <v>-7.1666475559937302E-3</v>
      </c>
      <c r="N5">
        <v>-1.0710610864816471E-2</v>
      </c>
      <c r="O5">
        <v>-5.7510507829352329E-3</v>
      </c>
      <c r="P5">
        <v>-2.6542619790683071E-3</v>
      </c>
    </row>
    <row r="6" spans="1:16" x14ac:dyDescent="0.35">
      <c r="A6" t="s">
        <v>22</v>
      </c>
      <c r="B6">
        <v>-1.470975209571655E-3</v>
      </c>
      <c r="C6">
        <v>-2.6548239442223519E-3</v>
      </c>
      <c r="D6">
        <v>-6.034821019501705E-3</v>
      </c>
      <c r="E6">
        <v>-5.6981388933552519E-3</v>
      </c>
      <c r="F6">
        <v>-3.5926078610493029E-3</v>
      </c>
      <c r="G6">
        <v>-3.753885754331358E-3</v>
      </c>
      <c r="H6">
        <v>-5.8376927276475397E-3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27</v>
      </c>
      <c r="B7">
        <v>0.28598003230105129</v>
      </c>
      <c r="C7">
        <v>0.27509524102918631</v>
      </c>
      <c r="D7">
        <v>0.29188470638303038</v>
      </c>
      <c r="E7">
        <v>0.26367595038042257</v>
      </c>
      <c r="F7">
        <v>0.23944849044116659</v>
      </c>
      <c r="G7">
        <v>0.31144226176757422</v>
      </c>
      <c r="H7">
        <v>0.37687412681348192</v>
      </c>
      <c r="I7">
        <v>1.12205330620918</v>
      </c>
      <c r="J7">
        <v>1.2429878063867319</v>
      </c>
      <c r="K7">
        <v>1.3034721977159831</v>
      </c>
      <c r="L7">
        <v>1.3822644925708369</v>
      </c>
      <c r="M7">
        <v>1.584524703913766</v>
      </c>
      <c r="N7">
        <v>1.3551226827139871</v>
      </c>
      <c r="O7">
        <v>1.238276836981425</v>
      </c>
      <c r="P7">
        <v>1.1479125609749861</v>
      </c>
    </row>
    <row r="8" spans="1:16" x14ac:dyDescent="0.35">
      <c r="A8" t="s">
        <v>28</v>
      </c>
      <c r="B8">
        <v>0.17888644014864119</v>
      </c>
      <c r="C8">
        <v>0.20687612115292719</v>
      </c>
      <c r="D8">
        <v>0.1820507592230321</v>
      </c>
      <c r="E8">
        <v>0.17909006995839999</v>
      </c>
      <c r="F8">
        <v>0.14352215083549441</v>
      </c>
      <c r="G8">
        <v>0.1660040371923889</v>
      </c>
      <c r="H8">
        <v>0.1732316567220932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35</v>
      </c>
      <c r="B10">
        <v>-8.3718504277894831E-2</v>
      </c>
      <c r="C10">
        <v>-0.1067506631005577</v>
      </c>
      <c r="D10">
        <v>-0.10494389607399281</v>
      </c>
      <c r="E10">
        <v>-0.119809341796191</v>
      </c>
      <c r="F10">
        <v>-0.1056687017836079</v>
      </c>
      <c r="G10">
        <v>-9.3181706499195091E-2</v>
      </c>
      <c r="H10">
        <v>-6.6055510286507552E-2</v>
      </c>
      <c r="I10">
        <v>-5.3364271272812493E-2</v>
      </c>
      <c r="J10">
        <v>-7.03720431017752E-3</v>
      </c>
      <c r="K10">
        <v>-2.741242933346312E-2</v>
      </c>
      <c r="L10">
        <v>-2.2005944679482921E-2</v>
      </c>
      <c r="M10">
        <v>8.7133518377393287E-3</v>
      </c>
      <c r="N10">
        <v>1.352549670046335E-2</v>
      </c>
      <c r="O10">
        <v>1.6958142410322469E-2</v>
      </c>
      <c r="P10">
        <v>-4.6715631730496233E-2</v>
      </c>
    </row>
    <row r="11" spans="1:16" x14ac:dyDescent="0.35">
      <c r="A11" t="s">
        <v>37</v>
      </c>
      <c r="B11">
        <v>0</v>
      </c>
      <c r="C11">
        <v>0.36842168460216229</v>
      </c>
      <c r="D11">
        <v>0.61196273961297798</v>
      </c>
      <c r="E11">
        <v>0.56455615167844375</v>
      </c>
      <c r="F11">
        <v>9.423938994357336E-4</v>
      </c>
      <c r="G11">
        <v>0.16835668327607381</v>
      </c>
      <c r="H11">
        <v>0.18821373934947949</v>
      </c>
      <c r="I11">
        <v>9.2157759308403739E-2</v>
      </c>
      <c r="J11">
        <v>6.0984734727437408E-2</v>
      </c>
      <c r="K11">
        <v>0.23777263840874011</v>
      </c>
      <c r="L11">
        <v>0.21410205190914591</v>
      </c>
      <c r="M11">
        <v>0.32845624050181088</v>
      </c>
      <c r="N11">
        <v>0.33811278242755349</v>
      </c>
      <c r="O11">
        <v>0.35744488657916318</v>
      </c>
      <c r="P11">
        <v>0.3890493706036311</v>
      </c>
    </row>
    <row r="12" spans="1:16" x14ac:dyDescent="0.35">
      <c r="A12" t="s">
        <v>23</v>
      </c>
      <c r="B12">
        <v>0.19837115312233</v>
      </c>
      <c r="C12">
        <v>0.13331645834446909</v>
      </c>
      <c r="D12">
        <v>0.18523782993851709</v>
      </c>
      <c r="E12">
        <v>0.16012740979059559</v>
      </c>
      <c r="F12">
        <v>0.15553625193026691</v>
      </c>
      <c r="G12">
        <v>0.1859314388855336</v>
      </c>
      <c r="H12">
        <v>0.19823491920311459</v>
      </c>
      <c r="I12">
        <v>0.1890749277562401</v>
      </c>
      <c r="J12">
        <v>0.20278415249084161</v>
      </c>
      <c r="K12">
        <v>0.1671513626578785</v>
      </c>
      <c r="L12">
        <v>0.1519069083377608</v>
      </c>
      <c r="M12">
        <v>0.13540325735262651</v>
      </c>
      <c r="N12">
        <v>0.16597805793210571</v>
      </c>
      <c r="O12">
        <v>0.14872325423707361</v>
      </c>
      <c r="P12">
        <v>0.19966599506020191</v>
      </c>
    </row>
    <row r="13" spans="1:16" x14ac:dyDescent="0.35">
      <c r="A13" t="s">
        <v>39</v>
      </c>
      <c r="B13">
        <v>0.10492822048325171</v>
      </c>
      <c r="C13">
        <v>0.18452574197114571</v>
      </c>
      <c r="D13">
        <v>9.3818534533920944E-2</v>
      </c>
      <c r="E13">
        <v>-2.0550901420425201E-2</v>
      </c>
      <c r="F13">
        <v>-0.47437234346258422</v>
      </c>
      <c r="G13">
        <v>-0.13582455766329429</v>
      </c>
      <c r="H13">
        <v>-1.8584078043738631E-2</v>
      </c>
      <c r="I13">
        <v>-0.18813937935518019</v>
      </c>
      <c r="J13">
        <v>-0.74980079762844876</v>
      </c>
      <c r="K13">
        <v>-0.1899891429998716</v>
      </c>
      <c r="L13">
        <v>-0.31176041082201827</v>
      </c>
      <c r="M13">
        <v>-0.11480038088640319</v>
      </c>
      <c r="N13">
        <v>-0.63301438939231702</v>
      </c>
      <c r="O13">
        <v>-0.5532965144251637</v>
      </c>
      <c r="P13">
        <v>-0.4106782892112581</v>
      </c>
    </row>
    <row r="14" spans="1:16" x14ac:dyDescent="0.3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1.3179534630275319E-2</v>
      </c>
      <c r="K14">
        <v>3.3671563396980549E-3</v>
      </c>
      <c r="L14">
        <v>-1.3140439428290081E-2</v>
      </c>
      <c r="M14">
        <v>-1.3821980803434671E-2</v>
      </c>
      <c r="N14">
        <v>-8.1135749890228382E-4</v>
      </c>
      <c r="O14">
        <v>-1.539331447699992E-2</v>
      </c>
      <c r="P14">
        <v>-8.5022998779171674E-3</v>
      </c>
    </row>
    <row r="15" spans="1:16" x14ac:dyDescent="0.35">
      <c r="A15" t="s">
        <v>43</v>
      </c>
      <c r="B15">
        <v>-5.1697153847834999E-2</v>
      </c>
      <c r="C15">
        <v>-4.7509176970580831E-2</v>
      </c>
      <c r="D15">
        <v>-5.1214940409008293E-2</v>
      </c>
      <c r="E15">
        <v>-4.6459913605211393E-2</v>
      </c>
      <c r="F15">
        <v>-4.4904370788206228E-2</v>
      </c>
      <c r="G15">
        <v>-4.4769334547572433E-2</v>
      </c>
      <c r="H15">
        <v>-4.9893771864485091E-2</v>
      </c>
      <c r="I15">
        <v>-4.6056792403333317E-2</v>
      </c>
      <c r="J15">
        <v>-4.9258004078868392E-2</v>
      </c>
      <c r="K15">
        <v>-4.690335531316029E-2</v>
      </c>
      <c r="L15">
        <v>-4.8219862298301532E-2</v>
      </c>
      <c r="M15">
        <v>-5.9617428441113333E-2</v>
      </c>
      <c r="N15">
        <v>-5.0983826047741272E-2</v>
      </c>
      <c r="O15">
        <v>-6.1933071696878089E-2</v>
      </c>
      <c r="P15">
        <v>-4.3295049194031557E-2</v>
      </c>
    </row>
    <row r="16" spans="1:16" x14ac:dyDescent="0.35">
      <c r="A16" t="s">
        <v>52</v>
      </c>
      <c r="B16">
        <v>-0.24370049825442189</v>
      </c>
      <c r="C16">
        <v>-0.22420712231156439</v>
      </c>
      <c r="D16">
        <v>-0.17535363819973859</v>
      </c>
      <c r="E16">
        <v>-0.1147369029375529</v>
      </c>
      <c r="F16">
        <v>2.8462716310741178E-2</v>
      </c>
      <c r="G16">
        <v>0.16089247574615309</v>
      </c>
      <c r="H16">
        <v>8.9815552960376716E-2</v>
      </c>
      <c r="I16">
        <v>0.1034381326131372</v>
      </c>
      <c r="J16">
        <v>-7.081347111270489E-2</v>
      </c>
      <c r="K16">
        <v>2.2244051501126249E-2</v>
      </c>
      <c r="L16">
        <v>0.22402645620067671</v>
      </c>
      <c r="M16">
        <v>0.15505976220377851</v>
      </c>
      <c r="N16">
        <v>0.1985843916317552</v>
      </c>
      <c r="O16">
        <v>0.19118452589399301</v>
      </c>
      <c r="P16">
        <v>0.20470432748281381</v>
      </c>
    </row>
    <row r="17" spans="1:16" x14ac:dyDescent="0.35">
      <c r="A17" t="s">
        <v>54</v>
      </c>
      <c r="B17">
        <v>-0.17678922566216931</v>
      </c>
      <c r="C17">
        <v>-0.1504733156935508</v>
      </c>
      <c r="D17">
        <v>-9.3246496827315298E-2</v>
      </c>
      <c r="E17">
        <v>-7.8525031544211227E-2</v>
      </c>
      <c r="F17">
        <v>-7.9026292877328916E-2</v>
      </c>
      <c r="G17">
        <v>-0.11462637271784711</v>
      </c>
      <c r="H17">
        <v>-0.17433948980037561</v>
      </c>
      <c r="I17">
        <v>-0.21554884361131671</v>
      </c>
      <c r="J17">
        <v>-0.1608005194455035</v>
      </c>
      <c r="K17">
        <v>-0.18141072501605809</v>
      </c>
      <c r="L17">
        <v>-0.15717084859346619</v>
      </c>
      <c r="M17">
        <v>-0.16736573211921571</v>
      </c>
      <c r="N17">
        <v>-0.124546500768396</v>
      </c>
      <c r="O17">
        <v>-0.15137251875505151</v>
      </c>
      <c r="P17">
        <v>-0.10471736337885761</v>
      </c>
    </row>
    <row r="18" spans="1:16" x14ac:dyDescent="0.35">
      <c r="A18" t="s">
        <v>56</v>
      </c>
      <c r="B18">
        <v>0.35519812547564278</v>
      </c>
      <c r="C18">
        <v>0.24476568995912101</v>
      </c>
      <c r="D18">
        <v>0.15803808794114499</v>
      </c>
      <c r="E18">
        <v>-0.3018549999705144</v>
      </c>
      <c r="F18">
        <v>-0.70572052815075492</v>
      </c>
      <c r="G18">
        <v>-0.6371039369931516</v>
      </c>
      <c r="H18">
        <v>-0.26888319065175931</v>
      </c>
      <c r="I18">
        <v>-0.7192506910521822</v>
      </c>
      <c r="J18">
        <v>-0.21040617934074141</v>
      </c>
      <c r="K18">
        <v>-0.200202713580517</v>
      </c>
      <c r="L18">
        <v>0.34492602839646258</v>
      </c>
      <c r="M18">
        <v>0.97570299260534221</v>
      </c>
      <c r="N18">
        <v>1.4046200222079579</v>
      </c>
      <c r="O18">
        <v>1.606945465758143</v>
      </c>
      <c r="P18">
        <v>1.84306700461081</v>
      </c>
    </row>
    <row r="19" spans="1:16" x14ac:dyDescent="0.35">
      <c r="A19" t="s">
        <v>61</v>
      </c>
      <c r="B19">
        <v>0.1334779568015024</v>
      </c>
      <c r="C19">
        <v>0.15656900331805521</v>
      </c>
      <c r="D19">
        <v>0.13776031819859949</v>
      </c>
      <c r="E19">
        <v>0.1835913090038605</v>
      </c>
      <c r="F19">
        <v>0.4236499287973981</v>
      </c>
      <c r="G19">
        <v>0.235764128385345</v>
      </c>
      <c r="H19">
        <v>0.1445140836560202</v>
      </c>
      <c r="I19">
        <v>0.20049899233679089</v>
      </c>
      <c r="J19">
        <v>0.2329536801305708</v>
      </c>
      <c r="K19">
        <v>0.1247290016988577</v>
      </c>
      <c r="L19">
        <v>-4.4255264413496427E-2</v>
      </c>
      <c r="M19">
        <v>-0.13235519515062011</v>
      </c>
      <c r="N19">
        <v>-0.126960403303568</v>
      </c>
      <c r="O19">
        <v>-0.1254165851867402</v>
      </c>
      <c r="P19">
        <v>-0.1729342991876269</v>
      </c>
    </row>
    <row r="20" spans="1:16" x14ac:dyDescent="0.35">
      <c r="A20" t="s">
        <v>136</v>
      </c>
      <c r="B20">
        <v>0.41191792054824389</v>
      </c>
      <c r="C20">
        <v>0.38955430940865182</v>
      </c>
      <c r="D20">
        <v>0.4059534537621583</v>
      </c>
      <c r="E20">
        <v>0.26989799757305932</v>
      </c>
      <c r="F20">
        <v>0.2035265531489476</v>
      </c>
      <c r="G20">
        <v>0.1140793228151895</v>
      </c>
      <c r="H20">
        <v>0.1184501148924391</v>
      </c>
      <c r="I20">
        <v>-2.541066865872121E-2</v>
      </c>
      <c r="J20">
        <v>6.0346689461918568E-2</v>
      </c>
      <c r="K20">
        <v>3.1712026940473592E-2</v>
      </c>
      <c r="L20">
        <v>-7.8841860999274704E-3</v>
      </c>
      <c r="M20">
        <v>5.6888585892721277E-2</v>
      </c>
      <c r="N20">
        <v>0.1508203931283538</v>
      </c>
      <c r="O20">
        <v>0.29892535921219793</v>
      </c>
      <c r="P20">
        <v>0.1526969625166559</v>
      </c>
    </row>
    <row r="21" spans="1:16" x14ac:dyDescent="0.35">
      <c r="A21" t="s">
        <v>137</v>
      </c>
      <c r="B21">
        <v>1.003617279750074</v>
      </c>
      <c r="C21">
        <v>1.322369633170865</v>
      </c>
      <c r="D21">
        <v>1.5204616409364751</v>
      </c>
      <c r="E21">
        <v>0.8489442773676501</v>
      </c>
      <c r="F21">
        <v>-0.29530906031243381</v>
      </c>
      <c r="G21">
        <v>0.25163447096406338</v>
      </c>
      <c r="H21">
        <v>0.65160886796672912</v>
      </c>
      <c r="I21">
        <v>0.43213165127360748</v>
      </c>
      <c r="J21">
        <v>0.54649044542873071</v>
      </c>
      <c r="K21">
        <v>1.2241586889427649</v>
      </c>
      <c r="L21">
        <v>1.699272019703415</v>
      </c>
      <c r="M21">
        <v>2.7429306968388971</v>
      </c>
      <c r="N21">
        <v>2.667760329930843</v>
      </c>
      <c r="O21">
        <v>2.931945047979013</v>
      </c>
      <c r="P21">
        <v>3.135651132817856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workbookViewId="0"/>
  </sheetViews>
  <sheetFormatPr defaultRowHeight="14.5" x14ac:dyDescent="0.35"/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>
        <v>-5.3185295952984588E-3</v>
      </c>
      <c r="C2">
        <v>-8.7269701118202897E-3</v>
      </c>
      <c r="D2">
        <v>-3.351000916346979E-3</v>
      </c>
      <c r="E2">
        <v>-5.6004588719392734E-3</v>
      </c>
      <c r="F2">
        <v>-2.0623313542046931E-3</v>
      </c>
      <c r="G2">
        <v>-6.6507638074624013E-3</v>
      </c>
      <c r="H2">
        <v>-3.7813867443372098E-3</v>
      </c>
      <c r="I2">
        <v>-4.5144161448649059E-3</v>
      </c>
      <c r="J2">
        <v>-8.1078308659616721E-3</v>
      </c>
      <c r="K2">
        <v>-8.7275169732653601E-3</v>
      </c>
      <c r="L2">
        <v>-6.9523333191648844E-3</v>
      </c>
      <c r="M2">
        <v>-6.5006313625082697E-3</v>
      </c>
      <c r="N2">
        <v>-8.8344944726702467E-3</v>
      </c>
      <c r="O2">
        <v>-1.172389922494662E-2</v>
      </c>
      <c r="P2">
        <v>-1.192411567903527E-2</v>
      </c>
    </row>
    <row r="3" spans="1:16" x14ac:dyDescent="0.35">
      <c r="A3" t="s">
        <v>16</v>
      </c>
      <c r="B3">
        <v>-3.9852442284195329E-2</v>
      </c>
      <c r="C3">
        <v>-2.4201290332834281E-2</v>
      </c>
      <c r="D3">
        <v>-1.6748065893307029E-2</v>
      </c>
      <c r="E3">
        <v>-1.9031967658291921E-2</v>
      </c>
      <c r="F3">
        <v>-1.7866303128907381E-2</v>
      </c>
      <c r="G3">
        <v>-9.9727089791060968E-3</v>
      </c>
      <c r="H3">
        <v>-1.7386728218398741E-2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17</v>
      </c>
      <c r="B4">
        <v>-3.2100760530739091E-2</v>
      </c>
      <c r="C4">
        <v>-3.4843293170074022E-2</v>
      </c>
      <c r="D4">
        <v>-5.7024134890018938E-2</v>
      </c>
      <c r="E4">
        <v>-6.2812183953626477E-2</v>
      </c>
      <c r="F4">
        <v>-5.1533412762711443E-2</v>
      </c>
      <c r="G4">
        <v>-5.6600064028765738E-2</v>
      </c>
      <c r="H4">
        <v>-5.2914349424997113E-2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19</v>
      </c>
      <c r="B5">
        <v>-9.5259971727033238E-2</v>
      </c>
      <c r="C5">
        <v>-0.11766965691368129</v>
      </c>
      <c r="D5">
        <v>-8.4220433464694988E-2</v>
      </c>
      <c r="E5">
        <v>-7.6898073341604256E-2</v>
      </c>
      <c r="F5">
        <v>-6.798097919401544E-2</v>
      </c>
      <c r="G5">
        <v>-3.9657038705092143E-2</v>
      </c>
      <c r="H5">
        <v>-2.8183514704261451E-2</v>
      </c>
      <c r="I5">
        <v>-5.0353587258689277E-2</v>
      </c>
      <c r="J5">
        <v>-3.5261289776441267E-2</v>
      </c>
      <c r="K5">
        <v>-1.356982987668282E-2</v>
      </c>
      <c r="L5">
        <v>-1.5793234533958998E-2</v>
      </c>
      <c r="M5">
        <v>-1.1371811425356549E-2</v>
      </c>
      <c r="N5">
        <v>-1.2985903526610301E-2</v>
      </c>
      <c r="O5">
        <v>-9.6805533800747318E-3</v>
      </c>
      <c r="P5">
        <v>-8.5135461170831941E-3</v>
      </c>
    </row>
    <row r="6" spans="1:16" x14ac:dyDescent="0.35">
      <c r="A6" t="s">
        <v>22</v>
      </c>
      <c r="B6">
        <v>-1.0825742478388561E-2</v>
      </c>
      <c r="C6">
        <v>-1.320842336313734E-2</v>
      </c>
      <c r="D6">
        <v>-6.6571291085935477E-3</v>
      </c>
      <c r="E6">
        <v>-3.337912941274248E-3</v>
      </c>
      <c r="F6">
        <v>-3.4177054106259452E-3</v>
      </c>
      <c r="G6">
        <v>-9.3774004850741624E-3</v>
      </c>
      <c r="H6">
        <v>-1.279978257931203E-2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27</v>
      </c>
      <c r="B7">
        <v>0.3525522675649313</v>
      </c>
      <c r="C7">
        <v>0.38702515263753418</v>
      </c>
      <c r="D7">
        <v>0.33256690973680458</v>
      </c>
      <c r="E7">
        <v>0.37513828206222127</v>
      </c>
      <c r="F7">
        <v>0.41575407206479881</v>
      </c>
      <c r="G7">
        <v>0.44483881681483289</v>
      </c>
      <c r="H7">
        <v>0.51914742780294354</v>
      </c>
      <c r="I7">
        <v>1.214985609150816</v>
      </c>
      <c r="J7">
        <v>1.216167648167169</v>
      </c>
      <c r="K7">
        <v>1.4134183173750541</v>
      </c>
      <c r="L7">
        <v>1.44219587879524</v>
      </c>
      <c r="M7">
        <v>1.7271503802695189</v>
      </c>
      <c r="N7">
        <v>1.628655096253157</v>
      </c>
      <c r="O7">
        <v>1.653667938779644</v>
      </c>
      <c r="P7">
        <v>1.502999030765876</v>
      </c>
    </row>
    <row r="8" spans="1:16" x14ac:dyDescent="0.35">
      <c r="A8" t="s">
        <v>28</v>
      </c>
      <c r="B8">
        <v>0.16650515734498431</v>
      </c>
      <c r="C8">
        <v>0.21864621097537101</v>
      </c>
      <c r="D8">
        <v>0.17845230191130529</v>
      </c>
      <c r="E8">
        <v>0.19990714700416209</v>
      </c>
      <c r="F8">
        <v>0.16289294045678621</v>
      </c>
      <c r="G8">
        <v>0.19150896270037951</v>
      </c>
      <c r="H8">
        <v>0.23525604896554039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35</v>
      </c>
      <c r="B10">
        <v>-8.2252368325840139E-2</v>
      </c>
      <c r="C10">
        <v>-6.9989424332276604E-2</v>
      </c>
      <c r="D10">
        <v>-7.4296658926748152E-2</v>
      </c>
      <c r="E10">
        <v>-4.4065003463349559E-2</v>
      </c>
      <c r="F10">
        <v>-4.7647443573471879E-2</v>
      </c>
      <c r="G10">
        <v>-4.3509286441960511E-2</v>
      </c>
      <c r="H10">
        <v>-4.1831958423820648E-2</v>
      </c>
      <c r="I10">
        <v>-2.4840715658435372E-2</v>
      </c>
      <c r="J10">
        <v>8.1463193290141032E-3</v>
      </c>
      <c r="K10">
        <v>1.2986656247917241E-3</v>
      </c>
      <c r="L10">
        <v>-1.006104331728901E-2</v>
      </c>
      <c r="M10">
        <v>2.3797531383369559E-2</v>
      </c>
      <c r="N10">
        <v>5.2441114771896162E-2</v>
      </c>
      <c r="O10">
        <v>1.989812933568301E-2</v>
      </c>
      <c r="P10">
        <v>-2.8294012608335379E-2</v>
      </c>
    </row>
    <row r="11" spans="1:16" x14ac:dyDescent="0.35">
      <c r="A11" t="s">
        <v>37</v>
      </c>
      <c r="B11">
        <v>0</v>
      </c>
      <c r="C11">
        <v>0.3090081348552432</v>
      </c>
      <c r="D11">
        <v>0.53203986943495774</v>
      </c>
      <c r="E11">
        <v>0.50844155762380927</v>
      </c>
      <c r="F11">
        <v>2.9108900144056399E-2</v>
      </c>
      <c r="G11">
        <v>8.7642295150399369E-2</v>
      </c>
      <c r="H11">
        <v>0.1130370391591015</v>
      </c>
      <c r="I11">
        <v>-4.3992607165800543E-2</v>
      </c>
      <c r="J11">
        <v>-7.2088480575130495E-2</v>
      </c>
      <c r="K11">
        <v>0.1167899390719398</v>
      </c>
      <c r="L11">
        <v>0.1038951227448924</v>
      </c>
      <c r="M11">
        <v>0.21319795913625439</v>
      </c>
      <c r="N11">
        <v>0.21159617272683909</v>
      </c>
      <c r="O11">
        <v>0.27184653739372439</v>
      </c>
      <c r="P11">
        <v>0.31297665410466352</v>
      </c>
    </row>
    <row r="12" spans="1:16" x14ac:dyDescent="0.35">
      <c r="A12" t="s">
        <v>23</v>
      </c>
      <c r="B12">
        <v>0.16373152153447071</v>
      </c>
      <c r="C12">
        <v>0.1213188224036913</v>
      </c>
      <c r="D12">
        <v>0.14503776439249411</v>
      </c>
      <c r="E12">
        <v>0.103576969395935</v>
      </c>
      <c r="F12">
        <v>0.12564394806349119</v>
      </c>
      <c r="G12">
        <v>0.14437059216034759</v>
      </c>
      <c r="H12">
        <v>0.14840851689165749</v>
      </c>
      <c r="I12">
        <v>0.14301297406445579</v>
      </c>
      <c r="J12">
        <v>0.15779545721148081</v>
      </c>
      <c r="K12">
        <v>0.132009801263406</v>
      </c>
      <c r="L12">
        <v>0.14205502175052889</v>
      </c>
      <c r="M12">
        <v>0.14498805643714119</v>
      </c>
      <c r="N12">
        <v>0.1599949108707987</v>
      </c>
      <c r="O12">
        <v>0.13445935662505121</v>
      </c>
      <c r="P12">
        <v>0.1557348870297911</v>
      </c>
    </row>
    <row r="13" spans="1:16" x14ac:dyDescent="0.35">
      <c r="A13" t="s">
        <v>39</v>
      </c>
      <c r="B13">
        <v>0.25638711809678089</v>
      </c>
      <c r="C13">
        <v>0.28012947970120278</v>
      </c>
      <c r="D13">
        <v>0.29752781079873342</v>
      </c>
      <c r="E13">
        <v>0.25142167981844737</v>
      </c>
      <c r="F13">
        <v>-0.1689838472938448</v>
      </c>
      <c r="G13">
        <v>3.7745635120222311E-2</v>
      </c>
      <c r="H13">
        <v>7.7379580106409537E-2</v>
      </c>
      <c r="I13">
        <v>-0.1114393405227133</v>
      </c>
      <c r="J13">
        <v>-0.5193757388117205</v>
      </c>
      <c r="K13">
        <v>-4.3602352427745503E-2</v>
      </c>
      <c r="L13">
        <v>-0.17831138306586869</v>
      </c>
      <c r="M13">
        <v>-4.8987989263691342E-2</v>
      </c>
      <c r="N13">
        <v>-0.53332470393805642</v>
      </c>
      <c r="O13">
        <v>-0.4445349669638724</v>
      </c>
      <c r="P13">
        <v>-0.58434970684455345</v>
      </c>
    </row>
    <row r="14" spans="1:16" x14ac:dyDescent="0.3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2.206373141544624E-2</v>
      </c>
      <c r="K14">
        <v>1.285532308931096E-2</v>
      </c>
      <c r="L14">
        <v>1.0998384782485651E-2</v>
      </c>
      <c r="M14">
        <v>1.106369116830384E-2</v>
      </c>
      <c r="N14">
        <v>3.92887575529425E-3</v>
      </c>
      <c r="O14">
        <v>4.9705138617853516E-3</v>
      </c>
      <c r="P14">
        <v>-1.041582903640608E-4</v>
      </c>
    </row>
    <row r="15" spans="1:16" x14ac:dyDescent="0.35">
      <c r="A15" t="s">
        <v>43</v>
      </c>
      <c r="B15">
        <v>-7.1915686058996675E-2</v>
      </c>
      <c r="C15">
        <v>-5.0709088000584247E-2</v>
      </c>
      <c r="D15">
        <v>-3.4373252535872922E-2</v>
      </c>
      <c r="E15">
        <v>-4.9042006303618567E-2</v>
      </c>
      <c r="F15">
        <v>-4.3156222992318367E-2</v>
      </c>
      <c r="G15">
        <v>-5.2445011370212742E-2</v>
      </c>
      <c r="H15">
        <v>-5.4907086457455012E-2</v>
      </c>
      <c r="I15">
        <v>-4.890238269157101E-2</v>
      </c>
      <c r="J15">
        <v>-4.8412625543853879E-2</v>
      </c>
      <c r="K15">
        <v>-4.6419098230592218E-2</v>
      </c>
      <c r="L15">
        <v>-5.9075005064765047E-2</v>
      </c>
      <c r="M15">
        <v>-4.2873327169866533E-2</v>
      </c>
      <c r="N15">
        <v>-4.0820238563456838E-2</v>
      </c>
      <c r="O15">
        <v>-5.404086361257527E-2</v>
      </c>
      <c r="P15">
        <v>-4.677488571874177E-2</v>
      </c>
    </row>
    <row r="16" spans="1:16" x14ac:dyDescent="0.35">
      <c r="A16" t="s">
        <v>52</v>
      </c>
      <c r="B16">
        <v>-0.23292386902149739</v>
      </c>
      <c r="C16">
        <v>-0.44847244648166401</v>
      </c>
      <c r="D16">
        <v>-0.2317312474148184</v>
      </c>
      <c r="E16">
        <v>-0.44155894379689092</v>
      </c>
      <c r="F16">
        <v>-0.24506031032751749</v>
      </c>
      <c r="G16">
        <v>-0.30470560057328588</v>
      </c>
      <c r="H16">
        <v>-0.1592935070698302</v>
      </c>
      <c r="I16">
        <v>-0.1249678429811565</v>
      </c>
      <c r="J16">
        <v>0.18436770669889191</v>
      </c>
      <c r="K16">
        <v>0.20741013897606711</v>
      </c>
      <c r="L16">
        <v>0.3845926743535904</v>
      </c>
      <c r="M16">
        <v>0.3122612834200581</v>
      </c>
      <c r="N16">
        <v>0.40154744413667842</v>
      </c>
      <c r="O16">
        <v>0.57789702391025721</v>
      </c>
      <c r="P16">
        <v>0.39149327996597522</v>
      </c>
    </row>
    <row r="17" spans="1:16" x14ac:dyDescent="0.35">
      <c r="A17" t="s">
        <v>54</v>
      </c>
      <c r="B17">
        <v>-0.1173094701935459</v>
      </c>
      <c r="C17">
        <v>-0.15976627181015321</v>
      </c>
      <c r="D17">
        <v>-8.3644213911945611E-2</v>
      </c>
      <c r="E17">
        <v>-0.1071142672775833</v>
      </c>
      <c r="F17">
        <v>-6.6114704776850136E-2</v>
      </c>
      <c r="G17">
        <v>-7.0960493378178363E-2</v>
      </c>
      <c r="H17">
        <v>-7.1963083072583978E-2</v>
      </c>
      <c r="I17">
        <v>-6.8361652529756803E-2</v>
      </c>
      <c r="J17">
        <v>-7.4120355678367333E-2</v>
      </c>
      <c r="K17">
        <v>-8.4762084203189841E-2</v>
      </c>
      <c r="L17">
        <v>-9.4777454795125823E-2</v>
      </c>
      <c r="M17">
        <v>-9.6169240185287552E-2</v>
      </c>
      <c r="N17">
        <v>-8.6632423368115496E-2</v>
      </c>
      <c r="O17">
        <v>-7.6191525743240909E-2</v>
      </c>
      <c r="P17">
        <v>-8.6429250461425147E-2</v>
      </c>
    </row>
    <row r="18" spans="1:16" x14ac:dyDescent="0.35">
      <c r="A18" t="s">
        <v>56</v>
      </c>
      <c r="B18">
        <v>0.29447478517930481</v>
      </c>
      <c r="C18">
        <v>-0.15946689567564459</v>
      </c>
      <c r="D18">
        <v>0.51634570234941568</v>
      </c>
      <c r="E18">
        <v>0.38655311076382232</v>
      </c>
      <c r="F18">
        <v>0.58696696414820138</v>
      </c>
      <c r="G18">
        <v>1.3858238406164121</v>
      </c>
      <c r="H18">
        <v>1.2092281581456961</v>
      </c>
      <c r="I18">
        <v>0.88419217684523299</v>
      </c>
      <c r="J18">
        <v>0.71368541783195694</v>
      </c>
      <c r="K18">
        <v>0.2838012165934809</v>
      </c>
      <c r="L18">
        <v>0.4699192425306617</v>
      </c>
      <c r="M18">
        <v>0.42402640752704468</v>
      </c>
      <c r="N18">
        <v>0.99180610075320386</v>
      </c>
      <c r="O18">
        <v>0.91661944865774159</v>
      </c>
      <c r="P18">
        <v>1.1314231935240451</v>
      </c>
    </row>
    <row r="19" spans="1:16" x14ac:dyDescent="0.35">
      <c r="A19" t="s">
        <v>61</v>
      </c>
      <c r="B19">
        <v>0.14281386813958161</v>
      </c>
      <c r="C19">
        <v>0.10499055674517049</v>
      </c>
      <c r="D19">
        <v>4.9599647733541433E-2</v>
      </c>
      <c r="E19">
        <v>8.9687482110303834E-2</v>
      </c>
      <c r="F19">
        <v>0.16637367452841839</v>
      </c>
      <c r="G19">
        <v>3.4357415541287427E-2</v>
      </c>
      <c r="H19">
        <v>-1.4522548085461251E-3</v>
      </c>
      <c r="I19">
        <v>3.9326933241421197E-2</v>
      </c>
      <c r="J19">
        <v>4.9616549350002287E-2</v>
      </c>
      <c r="K19">
        <v>2.0969707311122129E-2</v>
      </c>
      <c r="L19">
        <v>1.428817476731528E-2</v>
      </c>
      <c r="M19">
        <v>-4.5691656617258609E-2</v>
      </c>
      <c r="N19">
        <v>-5.6230748828175393E-2</v>
      </c>
      <c r="O19">
        <v>-7.2861012646721984E-2</v>
      </c>
      <c r="P19">
        <v>-7.7310183832020499E-2</v>
      </c>
    </row>
    <row r="20" spans="1:16" x14ac:dyDescent="0.35">
      <c r="A20" t="s">
        <v>136</v>
      </c>
      <c r="B20">
        <v>-0.18247074453661161</v>
      </c>
      <c r="C20">
        <v>-0.13112633517451411</v>
      </c>
      <c r="D20">
        <v>1.8061671941359991E-2</v>
      </c>
      <c r="E20">
        <v>3.0756148123783689E-2</v>
      </c>
      <c r="F20">
        <v>0.1552025304984197</v>
      </c>
      <c r="G20">
        <v>0.19160423844790059</v>
      </c>
      <c r="H20">
        <v>0.33219269392373052</v>
      </c>
      <c r="I20">
        <v>0.12668519147069829</v>
      </c>
      <c r="J20">
        <v>0.13702623080930379</v>
      </c>
      <c r="K20">
        <v>2.2653983940593259E-2</v>
      </c>
      <c r="L20">
        <v>-2.134301318674181E-2</v>
      </c>
      <c r="M20">
        <v>0.1097611994415382</v>
      </c>
      <c r="N20">
        <v>0.29467899746319759</v>
      </c>
      <c r="O20">
        <v>0.25866940635981939</v>
      </c>
      <c r="P20">
        <v>0.40682284483010722</v>
      </c>
    </row>
    <row r="21" spans="1:16" x14ac:dyDescent="0.35">
      <c r="A21" t="s">
        <v>137</v>
      </c>
      <c r="B21">
        <v>0.50623513310790713</v>
      </c>
      <c r="C21">
        <v>0.20293826195182871</v>
      </c>
      <c r="D21">
        <v>1.477585541236266</v>
      </c>
      <c r="E21">
        <v>1.1360215592943059</v>
      </c>
      <c r="F21">
        <v>0.9281197690897045</v>
      </c>
      <c r="G21">
        <v>1.924013428782644</v>
      </c>
      <c r="H21">
        <v>2.190135813491537</v>
      </c>
      <c r="I21">
        <v>1.930830339819636</v>
      </c>
      <c r="J21">
        <v>1.7315027395617899</v>
      </c>
      <c r="K21">
        <v>2.0141262115342902</v>
      </c>
      <c r="L21">
        <v>2.1816310324417998</v>
      </c>
      <c r="M21">
        <v>2.71465185275926</v>
      </c>
      <c r="N21">
        <v>3.00582020003398</v>
      </c>
      <c r="O21">
        <v>3.1689955333522728</v>
      </c>
      <c r="P21">
        <v>3.0577500306688989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zoomScale="160" zoomScaleNormal="160" workbookViewId="0">
      <selection activeCell="L19" sqref="L19"/>
    </sheetView>
  </sheetViews>
  <sheetFormatPr defaultRowHeight="14.5" x14ac:dyDescent="0.35"/>
  <cols>
    <col min="1" max="1" width="32.6328125" bestFit="1" customWidth="1"/>
  </cols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>
        <v>-1.2244240961580419E-2</v>
      </c>
      <c r="C2">
        <v>-4.6053550583654316E-3</v>
      </c>
      <c r="D2">
        <v>-3.6217524339620258E-3</v>
      </c>
      <c r="E2">
        <v>-3.5540778225569588E-3</v>
      </c>
      <c r="F2">
        <v>-5.3627638533775088E-3</v>
      </c>
      <c r="G2">
        <v>-2.8525135983499829E-3</v>
      </c>
      <c r="H2">
        <v>-1.534667304809704E-2</v>
      </c>
      <c r="I2">
        <v>-9.465443147931376E-3</v>
      </c>
      <c r="J2">
        <v>-1.173621857250403E-2</v>
      </c>
      <c r="K2">
        <v>-1.001066342159871E-2</v>
      </c>
      <c r="L2">
        <v>-3.7249796698235792E-3</v>
      </c>
      <c r="M2">
        <v>-5.0147295777801118E-3</v>
      </c>
      <c r="N2">
        <v>-2.4891908370416351E-2</v>
      </c>
      <c r="O2">
        <v>-1.9872715358747069E-2</v>
      </c>
      <c r="P2">
        <v>-2.720330890528427E-2</v>
      </c>
    </row>
    <row r="3" spans="1:16" x14ac:dyDescent="0.35">
      <c r="A3" t="s">
        <v>16</v>
      </c>
      <c r="B3">
        <v>-3.058351337152997E-2</v>
      </c>
      <c r="C3">
        <v>-9.2080945110003514E-3</v>
      </c>
      <c r="D3">
        <v>-3.621207932358898E-3</v>
      </c>
      <c r="E3">
        <v>-1.065908028227667E-2</v>
      </c>
      <c r="F3">
        <v>-1.250849730619691E-2</v>
      </c>
      <c r="G3">
        <v>-8.5554819203995727E-3</v>
      </c>
      <c r="H3">
        <v>-4.3829105178801878E-3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17</v>
      </c>
      <c r="B4">
        <v>-1.2222586163601451E-2</v>
      </c>
      <c r="C4">
        <v>-3.2200901553641852E-2</v>
      </c>
      <c r="D4">
        <v>-4.7026227856387492E-2</v>
      </c>
      <c r="E4">
        <v>-8.1916916362768349E-2</v>
      </c>
      <c r="F4">
        <v>-4.9969453010816539E-2</v>
      </c>
      <c r="G4">
        <v>-9.6746945450138677E-2</v>
      </c>
      <c r="H4">
        <v>-6.1493013333023178E-2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19</v>
      </c>
      <c r="B5">
        <v>-2.5647345189720599E-2</v>
      </c>
      <c r="C5">
        <v>0</v>
      </c>
      <c r="D5">
        <v>-1.0839180194925319E-2</v>
      </c>
      <c r="E5">
        <v>-7.4331623286401647E-3</v>
      </c>
      <c r="F5">
        <v>-8.9122721603008669E-3</v>
      </c>
      <c r="G5">
        <v>-8.5175691306662894E-3</v>
      </c>
      <c r="H5">
        <v>-4.3705557349683266E-3</v>
      </c>
      <c r="I5">
        <v>-7.0965840244997481E-3</v>
      </c>
      <c r="J5">
        <v>-1.7593508185930262E-2</v>
      </c>
      <c r="K5">
        <v>-3.7529108777229381E-3</v>
      </c>
      <c r="L5">
        <v>-1.2415287275273871E-3</v>
      </c>
      <c r="M5">
        <v>0</v>
      </c>
      <c r="N5">
        <v>-4.1461259824161663E-3</v>
      </c>
      <c r="O5">
        <v>-4.9655825922545688E-3</v>
      </c>
      <c r="P5">
        <v>0</v>
      </c>
    </row>
    <row r="6" spans="1:16" x14ac:dyDescent="0.35">
      <c r="A6" t="s">
        <v>22</v>
      </c>
      <c r="B6">
        <v>-6.1025046374336587E-3</v>
      </c>
      <c r="C6">
        <v>-9.1924315262094762E-3</v>
      </c>
      <c r="D6">
        <v>-2.5272467523799309E-2</v>
      </c>
      <c r="E6">
        <v>-1.4152046042053921E-2</v>
      </c>
      <c r="F6">
        <v>-1.247167105113654E-2</v>
      </c>
      <c r="G6">
        <v>-1.135200032729851E-2</v>
      </c>
      <c r="H6">
        <v>-1.310675773978426E-2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27</v>
      </c>
      <c r="B7">
        <v>0.33918278223560372</v>
      </c>
      <c r="C7">
        <v>0.39003944913837468</v>
      </c>
      <c r="D7">
        <v>0.38996668349158081</v>
      </c>
      <c r="E7">
        <v>0.32619059612829598</v>
      </c>
      <c r="F7">
        <v>0.31373583958630952</v>
      </c>
      <c r="G7">
        <v>0.31345925750038522</v>
      </c>
      <c r="H7">
        <v>0.38711352933147891</v>
      </c>
      <c r="I7">
        <v>0.99520635555343173</v>
      </c>
      <c r="J7">
        <v>1.0057823863038799</v>
      </c>
      <c r="K7">
        <v>1.190408472306401</v>
      </c>
      <c r="L7">
        <v>1.1933133298065051</v>
      </c>
      <c r="M7">
        <v>1.2398595601001969</v>
      </c>
      <c r="N7">
        <v>1.028804326720459</v>
      </c>
      <c r="O7">
        <v>0.90063887205664228</v>
      </c>
      <c r="P7">
        <v>0.74164114019209582</v>
      </c>
    </row>
    <row r="8" spans="1:16" x14ac:dyDescent="0.35">
      <c r="A8" t="s">
        <v>28</v>
      </c>
      <c r="B8">
        <v>0.14334581505244171</v>
      </c>
      <c r="C8">
        <v>0.1497129580939752</v>
      </c>
      <c r="D8">
        <v>0.13925301696819939</v>
      </c>
      <c r="E8">
        <v>0.15275933044246201</v>
      </c>
      <c r="F8">
        <v>0.10339684053793401</v>
      </c>
      <c r="G8">
        <v>9.8462467450660326E-2</v>
      </c>
      <c r="H8">
        <v>0.16522882804132169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35</v>
      </c>
      <c r="B10">
        <v>-1.1883304382705839E-3</v>
      </c>
      <c r="C10">
        <v>2.2326195500297762E-2</v>
      </c>
      <c r="D10">
        <v>3.8682692908593302E-2</v>
      </c>
      <c r="E10">
        <v>5.1778585174231367E-2</v>
      </c>
      <c r="F10">
        <v>-3.8155611698222083E-2</v>
      </c>
      <c r="G10">
        <v>-2.8808359167101529E-2</v>
      </c>
      <c r="H10">
        <v>-9.6005585558926632E-2</v>
      </c>
      <c r="I10">
        <v>-1.603734860983947E-3</v>
      </c>
      <c r="J10">
        <v>2.887936581335936E-2</v>
      </c>
      <c r="K10">
        <v>6.9109931960309474E-3</v>
      </c>
      <c r="L10">
        <v>1.833903314684474E-3</v>
      </c>
      <c r="M10">
        <v>2.1643100264391119E-2</v>
      </c>
      <c r="N10">
        <v>1.412745142862456E-2</v>
      </c>
      <c r="O10">
        <v>-2.67286327608546E-2</v>
      </c>
      <c r="P10">
        <v>-4.399746054420145E-2</v>
      </c>
    </row>
    <row r="11" spans="1:16" x14ac:dyDescent="0.35">
      <c r="A11" t="s">
        <v>37</v>
      </c>
      <c r="B11">
        <v>0</v>
      </c>
      <c r="C11">
        <v>0.38530952464554108</v>
      </c>
      <c r="D11">
        <v>0.54150130436324595</v>
      </c>
      <c r="E11">
        <v>0.5768986974213558</v>
      </c>
      <c r="F11">
        <v>-2.1557608001999511E-2</v>
      </c>
      <c r="G11">
        <v>-2.0553717644284809E-2</v>
      </c>
      <c r="H11">
        <v>-2.480512257735145E-2</v>
      </c>
      <c r="I11">
        <v>-0.1175091351274983</v>
      </c>
      <c r="J11">
        <v>-0.2243355954484047</v>
      </c>
      <c r="K11">
        <v>-8.2891503463035601E-2</v>
      </c>
      <c r="L11">
        <v>-6.0232608854456169E-3</v>
      </c>
      <c r="M11">
        <v>5.7317977172602786E-4</v>
      </c>
      <c r="N11">
        <v>9.4778563984372968E-2</v>
      </c>
      <c r="O11">
        <v>9.3802153117103604E-2</v>
      </c>
      <c r="P11">
        <v>0.13406493156561181</v>
      </c>
    </row>
    <row r="12" spans="1:16" x14ac:dyDescent="0.35">
      <c r="A12" t="s">
        <v>23</v>
      </c>
      <c r="B12">
        <v>0.14645790620223059</v>
      </c>
      <c r="C12">
        <v>0.1264969795316235</v>
      </c>
      <c r="D12">
        <v>9.8276220414227927E-2</v>
      </c>
      <c r="E12">
        <v>6.393613760417842E-2</v>
      </c>
      <c r="F12">
        <v>0.15102997810655061</v>
      </c>
      <c r="G12">
        <v>0.1914904981344514</v>
      </c>
      <c r="H12">
        <v>0.18987549608182991</v>
      </c>
      <c r="I12">
        <v>0.17547379785539199</v>
      </c>
      <c r="J12">
        <v>0.1502302968174363</v>
      </c>
      <c r="K12">
        <v>0.19335749246110301</v>
      </c>
      <c r="L12">
        <v>0.17744342213022529</v>
      </c>
      <c r="M12">
        <v>0.16510657238099871</v>
      </c>
      <c r="N12">
        <v>0.1460933958991571</v>
      </c>
      <c r="O12">
        <v>0.17915454195296529</v>
      </c>
      <c r="P12">
        <v>0.11753164386815131</v>
      </c>
    </row>
    <row r="13" spans="1:16" x14ac:dyDescent="0.35">
      <c r="A13" t="s">
        <v>39</v>
      </c>
      <c r="B13">
        <v>0.36267736065430017</v>
      </c>
      <c r="C13">
        <v>0.41629488210781268</v>
      </c>
      <c r="D13">
        <v>0.22498963079632359</v>
      </c>
      <c r="E13">
        <v>0.3557361486869437</v>
      </c>
      <c r="F13">
        <v>-2.0759497690582818E-2</v>
      </c>
      <c r="G13">
        <v>7.1166146206250169E-2</v>
      </c>
      <c r="H13">
        <v>0.13811985185136261</v>
      </c>
      <c r="I13">
        <v>-0.2021034826658529</v>
      </c>
      <c r="J13">
        <v>-0.84524423045449137</v>
      </c>
      <c r="K13">
        <v>-0.27859559328472372</v>
      </c>
      <c r="L13">
        <v>-0.44345478967091229</v>
      </c>
      <c r="M13">
        <v>-0.39698933996698432</v>
      </c>
      <c r="N13">
        <v>-0.86331638865585203</v>
      </c>
      <c r="O13">
        <v>-0.74289806504165701</v>
      </c>
      <c r="P13">
        <v>-0.58923745105285108</v>
      </c>
    </row>
    <row r="14" spans="1:16" x14ac:dyDescent="0.3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1.410048626870531E-2</v>
      </c>
      <c r="K14">
        <v>3.017712449290615E-2</v>
      </c>
      <c r="L14">
        <v>2.6825189716597728E-2</v>
      </c>
      <c r="M14">
        <v>1.864308281872205E-2</v>
      </c>
      <c r="N14">
        <v>8.6594365149405723E-3</v>
      </c>
      <c r="O14">
        <v>-3.449840006644926E-3</v>
      </c>
      <c r="P14">
        <v>-7.8476717924735387E-3</v>
      </c>
    </row>
    <row r="15" spans="1:16" x14ac:dyDescent="0.35">
      <c r="A15" t="s">
        <v>43</v>
      </c>
      <c r="B15">
        <v>-6.2748729914968021E-2</v>
      </c>
      <c r="C15">
        <v>-7.6639922386213283E-2</v>
      </c>
      <c r="D15">
        <v>-3.0107142870060919E-2</v>
      </c>
      <c r="E15">
        <v>-3.2445824968168807E-2</v>
      </c>
      <c r="F15">
        <v>-5.217539517500229E-2</v>
      </c>
      <c r="G15">
        <v>-6.1381814789523988E-2</v>
      </c>
      <c r="H15">
        <v>-5.0384804351399977E-2</v>
      </c>
      <c r="I15">
        <v>-7.7131404295602959E-2</v>
      </c>
      <c r="J15">
        <v>-4.0330607837433738E-2</v>
      </c>
      <c r="K15">
        <v>-5.7050378621483773E-2</v>
      </c>
      <c r="L15">
        <v>-5.4705049304706863E-2</v>
      </c>
      <c r="M15">
        <v>-5.0135575547262543E-2</v>
      </c>
      <c r="N15">
        <v>-4.9695291382246369E-2</v>
      </c>
      <c r="O15">
        <v>-6.036953237313529E-2</v>
      </c>
      <c r="P15">
        <v>-4.3588160772554223E-2</v>
      </c>
    </row>
    <row r="16" spans="1:16" x14ac:dyDescent="0.35">
      <c r="A16" t="s">
        <v>52</v>
      </c>
      <c r="B16">
        <v>0.23025457371966379</v>
      </c>
      <c r="C16">
        <v>7.82684584179901E-2</v>
      </c>
      <c r="D16">
        <v>0.12660156233486339</v>
      </c>
      <c r="E16">
        <v>-0.118619872681507</v>
      </c>
      <c r="F16">
        <v>4.8509556078368467E-2</v>
      </c>
      <c r="G16">
        <v>0.21815182550325171</v>
      </c>
      <c r="H16">
        <v>0.26119111593077732</v>
      </c>
      <c r="I16">
        <v>0.38950938432787152</v>
      </c>
      <c r="J16">
        <v>0.21266016047332739</v>
      </c>
      <c r="K16">
        <v>0.20656240968771189</v>
      </c>
      <c r="L16">
        <v>0.26808392837118078</v>
      </c>
      <c r="M16">
        <v>0.18435406112486449</v>
      </c>
      <c r="N16">
        <v>0.26131946159763708</v>
      </c>
      <c r="O16">
        <v>6.0317878702291688E-2</v>
      </c>
      <c r="P16">
        <v>5.1967013655802316E-3</v>
      </c>
    </row>
    <row r="17" spans="1:16" x14ac:dyDescent="0.35">
      <c r="A17" t="s">
        <v>54</v>
      </c>
      <c r="B17">
        <v>-0.17026321697136629</v>
      </c>
      <c r="C17">
        <v>-0.1675434453129519</v>
      </c>
      <c r="D17">
        <v>-0.101477924914114</v>
      </c>
      <c r="E17">
        <v>-5.867121491633677E-2</v>
      </c>
      <c r="F17">
        <v>-5.3005161406007993E-2</v>
      </c>
      <c r="G17">
        <v>-5.9273874970468793E-2</v>
      </c>
      <c r="H17">
        <v>-3.9669400000745703E-2</v>
      </c>
      <c r="I17">
        <v>-5.402062010676572E-2</v>
      </c>
      <c r="J17">
        <v>-6.3327726530166994E-2</v>
      </c>
      <c r="K17">
        <v>-7.8958927502318754E-2</v>
      </c>
      <c r="L17">
        <v>-0.1040368099874717</v>
      </c>
      <c r="M17">
        <v>-9.778269924787121E-2</v>
      </c>
      <c r="N17">
        <v>-0.1229502479878062</v>
      </c>
      <c r="O17">
        <v>-0.115563346965095</v>
      </c>
      <c r="P17">
        <v>-0.14349474689318281</v>
      </c>
    </row>
    <row r="18" spans="1:16" x14ac:dyDescent="0.35">
      <c r="A18" t="s">
        <v>56</v>
      </c>
      <c r="B18">
        <v>0.77447446176817203</v>
      </c>
      <c r="C18">
        <v>2.1154429878323361E-2</v>
      </c>
      <c r="D18">
        <v>0.52256867662952045</v>
      </c>
      <c r="E18">
        <v>0.70991500278286146</v>
      </c>
      <c r="F18">
        <v>1.1098834789121319</v>
      </c>
      <c r="G18">
        <v>2.0864843007377649</v>
      </c>
      <c r="H18">
        <v>2.6279834658906012</v>
      </c>
      <c r="I18">
        <v>1.87860517551664</v>
      </c>
      <c r="J18">
        <v>2.131291480329911</v>
      </c>
      <c r="K18">
        <v>1.4510592780558671</v>
      </c>
      <c r="L18">
        <v>2.157587131387122</v>
      </c>
      <c r="M18">
        <v>0.77364061375525128</v>
      </c>
      <c r="N18">
        <v>1.8567853507898759</v>
      </c>
      <c r="O18">
        <v>2.2908725339642841</v>
      </c>
      <c r="P18">
        <v>2.431277355570598</v>
      </c>
    </row>
    <row r="19" spans="1:16" x14ac:dyDescent="0.35">
      <c r="A19" t="s">
        <v>61</v>
      </c>
      <c r="B19">
        <v>-7.0141344592421079E-2</v>
      </c>
      <c r="C19">
        <v>6.0136377296003872E-2</v>
      </c>
      <c r="D19">
        <v>-5.5333290484658938E-2</v>
      </c>
      <c r="E19">
        <v>9.9899957294543144E-3</v>
      </c>
      <c r="F19">
        <v>0.11811242930962471</v>
      </c>
      <c r="G19">
        <v>-0.13825498722303639</v>
      </c>
      <c r="H19">
        <v>-0.20483386178552071</v>
      </c>
      <c r="I19">
        <v>-8.1661541800983409E-2</v>
      </c>
      <c r="J19">
        <v>-8.3680969107392839E-2</v>
      </c>
      <c r="K19">
        <v>-9.5669267074859871E-2</v>
      </c>
      <c r="L19">
        <v>-0.28556978473136518</v>
      </c>
      <c r="M19">
        <v>4.9777977946805538E-2</v>
      </c>
      <c r="N19">
        <v>-6.6467416161372958E-2</v>
      </c>
      <c r="O19">
        <v>-0.1084419302874423</v>
      </c>
      <c r="P19">
        <v>-0.1325648245633565</v>
      </c>
    </row>
    <row r="20" spans="1:16" x14ac:dyDescent="0.35">
      <c r="A20" t="s">
        <v>136</v>
      </c>
      <c r="B20">
        <v>-2.2989845780483579E-2</v>
      </c>
      <c r="C20">
        <v>-0.189241202765394</v>
      </c>
      <c r="D20">
        <v>-8.0312025501996009E-2</v>
      </c>
      <c r="E20">
        <v>-1.7462761732876642E-2</v>
      </c>
      <c r="F20">
        <v>2.0456225345697021E-2</v>
      </c>
      <c r="G20">
        <v>2.921764234752899E-2</v>
      </c>
      <c r="H20">
        <v>1.074314380931529E-2</v>
      </c>
      <c r="I20">
        <v>2.247061083145141E-2</v>
      </c>
      <c r="J20">
        <v>2.6709694765337581E-2</v>
      </c>
      <c r="K20">
        <v>-3.738825838290083E-2</v>
      </c>
      <c r="L20">
        <v>4.0289187107536151E-2</v>
      </c>
      <c r="M20">
        <v>-8.5489657562443533E-2</v>
      </c>
      <c r="N20">
        <v>2.9908381083584509E-2</v>
      </c>
      <c r="O20">
        <v>1.212502843055407E-3</v>
      </c>
      <c r="P20">
        <v>-2.781696035116887E-2</v>
      </c>
    </row>
    <row r="21" spans="1:16" x14ac:dyDescent="0.35">
      <c r="A21" t="s">
        <v>137</v>
      </c>
      <c r="B21">
        <v>1.582261241611036</v>
      </c>
      <c r="C21">
        <v>1.1611079014961661</v>
      </c>
      <c r="D21">
        <v>1.7242285681942919</v>
      </c>
      <c r="E21">
        <v>1.902289536832598</v>
      </c>
      <c r="F21">
        <v>1.590246416522973</v>
      </c>
      <c r="G21">
        <v>2.5721348736590239</v>
      </c>
      <c r="H21">
        <v>3.2658567462889891</v>
      </c>
      <c r="I21">
        <v>2.9106733780546681</v>
      </c>
      <c r="J21">
        <v>2.2834050146356328</v>
      </c>
      <c r="K21">
        <v>2.4341582675713771</v>
      </c>
      <c r="L21">
        <v>2.9666198888565991</v>
      </c>
      <c r="M21">
        <v>1.818186146260615</v>
      </c>
      <c r="N21">
        <v>2.3090089894785422</v>
      </c>
      <c r="O21">
        <v>2.443708837250512</v>
      </c>
      <c r="P21">
        <v>2.4139611876869651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"/>
  <sheetViews>
    <sheetView workbookViewId="0"/>
  </sheetViews>
  <sheetFormatPr defaultRowHeight="14.5" x14ac:dyDescent="0.35"/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>
        <v>-2.9775235809893861E-3</v>
      </c>
      <c r="C2">
        <v>-2.125707033570564E-3</v>
      </c>
      <c r="D2">
        <v>-3.7877191552479158E-3</v>
      </c>
      <c r="E2">
        <v>-1.3831447844713479E-3</v>
      </c>
      <c r="F2">
        <v>-5.349561064610488E-3</v>
      </c>
      <c r="G2">
        <v>-3.6942889758481731E-3</v>
      </c>
      <c r="H2">
        <v>-3.427712020892028E-3</v>
      </c>
      <c r="I2">
        <v>-3.783377174374171E-3</v>
      </c>
      <c r="J2">
        <v>-4.4612692822172994E-3</v>
      </c>
      <c r="K2">
        <v>-3.451398441690809E-3</v>
      </c>
      <c r="L2">
        <v>-5.4688299380786856E-3</v>
      </c>
      <c r="M2">
        <v>-8.3265800213673611E-3</v>
      </c>
      <c r="N2">
        <v>-1.557680473783093E-2</v>
      </c>
      <c r="O2">
        <v>-4.0166189643624457E-2</v>
      </c>
      <c r="P2">
        <v>-3.6146989436457028E-2</v>
      </c>
    </row>
    <row r="3" spans="1:16" x14ac:dyDescent="0.3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17</v>
      </c>
      <c r="B4">
        <v>-0.14317139566947321</v>
      </c>
      <c r="C4">
        <v>-0.1399078586761531</v>
      </c>
      <c r="D4">
        <v>-0.1683610281457269</v>
      </c>
      <c r="E4">
        <v>-0.17160316616487351</v>
      </c>
      <c r="F4">
        <v>-0.104091911749615</v>
      </c>
      <c r="G4">
        <v>-8.7975358700609241E-2</v>
      </c>
      <c r="H4">
        <v>-0.15036224843690571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22</v>
      </c>
      <c r="B6">
        <v>-4.4375988488717842E-2</v>
      </c>
      <c r="C6">
        <v>-5.216347184378211E-2</v>
      </c>
      <c r="D6">
        <v>-5.1267958101527129E-2</v>
      </c>
      <c r="E6">
        <v>-3.7882290731752928E-2</v>
      </c>
      <c r="F6">
        <v>-2.356160076582773E-2</v>
      </c>
      <c r="G6">
        <v>-3.2058466235577052E-2</v>
      </c>
      <c r="H6">
        <v>-3.071439425830081E-2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27</v>
      </c>
      <c r="B7">
        <v>4.4435207269730069E-2</v>
      </c>
      <c r="C7">
        <v>7.1478937214636842E-2</v>
      </c>
      <c r="D7">
        <v>8.6132045573849764E-2</v>
      </c>
      <c r="E7">
        <v>0.16954578137147991</v>
      </c>
      <c r="F7">
        <v>0.13255723379611381</v>
      </c>
      <c r="G7">
        <v>0.19068830538045409</v>
      </c>
      <c r="H7">
        <v>0.25020026562650471</v>
      </c>
      <c r="I7">
        <v>0.73376855138423402</v>
      </c>
      <c r="J7">
        <v>0.92412209780725341</v>
      </c>
      <c r="K7">
        <v>1.348541950038568</v>
      </c>
      <c r="L7">
        <v>1.464713837247831</v>
      </c>
      <c r="M7">
        <v>1.703103675272958</v>
      </c>
      <c r="N7">
        <v>1.6326696179300451</v>
      </c>
      <c r="O7">
        <v>1.292265466394739</v>
      </c>
      <c r="P7">
        <v>1.225894554752373</v>
      </c>
    </row>
    <row r="8" spans="1:16" x14ac:dyDescent="0.35">
      <c r="A8" t="s">
        <v>28</v>
      </c>
      <c r="B8">
        <v>-0.15450609308197491</v>
      </c>
      <c r="C8">
        <v>-0.13354802533032631</v>
      </c>
      <c r="D8">
        <v>-0.1245998675808605</v>
      </c>
      <c r="E8">
        <v>4.5261331616440081E-2</v>
      </c>
      <c r="F8">
        <v>0.1090488759715413</v>
      </c>
      <c r="G8">
        <v>0.1507045652062608</v>
      </c>
      <c r="H8">
        <v>0.22982647658252561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35</v>
      </c>
      <c r="B10">
        <v>-0.18327277864485189</v>
      </c>
      <c r="C10">
        <v>-0.21352557001158631</v>
      </c>
      <c r="D10">
        <v>-0.21213990545247491</v>
      </c>
      <c r="E10">
        <v>-0.12555882786353331</v>
      </c>
      <c r="F10">
        <v>-0.12595635901631189</v>
      </c>
      <c r="G10">
        <v>-0.16481106000669579</v>
      </c>
      <c r="H10">
        <v>-0.13134355027249589</v>
      </c>
      <c r="I10">
        <v>-0.1291879513583476</v>
      </c>
      <c r="J10">
        <v>-7.5413567838242046E-2</v>
      </c>
      <c r="K10">
        <v>-0.1029673995749598</v>
      </c>
      <c r="L10">
        <v>-0.11584700015575761</v>
      </c>
      <c r="M10">
        <v>-0.1053814209784833</v>
      </c>
      <c r="N10">
        <v>-6.7299383954278147E-2</v>
      </c>
      <c r="O10">
        <v>-0.14432505390448019</v>
      </c>
      <c r="P10">
        <v>-0.1182693088437749</v>
      </c>
    </row>
    <row r="11" spans="1:16" x14ac:dyDescent="0.35">
      <c r="A11" t="s">
        <v>37</v>
      </c>
      <c r="B11">
        <v>0</v>
      </c>
      <c r="C11">
        <v>0.253323592381415</v>
      </c>
      <c r="D11">
        <v>0.52042708752848088</v>
      </c>
      <c r="E11">
        <v>0.56958627413803053</v>
      </c>
      <c r="F11">
        <v>-0.1243023123432013</v>
      </c>
      <c r="G11">
        <v>-0.1088415837706032</v>
      </c>
      <c r="H11">
        <v>-0.1367228094670937</v>
      </c>
      <c r="I11">
        <v>-0.25868478934373079</v>
      </c>
      <c r="J11">
        <v>-0.31011625972539147</v>
      </c>
      <c r="K11">
        <v>-9.3407549301439213E-2</v>
      </c>
      <c r="L11">
        <v>-5.6862120662453233E-2</v>
      </c>
      <c r="M11">
        <v>9.950215465872643E-2</v>
      </c>
      <c r="N11">
        <v>0.17625675427418541</v>
      </c>
      <c r="O11">
        <v>0.19681190465260129</v>
      </c>
      <c r="P11">
        <v>0.18683472042389429</v>
      </c>
    </row>
    <row r="12" spans="1:16" x14ac:dyDescent="0.3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39</v>
      </c>
      <c r="B13">
        <v>-0.10916969496194701</v>
      </c>
      <c r="C13">
        <v>0.1294890243975913</v>
      </c>
      <c r="D13">
        <v>0.10719033177516089</v>
      </c>
      <c r="E13">
        <v>6.4432026836716933E-3</v>
      </c>
      <c r="F13">
        <v>-0.38965059816620512</v>
      </c>
      <c r="G13">
        <v>-0.20641517607763379</v>
      </c>
      <c r="H13">
        <v>-0.25956429861055202</v>
      </c>
      <c r="I13">
        <v>-0.5029892616201016</v>
      </c>
      <c r="J13">
        <v>-1.085276934169231</v>
      </c>
      <c r="K13">
        <v>-0.47292435630794522</v>
      </c>
      <c r="L13">
        <v>-0.52295749113148426</v>
      </c>
      <c r="M13">
        <v>-0.28436951392242088</v>
      </c>
      <c r="N13">
        <v>-0.92457061674671537</v>
      </c>
      <c r="O13">
        <v>-0.93657126841874272</v>
      </c>
      <c r="P13">
        <v>-0.64471191079456436</v>
      </c>
    </row>
    <row r="14" spans="1:16" x14ac:dyDescent="0.3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1.9963059089117989E-2</v>
      </c>
      <c r="K14">
        <v>2.0523039240035741E-2</v>
      </c>
      <c r="L14">
        <v>1.015089918537908E-2</v>
      </c>
      <c r="M14">
        <v>1.33783626370451E-2</v>
      </c>
      <c r="N14">
        <v>1.4235422185186161E-2</v>
      </c>
      <c r="O14">
        <v>2.1444246246344429E-3</v>
      </c>
      <c r="P14">
        <v>7.8772777781196575E-3</v>
      </c>
    </row>
    <row r="15" spans="1:16" x14ac:dyDescent="0.35">
      <c r="A15" t="s">
        <v>43</v>
      </c>
      <c r="B15">
        <v>-2.941290998239279E-2</v>
      </c>
      <c r="C15">
        <v>-4.6560114269731112E-2</v>
      </c>
      <c r="D15">
        <v>-5.2423295091077023E-2</v>
      </c>
      <c r="E15">
        <v>-4.8555271487527828E-2</v>
      </c>
      <c r="F15">
        <v>-3.8327863376152023E-2</v>
      </c>
      <c r="G15">
        <v>-3.8838831919085597E-2</v>
      </c>
      <c r="H15">
        <v>-4.6027911061781328E-2</v>
      </c>
      <c r="I15">
        <v>-4.2907158103256689E-2</v>
      </c>
      <c r="J15">
        <v>-3.5794501075118342E-2</v>
      </c>
      <c r="K15">
        <v>-4.4546698151193193E-2</v>
      </c>
      <c r="L15">
        <v>-3.9012333168248543E-2</v>
      </c>
      <c r="M15">
        <v>-4.3825539877569472E-2</v>
      </c>
      <c r="N15">
        <v>-3.5545038327425837E-2</v>
      </c>
      <c r="O15">
        <v>-4.4543761574924762E-2</v>
      </c>
      <c r="P15">
        <v>-3.2569046485091388E-2</v>
      </c>
    </row>
    <row r="16" spans="1:16" x14ac:dyDescent="0.35">
      <c r="A16" t="s">
        <v>52</v>
      </c>
      <c r="B16">
        <v>-7.7491937895711849E-2</v>
      </c>
      <c r="C16">
        <v>-0.1149627617057626</v>
      </c>
      <c r="D16">
        <v>-9.9574161161393962E-2</v>
      </c>
      <c r="E16">
        <v>0.17364261639418779</v>
      </c>
      <c r="F16">
        <v>0.36829572637901059</v>
      </c>
      <c r="G16">
        <v>0.36938604311860679</v>
      </c>
      <c r="H16">
        <v>0.33045604265742262</v>
      </c>
      <c r="I16">
        <v>0.2151709361456737</v>
      </c>
      <c r="J16">
        <v>-1.954592847127931E-3</v>
      </c>
      <c r="K16">
        <v>0.1481449929590942</v>
      </c>
      <c r="L16">
        <v>0.1679990987191719</v>
      </c>
      <c r="M16">
        <v>4.6948868656661639E-2</v>
      </c>
      <c r="N16">
        <v>0.1681798649262472</v>
      </c>
      <c r="O16">
        <v>-4.9076640219669232E-2</v>
      </c>
      <c r="P16">
        <v>8.2042810606183153E-2</v>
      </c>
    </row>
    <row r="17" spans="1:16" x14ac:dyDescent="0.35">
      <c r="A17" t="s">
        <v>54</v>
      </c>
      <c r="B17">
        <v>-4.2821988638005792E-2</v>
      </c>
      <c r="C17">
        <v>-4.6951283136493598E-2</v>
      </c>
      <c r="D17">
        <v>-4.8024325638662442E-2</v>
      </c>
      <c r="E17">
        <v>-3.3370576489742468E-2</v>
      </c>
      <c r="F17">
        <v>-3.9772172600900088E-2</v>
      </c>
      <c r="G17">
        <v>-3.8310378565716473E-2</v>
      </c>
      <c r="H17">
        <v>-4.6733577630873227E-2</v>
      </c>
      <c r="I17">
        <v>-4.4156836058227823E-2</v>
      </c>
      <c r="J17">
        <v>-4.3940675430531803E-2</v>
      </c>
      <c r="K17">
        <v>-4.8356851952777273E-2</v>
      </c>
      <c r="L17">
        <v>-5.5274412778782901E-2</v>
      </c>
      <c r="M17">
        <v>-5.2974084417854221E-2</v>
      </c>
      <c r="N17">
        <v>-5.6062874051019153E-2</v>
      </c>
      <c r="O17">
        <v>-4.9103999208294627E-2</v>
      </c>
      <c r="P17">
        <v>-3.6680313225718138E-2</v>
      </c>
    </row>
    <row r="18" spans="1:16" x14ac:dyDescent="0.35">
      <c r="A18" t="s">
        <v>56</v>
      </c>
      <c r="B18">
        <v>-1.2874086879373361</v>
      </c>
      <c r="C18">
        <v>-1.1062646605355571</v>
      </c>
      <c r="D18">
        <v>-0.95106231718637013</v>
      </c>
      <c r="E18">
        <v>-0.34467934298908037</v>
      </c>
      <c r="F18">
        <v>-0.74210275368645096</v>
      </c>
      <c r="G18">
        <v>-0.73697788324679059</v>
      </c>
      <c r="H18">
        <v>-0.86344257206913055</v>
      </c>
      <c r="I18">
        <v>-0.55760331097192628</v>
      </c>
      <c r="J18">
        <v>-0.81426401355876166</v>
      </c>
      <c r="K18">
        <v>-0.76823098736354156</v>
      </c>
      <c r="L18">
        <v>-0.96259496497210084</v>
      </c>
      <c r="M18">
        <v>-0.47450411337559989</v>
      </c>
      <c r="N18">
        <v>-5.1525553638088917E-2</v>
      </c>
      <c r="O18">
        <v>1.371931850060306E-2</v>
      </c>
      <c r="P18">
        <v>-0.104855426533372</v>
      </c>
    </row>
    <row r="19" spans="1:16" x14ac:dyDescent="0.35">
      <c r="A19" t="s">
        <v>61</v>
      </c>
      <c r="B19">
        <v>0.2210415502261748</v>
      </c>
      <c r="C19">
        <v>0.18881882075280221</v>
      </c>
      <c r="D19">
        <v>0.1425705044722031</v>
      </c>
      <c r="E19">
        <v>7.2611796744403892E-2</v>
      </c>
      <c r="F19">
        <v>0.1705328070187147</v>
      </c>
      <c r="G19">
        <v>0.18488734569336679</v>
      </c>
      <c r="H19">
        <v>0.16224152686626109</v>
      </c>
      <c r="I19">
        <v>0.1275346020809682</v>
      </c>
      <c r="J19">
        <v>0.2201255281643292</v>
      </c>
      <c r="K19">
        <v>0.13179940033743839</v>
      </c>
      <c r="L19">
        <v>0.13551394819887699</v>
      </c>
      <c r="M19">
        <v>5.4857728418440541E-2</v>
      </c>
      <c r="N19">
        <v>5.3986086457518179E-2</v>
      </c>
      <c r="O19">
        <v>8.8226564457309059E-2</v>
      </c>
      <c r="P19">
        <v>3.1438968441741898E-2</v>
      </c>
    </row>
    <row r="20" spans="1:16" x14ac:dyDescent="0.35">
      <c r="A20" t="s">
        <v>136</v>
      </c>
      <c r="B20">
        <v>5.4039629339226458E-2</v>
      </c>
      <c r="C20">
        <v>6.9186962994645773E-2</v>
      </c>
      <c r="D20">
        <v>4.8800634295397272E-2</v>
      </c>
      <c r="E20">
        <v>7.5069421239874257E-2</v>
      </c>
      <c r="F20">
        <v>0.1096968837950265</v>
      </c>
      <c r="G20">
        <v>7.6374685670251852E-2</v>
      </c>
      <c r="H20">
        <v>4.2167805527662423E-2</v>
      </c>
      <c r="I20">
        <v>2.378196492562823E-2</v>
      </c>
      <c r="J20">
        <v>9.0447157265564293E-2</v>
      </c>
      <c r="K20">
        <v>4.3323347907017029E-2</v>
      </c>
      <c r="L20">
        <v>5.0710757724267919E-2</v>
      </c>
      <c r="M20">
        <v>6.363122865479931E-2</v>
      </c>
      <c r="N20">
        <v>0.11437619090170981</v>
      </c>
      <c r="O20">
        <v>0.17801283738176779</v>
      </c>
      <c r="P20">
        <v>7.6638529808248146E-2</v>
      </c>
    </row>
    <row r="21" spans="1:16" x14ac:dyDescent="0.35">
      <c r="A21" t="s">
        <v>137</v>
      </c>
      <c r="B21">
        <v>-1.7550926120462691</v>
      </c>
      <c r="C21">
        <v>-1.1437121148018721</v>
      </c>
      <c r="D21">
        <v>-0.80611997386824896</v>
      </c>
      <c r="E21">
        <v>0.34912780367710639</v>
      </c>
      <c r="F21">
        <v>-0.70298360580886765</v>
      </c>
      <c r="G21">
        <v>-0.44588208242961969</v>
      </c>
      <c r="H21">
        <v>-0.65344695656764884</v>
      </c>
      <c r="I21">
        <v>-0.43905663009346091</v>
      </c>
      <c r="J21">
        <v>-1.116563971600357</v>
      </c>
      <c r="K21">
        <v>0.15844748938860681</v>
      </c>
      <c r="L21">
        <v>7.1071388268620694E-2</v>
      </c>
      <c r="M21">
        <v>1.0120407657053361</v>
      </c>
      <c r="N21">
        <v>1.009123665219533</v>
      </c>
      <c r="O21">
        <v>0.50739360304191905</v>
      </c>
      <c r="P21">
        <v>0.63749386649158168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"/>
  <sheetViews>
    <sheetView workbookViewId="0">
      <selection activeCell="O56" sqref="O56"/>
    </sheetView>
  </sheetViews>
  <sheetFormatPr defaultRowHeight="14.5" x14ac:dyDescent="0.35"/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25</v>
      </c>
      <c r="B2">
        <v>-0.47777963231828291</v>
      </c>
      <c r="C2">
        <v>-0.35620006309691538</v>
      </c>
      <c r="D2">
        <v>-0.30172252305818398</v>
      </c>
      <c r="E2">
        <v>-0.2634170560316963</v>
      </c>
      <c r="F2">
        <v>-0.2086004722194669</v>
      </c>
      <c r="G2">
        <v>-0.151156485536178</v>
      </c>
      <c r="H2">
        <v>-0.14450965117669051</v>
      </c>
      <c r="I2">
        <v>-9.9640979756173406E-2</v>
      </c>
      <c r="J2">
        <v>-3.0824076741726692E-3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-1.352589800311081E-4</v>
      </c>
      <c r="J3">
        <v>-1.920558470818752E-2</v>
      </c>
      <c r="K3">
        <v>-2.38107494282973E-2</v>
      </c>
      <c r="L3">
        <v>-2.0504573856573779E-2</v>
      </c>
      <c r="M3">
        <v>-1.5502067048927251E-2</v>
      </c>
      <c r="N3">
        <v>0</v>
      </c>
      <c r="O3">
        <v>0</v>
      </c>
      <c r="P3">
        <v>0</v>
      </c>
    </row>
    <row r="4" spans="1:16" x14ac:dyDescent="0.35">
      <c r="A4" t="s">
        <v>21</v>
      </c>
      <c r="B4">
        <v>-0.27736661298684878</v>
      </c>
      <c r="C4">
        <v>-0.28727766131374399</v>
      </c>
      <c r="D4">
        <v>-0.3077737097116609</v>
      </c>
      <c r="E4">
        <v>-0.3340215374564891</v>
      </c>
      <c r="F4">
        <v>-0.24696321849824671</v>
      </c>
      <c r="G4">
        <v>-0.27743155606201653</v>
      </c>
      <c r="H4">
        <v>-0.27104440586745482</v>
      </c>
      <c r="I4">
        <v>-0.20081818362052531</v>
      </c>
      <c r="J4">
        <v>-0.1204562550458743</v>
      </c>
      <c r="K4">
        <v>-0.10226204806386779</v>
      </c>
      <c r="L4">
        <v>-0.1002470540227962</v>
      </c>
      <c r="M4">
        <v>-8.9771103536103569E-2</v>
      </c>
      <c r="N4">
        <v>0</v>
      </c>
      <c r="O4">
        <v>0</v>
      </c>
      <c r="P4">
        <v>0</v>
      </c>
    </row>
    <row r="5" spans="1:16" x14ac:dyDescent="0.35">
      <c r="A5" t="s">
        <v>57</v>
      </c>
      <c r="B5">
        <v>1.6012539663178369</v>
      </c>
      <c r="C5">
        <v>1.597508041333674</v>
      </c>
      <c r="D5">
        <v>1.5912348996796339</v>
      </c>
      <c r="E5">
        <v>1.5799275124367469</v>
      </c>
      <c r="F5">
        <v>1.600107475121394</v>
      </c>
      <c r="G5">
        <v>1.5704990167355311</v>
      </c>
      <c r="H5">
        <v>1.582707946519756</v>
      </c>
      <c r="I5">
        <v>1.168740070158492</v>
      </c>
      <c r="J5">
        <v>0.75221058177526423</v>
      </c>
      <c r="K5">
        <v>0.74353664287600507</v>
      </c>
      <c r="L5">
        <v>0.73956849309539674</v>
      </c>
      <c r="M5">
        <v>0.55363812149389535</v>
      </c>
      <c r="N5">
        <v>0</v>
      </c>
      <c r="O5">
        <v>0</v>
      </c>
      <c r="P5">
        <v>0</v>
      </c>
    </row>
    <row r="6" spans="1:16" x14ac:dyDescent="0.35">
      <c r="A6" t="s">
        <v>40</v>
      </c>
      <c r="B6">
        <v>-6.8087053026312551E-3</v>
      </c>
      <c r="C6">
        <v>-8.5283210867020121E-2</v>
      </c>
      <c r="D6">
        <v>-6.2231444941366079E-2</v>
      </c>
      <c r="E6">
        <v>-4.8779954911855633E-2</v>
      </c>
      <c r="F6">
        <v>-0.1189197043032845</v>
      </c>
      <c r="G6">
        <v>-0.1187703948907413</v>
      </c>
      <c r="H6">
        <v>-0.12564111645885159</v>
      </c>
      <c r="I6">
        <v>-0.1005559772166222</v>
      </c>
      <c r="J6">
        <v>-0.156009344250018</v>
      </c>
      <c r="K6">
        <v>-8.0918060603036593E-2</v>
      </c>
      <c r="L6">
        <v>-9.7254183654028659E-2</v>
      </c>
      <c r="M6">
        <v>-7.4375539711147978E-2</v>
      </c>
      <c r="N6">
        <v>0</v>
      </c>
      <c r="O6">
        <v>0</v>
      </c>
      <c r="P6">
        <v>0</v>
      </c>
    </row>
    <row r="7" spans="1:16" x14ac:dyDescent="0.35">
      <c r="A7" t="s">
        <v>41</v>
      </c>
      <c r="B7">
        <v>7.1156229673246446E-2</v>
      </c>
      <c r="C7">
        <v>4.2825585585069097E-2</v>
      </c>
      <c r="D7">
        <v>2.7705437830981349E-2</v>
      </c>
      <c r="E7">
        <v>5.2527050503131847E-2</v>
      </c>
      <c r="F7">
        <v>0.1002016506879712</v>
      </c>
      <c r="G7">
        <v>7.0023112231752602E-2</v>
      </c>
      <c r="H7">
        <v>6.7852067907049174E-2</v>
      </c>
      <c r="I7">
        <v>6.8881327510974921E-2</v>
      </c>
      <c r="J7">
        <v>4.9188327477654822E-2</v>
      </c>
      <c r="K7">
        <v>4.4237253170475263E-2</v>
      </c>
      <c r="L7">
        <v>4.6556021914396201E-2</v>
      </c>
      <c r="M7">
        <v>2.1382105171566239E-2</v>
      </c>
      <c r="N7">
        <v>0</v>
      </c>
      <c r="O7">
        <v>0</v>
      </c>
      <c r="P7">
        <v>0</v>
      </c>
    </row>
    <row r="8" spans="1:16" x14ac:dyDescent="0.35">
      <c r="A8" t="s">
        <v>47</v>
      </c>
      <c r="B8">
        <v>0.60745380120330683</v>
      </c>
      <c r="C8">
        <v>0.56243583476792125</v>
      </c>
      <c r="D8">
        <v>0.57115391904058854</v>
      </c>
      <c r="E8">
        <v>0.59327580342299391</v>
      </c>
      <c r="F8">
        <v>0.62813257199916206</v>
      </c>
      <c r="G8">
        <v>0.61403296951773556</v>
      </c>
      <c r="H8">
        <v>0.62956753899241358</v>
      </c>
      <c r="I8">
        <v>0.45808249873162887</v>
      </c>
      <c r="J8">
        <v>0.27294898261171507</v>
      </c>
      <c r="K8">
        <v>0.28230378308688459</v>
      </c>
      <c r="L8">
        <v>0.26972657667510791</v>
      </c>
      <c r="M8">
        <v>0.2069296419242293</v>
      </c>
      <c r="N8">
        <v>0</v>
      </c>
      <c r="O8">
        <v>0</v>
      </c>
      <c r="P8">
        <v>0</v>
      </c>
    </row>
    <row r="9" spans="1:16" x14ac:dyDescent="0.35">
      <c r="A9" t="s">
        <v>51</v>
      </c>
      <c r="B9">
        <v>-7.3755081746161646E-2</v>
      </c>
      <c r="C9">
        <v>-8.4057132763699347E-2</v>
      </c>
      <c r="D9">
        <v>-7.9521750862060578E-2</v>
      </c>
      <c r="E9">
        <v>-8.8280145568944118E-2</v>
      </c>
      <c r="F9">
        <v>0.18883090289597129</v>
      </c>
      <c r="G9">
        <v>0.25458751092597981</v>
      </c>
      <c r="H9">
        <v>0.1116048717875413</v>
      </c>
      <c r="I9">
        <v>9.9598467598693771E-2</v>
      </c>
      <c r="J9">
        <v>0.123229847559188</v>
      </c>
      <c r="K9">
        <v>0.15295767703749061</v>
      </c>
      <c r="L9">
        <v>0.12290862493767959</v>
      </c>
      <c r="M9">
        <v>1.057370133941685E-2</v>
      </c>
      <c r="N9">
        <v>6.303843757407325E-2</v>
      </c>
      <c r="O9">
        <v>-0.40809841774823191</v>
      </c>
      <c r="P9">
        <v>-0.30141691053559361</v>
      </c>
    </row>
    <row r="10" spans="1:16" x14ac:dyDescent="0.35">
      <c r="A10" t="s">
        <v>59</v>
      </c>
      <c r="B10">
        <v>3.3820687564243328E-2</v>
      </c>
      <c r="C10">
        <v>4.3486365635599503E-2</v>
      </c>
      <c r="D10">
        <v>4.2966896414107537E-2</v>
      </c>
      <c r="E10">
        <v>4.4013672536013147E-2</v>
      </c>
      <c r="F10">
        <v>1.134719994428264E-2</v>
      </c>
      <c r="G10">
        <v>2.770714837984142E-2</v>
      </c>
      <c r="H10">
        <v>3.2613163435553129E-2</v>
      </c>
      <c r="I10">
        <v>4.1809099246152052E-2</v>
      </c>
      <c r="J10">
        <v>1.9540317117584281E-2</v>
      </c>
      <c r="K10">
        <v>8.0373981423235603E-3</v>
      </c>
      <c r="L10">
        <v>9.3875188047880809E-3</v>
      </c>
      <c r="M10">
        <v>1.1785748399782E-2</v>
      </c>
      <c r="N10">
        <v>0</v>
      </c>
      <c r="O10">
        <v>0</v>
      </c>
      <c r="P10">
        <v>0</v>
      </c>
    </row>
    <row r="11" spans="1:16" x14ac:dyDescent="0.35">
      <c r="A11" t="s">
        <v>18</v>
      </c>
      <c r="B11">
        <v>0.20560397765737271</v>
      </c>
      <c r="C11">
        <v>0.21745079231030279</v>
      </c>
      <c r="D11">
        <v>0.21106981716953349</v>
      </c>
      <c r="E11">
        <v>0.40496845592061959</v>
      </c>
      <c r="F11">
        <v>0.42346747682846198</v>
      </c>
      <c r="G11">
        <v>0.85188922212289997</v>
      </c>
      <c r="H11">
        <v>0.76187154187858386</v>
      </c>
      <c r="I11">
        <v>0.60797744839624768</v>
      </c>
      <c r="J11">
        <v>0.41323310151378262</v>
      </c>
      <c r="K11">
        <v>0.36175349024448777</v>
      </c>
      <c r="L11">
        <v>0.30910108228130279</v>
      </c>
      <c r="M11">
        <v>0.2300193560159389</v>
      </c>
      <c r="N11">
        <v>0</v>
      </c>
      <c r="O11">
        <v>0</v>
      </c>
      <c r="P11">
        <v>0</v>
      </c>
    </row>
    <row r="12" spans="1:16" x14ac:dyDescent="0.35">
      <c r="A12" t="s">
        <v>24</v>
      </c>
      <c r="B12">
        <v>-0.1035516028604499</v>
      </c>
      <c r="C12">
        <v>-0.10787270539676889</v>
      </c>
      <c r="D12">
        <v>-0.1313713946814436</v>
      </c>
      <c r="E12">
        <v>-0.1046786585308056</v>
      </c>
      <c r="F12">
        <v>-7.3335033034713892E-2</v>
      </c>
      <c r="G12">
        <v>-9.1752063326282399E-2</v>
      </c>
      <c r="H12">
        <v>-7.3539697739688312E-2</v>
      </c>
      <c r="I12">
        <v>-8.6155295230501375E-2</v>
      </c>
      <c r="J12">
        <v>-0.1048583900798315</v>
      </c>
      <c r="K12">
        <v>-7.2894852421180531E-2</v>
      </c>
      <c r="L12">
        <v>-6.0892561719760298E-2</v>
      </c>
      <c r="M12">
        <v>-5.446366288831192E-2</v>
      </c>
      <c r="N12">
        <v>-1.6754031444107611E-2</v>
      </c>
      <c r="O12">
        <v>-2.1121353087341001E-2</v>
      </c>
      <c r="P12">
        <v>-2.5690485345880469E-2</v>
      </c>
    </row>
    <row r="13" spans="1:16" x14ac:dyDescent="0.35">
      <c r="A13" t="s">
        <v>36</v>
      </c>
      <c r="B13">
        <v>0.85908056462128324</v>
      </c>
      <c r="C13">
        <v>0.82586680381884425</v>
      </c>
      <c r="D13">
        <v>0.91987389822150822</v>
      </c>
      <c r="E13">
        <v>0.87116358474566491</v>
      </c>
      <c r="F13">
        <v>6.8044470722064529E-2</v>
      </c>
      <c r="G13">
        <v>0.1195201707522847</v>
      </c>
      <c r="H13">
        <v>0.1509704354045186</v>
      </c>
      <c r="I13">
        <v>-3.9153471448487527E-2</v>
      </c>
      <c r="J13">
        <v>-0.1193130396837247</v>
      </c>
      <c r="K13">
        <v>6.990584591572066E-2</v>
      </c>
      <c r="L13">
        <v>6.1298349489106778E-2</v>
      </c>
      <c r="M13">
        <v>0.29250948057237952</v>
      </c>
      <c r="N13">
        <v>0.2020498650605056</v>
      </c>
      <c r="O13">
        <v>0.25679797785861308</v>
      </c>
      <c r="P13">
        <v>0.37800559346230689</v>
      </c>
    </row>
    <row r="14" spans="1:16" x14ac:dyDescent="0.35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7.0792717856495814E-5</v>
      </c>
      <c r="N14">
        <v>-2.4079437779779101E-2</v>
      </c>
      <c r="O14">
        <v>-5.1216460597445342E-2</v>
      </c>
      <c r="P14">
        <v>-8.7826305454344111E-2</v>
      </c>
    </row>
    <row r="15" spans="1:16" x14ac:dyDescent="0.35">
      <c r="A15" t="s">
        <v>53</v>
      </c>
      <c r="B15">
        <v>-3.2226216293092913E-2</v>
      </c>
      <c r="C15">
        <v>-3.2965652316538183E-2</v>
      </c>
      <c r="D15">
        <v>-3.5358166843111827E-2</v>
      </c>
      <c r="E15">
        <v>-3.0883460299718789E-2</v>
      </c>
      <c r="F15">
        <v>-2.1509166862410271E-2</v>
      </c>
      <c r="G15">
        <v>-1.9071877590890209E-2</v>
      </c>
      <c r="H15">
        <v>-1.826536635760987E-2</v>
      </c>
      <c r="I15">
        <v>-1.1347394964387031E-2</v>
      </c>
      <c r="J15">
        <v>-9.4841221938413451E-3</v>
      </c>
      <c r="K15">
        <v>-7.7389061609544193E-3</v>
      </c>
      <c r="L15">
        <v>-4.8055029148251988E-3</v>
      </c>
      <c r="M15">
        <v>-6.0565415208758107E-3</v>
      </c>
      <c r="N15">
        <v>-5.0387172293170652E-3</v>
      </c>
      <c r="O15">
        <v>-3.8267264321728851E-3</v>
      </c>
      <c r="P15">
        <v>-5.2550993882971367E-3</v>
      </c>
    </row>
    <row r="16" spans="1:16" x14ac:dyDescent="0.35">
      <c r="A16" t="s">
        <v>29</v>
      </c>
      <c r="B16">
        <v>-8.5767381471021184E-2</v>
      </c>
      <c r="C16">
        <v>-7.9146906703731867E-2</v>
      </c>
      <c r="D16">
        <v>-7.4863520037337233E-2</v>
      </c>
      <c r="E16">
        <v>-7.2929559327902696E-2</v>
      </c>
      <c r="F16">
        <v>-7.3921047709589877E-2</v>
      </c>
      <c r="G16">
        <v>-7.6985308215712644E-2</v>
      </c>
      <c r="H16">
        <v>-5.7592503279984421E-2</v>
      </c>
      <c r="I16">
        <v>-5.489647582151045E-2</v>
      </c>
      <c r="J16">
        <v>-4.6412762005488703E-2</v>
      </c>
      <c r="K16">
        <v>-4.4642035990427903E-2</v>
      </c>
      <c r="L16">
        <v>-4.7613305453131367E-2</v>
      </c>
      <c r="M16">
        <v>-5.688957605842293E-2</v>
      </c>
      <c r="N16">
        <v>-5.0188744627706582E-2</v>
      </c>
      <c r="O16">
        <v>-3.3039670842379278E-2</v>
      </c>
      <c r="P16">
        <v>-4.0404605339867783E-2</v>
      </c>
    </row>
    <row r="17" spans="1:16" x14ac:dyDescent="0.35">
      <c r="A17" t="s">
        <v>30</v>
      </c>
      <c r="B17">
        <v>-0.24336697418875469</v>
      </c>
      <c r="C17">
        <v>-0.2417803287596948</v>
      </c>
      <c r="D17">
        <v>-0.26177850651133772</v>
      </c>
      <c r="E17">
        <v>-0.23962416450017579</v>
      </c>
      <c r="F17">
        <v>-0.24508104349170309</v>
      </c>
      <c r="G17">
        <v>-0.2371933612624583</v>
      </c>
      <c r="H17">
        <v>-0.25030380113750111</v>
      </c>
      <c r="I17">
        <v>-0.27159158746925333</v>
      </c>
      <c r="J17">
        <v>-0.28918635303820189</v>
      </c>
      <c r="K17">
        <v>-0.25059535619839052</v>
      </c>
      <c r="L17">
        <v>-0.24782166435366679</v>
      </c>
      <c r="M17">
        <v>-0.19745020489383169</v>
      </c>
      <c r="N17">
        <v>-0.19907575072343209</v>
      </c>
      <c r="O17">
        <v>-0.18978105620678271</v>
      </c>
      <c r="P17">
        <v>-0.1672085107837975</v>
      </c>
    </row>
    <row r="18" spans="1:16" x14ac:dyDescent="0.35">
      <c r="A18" t="s">
        <v>31</v>
      </c>
      <c r="B18">
        <v>0.55160989970190455</v>
      </c>
      <c r="C18">
        <v>0.56654515808328221</v>
      </c>
      <c r="D18">
        <v>0.55661412151366974</v>
      </c>
      <c r="E18">
        <v>0.57642678052028917</v>
      </c>
      <c r="F18">
        <v>0.5470216651492541</v>
      </c>
      <c r="G18">
        <v>0.623440806865458</v>
      </c>
      <c r="H18">
        <v>0.59888835277012997</v>
      </c>
      <c r="I18">
        <v>0.56774275819757147</v>
      </c>
      <c r="J18">
        <v>0.57566684944335944</v>
      </c>
      <c r="K18">
        <v>0.59667421478448857</v>
      </c>
      <c r="L18">
        <v>0.59617418531720445</v>
      </c>
      <c r="M18">
        <v>0.70681070961004588</v>
      </c>
      <c r="N18">
        <v>0.79386496911046744</v>
      </c>
      <c r="O18">
        <v>0.80597809468566051</v>
      </c>
      <c r="P18">
        <v>0.81968768923946955</v>
      </c>
    </row>
    <row r="19" spans="1:16" x14ac:dyDescent="0.35">
      <c r="A19" t="s">
        <v>32</v>
      </c>
      <c r="B19">
        <v>-0.204880433899297</v>
      </c>
      <c r="C19">
        <v>-0.21705092422085639</v>
      </c>
      <c r="D19">
        <v>-0.20974010163426959</v>
      </c>
      <c r="E19">
        <v>-0.22513081994729431</v>
      </c>
      <c r="F19">
        <v>-0.2074192246710187</v>
      </c>
      <c r="G19">
        <v>-0.20796584123676581</v>
      </c>
      <c r="H19">
        <v>-0.21491708629739559</v>
      </c>
      <c r="I19">
        <v>-0.2271301651666216</v>
      </c>
      <c r="J19">
        <v>-0.21869241742273279</v>
      </c>
      <c r="K19">
        <v>-0.22171397548918709</v>
      </c>
      <c r="L19">
        <v>-0.20769236231479371</v>
      </c>
      <c r="M19">
        <v>-0.20160899575653179</v>
      </c>
      <c r="N19">
        <v>-0.19001403246255241</v>
      </c>
      <c r="O19">
        <v>-0.13566845636449371</v>
      </c>
      <c r="P19">
        <v>-0.101821508537146</v>
      </c>
    </row>
    <row r="20" spans="1:16" x14ac:dyDescent="0.35">
      <c r="A20" t="s">
        <v>33</v>
      </c>
      <c r="B20">
        <v>-9.0447710021266323E-2</v>
      </c>
      <c r="C20">
        <v>-0.1055442496166327</v>
      </c>
      <c r="D20">
        <v>-0.11384158109509319</v>
      </c>
      <c r="E20">
        <v>-0.1082012442888463</v>
      </c>
      <c r="F20">
        <v>-0.1345151860410824</v>
      </c>
      <c r="G20">
        <v>-0.13735070915388031</v>
      </c>
      <c r="H20">
        <v>-0.1336219417420578</v>
      </c>
      <c r="I20">
        <v>-0.1247222259297949</v>
      </c>
      <c r="J20">
        <v>-0.15355970110499609</v>
      </c>
      <c r="K20">
        <v>-0.12330745643503351</v>
      </c>
      <c r="L20">
        <v>-0.1223092845609098</v>
      </c>
      <c r="M20">
        <v>-0.1031382197386178</v>
      </c>
      <c r="N20">
        <v>-0.11007563600393851</v>
      </c>
      <c r="O20">
        <v>-8.4257566018910865E-2</v>
      </c>
      <c r="P20">
        <v>-6.2752245453000607E-2</v>
      </c>
    </row>
    <row r="21" spans="1:16" x14ac:dyDescent="0.35">
      <c r="A21" t="s">
        <v>38</v>
      </c>
      <c r="B21">
        <v>-0.67395890186712304</v>
      </c>
      <c r="C21">
        <v>-0.60414238211088811</v>
      </c>
      <c r="D21">
        <v>-0.48030236099204099</v>
      </c>
      <c r="E21">
        <v>-0.44377259598341079</v>
      </c>
      <c r="F21">
        <v>-0.85756451571737546</v>
      </c>
      <c r="G21">
        <v>-0.66488529692982468</v>
      </c>
      <c r="H21">
        <v>-0.77242469151668158</v>
      </c>
      <c r="I21">
        <v>-0.68823221152627179</v>
      </c>
      <c r="J21">
        <v>-1.121252955687065</v>
      </c>
      <c r="K21">
        <v>-0.27146190957593058</v>
      </c>
      <c r="L21">
        <v>-0.65480894618840679</v>
      </c>
      <c r="M21">
        <v>-0.5268760102065857</v>
      </c>
      <c r="N21">
        <v>-1.225559661854263</v>
      </c>
      <c r="O21">
        <v>-1.0815223009808721</v>
      </c>
      <c r="P21">
        <v>-0.70312653461620256</v>
      </c>
    </row>
    <row r="22" spans="1:16" x14ac:dyDescent="0.35">
      <c r="A22" t="s">
        <v>48</v>
      </c>
      <c r="B22">
        <v>-1.0681099059118331</v>
      </c>
      <c r="C22">
        <v>-0.97719022817752932</v>
      </c>
      <c r="D22">
        <v>-1.0110747914584179</v>
      </c>
      <c r="E22">
        <v>-0.96392783326934695</v>
      </c>
      <c r="F22">
        <v>-0.76439745658592595</v>
      </c>
      <c r="G22">
        <v>-0.639565239454435</v>
      </c>
      <c r="H22">
        <v>-0.75302240593227698</v>
      </c>
      <c r="I22">
        <v>-0.71627173597896221</v>
      </c>
      <c r="J22">
        <v>-0.62699288542377185</v>
      </c>
      <c r="K22">
        <v>-0.36696898997468641</v>
      </c>
      <c r="L22">
        <v>-0.42367754802978991</v>
      </c>
      <c r="M22">
        <v>-0.5012609242848538</v>
      </c>
      <c r="N22">
        <v>-0.34871572538258933</v>
      </c>
      <c r="O22">
        <v>-0.34450413732203239</v>
      </c>
      <c r="P22">
        <v>-0.39276636905709428</v>
      </c>
    </row>
    <row r="23" spans="1:16" x14ac:dyDescent="0.35">
      <c r="A23" t="s">
        <v>55</v>
      </c>
      <c r="B23">
        <v>2.2914183704582831E-2</v>
      </c>
      <c r="C23">
        <v>5.1744005854228163E-2</v>
      </c>
      <c r="D23">
        <v>6.9617108800047095E-2</v>
      </c>
      <c r="E23">
        <v>6.5543789446096373E-2</v>
      </c>
      <c r="F23">
        <v>3.5003196654864302E-2</v>
      </c>
      <c r="G23">
        <v>3.9814752735753203E-2</v>
      </c>
      <c r="H23">
        <v>5.868444680193876E-2</v>
      </c>
      <c r="I23">
        <v>-6.6209243456052704E-3</v>
      </c>
      <c r="J23">
        <v>-0.1030167039368626</v>
      </c>
      <c r="K23">
        <v>-2.364894348376622E-2</v>
      </c>
      <c r="L23">
        <v>-2.266972541628633E-2</v>
      </c>
      <c r="M23">
        <v>-5.1960062489597669E-2</v>
      </c>
      <c r="N23">
        <v>-0.1067271595331873</v>
      </c>
      <c r="O23">
        <v>-0.1102436116309051</v>
      </c>
      <c r="P23">
        <v>-4.5389735410367858E-2</v>
      </c>
    </row>
    <row r="24" spans="1:16" x14ac:dyDescent="0.35">
      <c r="A24" t="s">
        <v>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-2.0788487999172309E-2</v>
      </c>
      <c r="K24">
        <v>-1.612861400852417E-2</v>
      </c>
      <c r="L24">
        <v>-1.886765594973246E-2</v>
      </c>
      <c r="M24">
        <v>-1.8812576710254551E-2</v>
      </c>
      <c r="N24">
        <v>-1.8460873850011991E-2</v>
      </c>
      <c r="O24">
        <v>-2.195983908925226E-2</v>
      </c>
      <c r="P24">
        <v>-1.86993997400117E-2</v>
      </c>
    </row>
    <row r="25" spans="1:16" x14ac:dyDescent="0.35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4.6855781866438982E-2</v>
      </c>
      <c r="J25">
        <v>0.104350115557062</v>
      </c>
      <c r="K25">
        <v>9.4690010350343454E-2</v>
      </c>
      <c r="L25">
        <v>9.9551755512045217E-2</v>
      </c>
      <c r="M25">
        <v>0.1206537314419813</v>
      </c>
      <c r="N25">
        <v>0.19663270553789011</v>
      </c>
      <c r="O25">
        <v>0.18496470829567491</v>
      </c>
      <c r="P25">
        <v>0.19301447655265219</v>
      </c>
    </row>
    <row r="26" spans="1:16" x14ac:dyDescent="0.35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-0.52452658551395814</v>
      </c>
      <c r="J26">
        <v>-0.87400708908371316</v>
      </c>
      <c r="K26">
        <v>-0.88026921297302607</v>
      </c>
      <c r="L26">
        <v>-0.88656047543971361</v>
      </c>
      <c r="M26">
        <v>-1.151202545182862</v>
      </c>
      <c r="N26">
        <v>-1.755706164984844</v>
      </c>
      <c r="O26">
        <v>-1.7026291597745249</v>
      </c>
      <c r="P26">
        <v>-1.5845287658034419</v>
      </c>
    </row>
    <row r="27" spans="1:16" x14ac:dyDescent="0.35">
      <c r="A27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2.245452341846995E-2</v>
      </c>
      <c r="J27">
        <v>0.1191709638731248</v>
      </c>
      <c r="K27">
        <v>8.2264933114966812E-2</v>
      </c>
      <c r="L27">
        <v>8.5401318284666863E-2</v>
      </c>
      <c r="M27">
        <v>7.866506624507924E-2</v>
      </c>
      <c r="N27">
        <v>0.10821271303838451</v>
      </c>
      <c r="O27">
        <v>0.1086087210398984</v>
      </c>
      <c r="P27">
        <v>0.18983295821239471</v>
      </c>
    </row>
    <row r="28" spans="1:16" x14ac:dyDescent="0.35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5.1259245528521007E-2</v>
      </c>
      <c r="J28">
        <v>0.26937816161235068</v>
      </c>
      <c r="K28">
        <v>0.1618977576027221</v>
      </c>
      <c r="L28">
        <v>9.5147209909351674E-2</v>
      </c>
      <c r="M28">
        <v>9.4412243170912846E-2</v>
      </c>
      <c r="N28">
        <v>0.21190211159008601</v>
      </c>
      <c r="O28">
        <v>0.18508646818613059</v>
      </c>
      <c r="P28">
        <v>0.1246817881519499</v>
      </c>
    </row>
    <row r="29" spans="1:16" x14ac:dyDescent="0.35">
      <c r="A29" t="s">
        <v>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0.67707023304650016</v>
      </c>
      <c r="J29">
        <v>1.303537128272438</v>
      </c>
      <c r="K29">
        <v>1.2617428650665901</v>
      </c>
      <c r="L29">
        <v>1.290427795966349</v>
      </c>
      <c r="M29">
        <v>1.553892180623792</v>
      </c>
      <c r="N29">
        <v>2.3826236970634178</v>
      </c>
      <c r="O29">
        <v>2.386340214549203</v>
      </c>
      <c r="P29">
        <v>2.3523282907848588</v>
      </c>
    </row>
    <row r="30" spans="1:16" x14ac:dyDescent="0.35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4.200198187924873E-2</v>
      </c>
      <c r="J30">
        <v>6.6219467747384325E-2</v>
      </c>
      <c r="K30">
        <v>-1.1530724616188421E-2</v>
      </c>
      <c r="L30">
        <v>3.9379332451122163E-2</v>
      </c>
      <c r="M30">
        <v>3.027248529168125E-2</v>
      </c>
      <c r="N30">
        <v>9.4816068200510736E-2</v>
      </c>
      <c r="O30">
        <v>0.18481168922424909</v>
      </c>
      <c r="P30">
        <v>0.1150734840244937</v>
      </c>
    </row>
    <row r="31" spans="1:16" x14ac:dyDescent="0.35">
      <c r="A31" t="s">
        <v>136</v>
      </c>
      <c r="B31">
        <v>0.50781800687685841</v>
      </c>
      <c r="C31">
        <v>0.57427883030853233</v>
      </c>
      <c r="D31">
        <v>0.53703404140955657</v>
      </c>
      <c r="E31">
        <v>0.52689301414268375</v>
      </c>
      <c r="F31">
        <v>0.58821157961344372</v>
      </c>
      <c r="G31">
        <v>0.6291381555355342</v>
      </c>
      <c r="H31">
        <v>0.6795069719146869</v>
      </c>
      <c r="I31">
        <v>0.57183163498754896</v>
      </c>
      <c r="J31">
        <v>0.48208021588188771</v>
      </c>
      <c r="K31">
        <v>0.43491147416822179</v>
      </c>
      <c r="L31">
        <v>0.42871168846808422</v>
      </c>
      <c r="M31">
        <v>0.47652339391430643</v>
      </c>
      <c r="N31">
        <v>0.33619953085113208</v>
      </c>
      <c r="O31">
        <v>0.38263445524204581</v>
      </c>
      <c r="P31">
        <v>0.27316330911798048</v>
      </c>
    </row>
    <row r="32" spans="1:16" x14ac:dyDescent="0.35">
      <c r="A32" t="s">
        <v>137</v>
      </c>
      <c r="B32">
        <v>1.1226921584538729</v>
      </c>
      <c r="C32">
        <v>1.3036299723534339</v>
      </c>
      <c r="D32">
        <v>1.4576902882533029</v>
      </c>
      <c r="E32">
        <v>1.7910926335577531</v>
      </c>
      <c r="F32">
        <v>1.2381421204820531</v>
      </c>
      <c r="G32">
        <v>2.1785247321435861</v>
      </c>
      <c r="H32">
        <v>1.8593846699059779</v>
      </c>
      <c r="I32">
        <v>1.272506597597783</v>
      </c>
      <c r="J32">
        <v>0.56443556110514237</v>
      </c>
      <c r="K32">
        <v>1.7970215101382221</v>
      </c>
      <c r="L32">
        <v>1.277615109232187</v>
      </c>
      <c r="M32">
        <v>1.338770727905938</v>
      </c>
      <c r="N32">
        <v>0.33894416215073869</v>
      </c>
      <c r="O32">
        <v>0.30735357298613047</v>
      </c>
      <c r="P32">
        <v>0.90890111408106122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 Attribution</vt:lpstr>
      <vt:lpstr>Sheet1</vt:lpstr>
      <vt:lpstr>POS Flag Means</vt:lpstr>
      <vt:lpstr>AN Attribution</vt:lpstr>
      <vt:lpstr>FRN Attribution</vt:lpstr>
      <vt:lpstr>STG Attribution</vt:lpstr>
      <vt:lpstr>FLD Attribution</vt:lpstr>
      <vt:lpstr>ENT Attribution</vt:lpstr>
      <vt:lpstr>KMX Attribution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2026-07-30T14:40:15Z</dcterms:created>
  <dcterms:modified xsi:type="dcterms:W3CDTF">2026-08-03T13:33:20Z</dcterms:modified>
</cp:coreProperties>
</file>