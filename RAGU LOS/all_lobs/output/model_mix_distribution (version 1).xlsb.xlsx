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55DAFF73-FAB1-484F-B67A-7A6FB2691912}" xr6:coauthVersionLast="47" xr6:coauthVersionMax="47" xr10:uidLastSave="{00000000-0000-0000-0000-000000000000}"/>
  <bookViews>
    <workbookView xWindow="14685" yWindow="-21720" windowWidth="38640" windowHeight="21120" activeTab="2" xr2:uid="{00000000-000D-0000-FFFF-FFFF00000000}"/>
  </bookViews>
  <sheets>
    <sheet name="KMX Pct" sheetId="1" r:id="rId1"/>
    <sheet name="KMX Avg Score" sheetId="2" r:id="rId2"/>
    <sheet name="NonKMX Pct" sheetId="3" r:id="rId3"/>
    <sheet name="NonKMX Avg Sc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4" l="1"/>
  <c r="O64" i="4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59" i="2"/>
  <c r="O69" i="4"/>
  <c r="O63" i="4"/>
  <c r="O65" i="4" l="1"/>
  <c r="O66" i="4"/>
  <c r="O67" i="4"/>
  <c r="O68" i="4"/>
  <c r="O70" i="4"/>
  <c r="O71" i="4"/>
  <c r="O72" i="4"/>
  <c r="F59" i="2"/>
  <c r="F60" i="2"/>
  <c r="F61" i="2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3" i="2"/>
  <c r="E64" i="2"/>
  <c r="E65" i="2"/>
  <c r="E66" i="2"/>
  <c r="E67" i="2"/>
  <c r="E68" i="2"/>
  <c r="E69" i="2"/>
  <c r="E70" i="2"/>
  <c r="E71" i="2"/>
  <c r="E72" i="2"/>
  <c r="E73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2" i="3"/>
</calcChain>
</file>

<file path=xl/sharedStrings.xml><?xml version="1.0" encoding="utf-8"?>
<sst xmlns="http://schemas.openxmlformats.org/spreadsheetml/2006/main" count="363" uniqueCount="109">
  <si>
    <t>month_str</t>
  </si>
  <si>
    <t>FRANCHISE 3.0</t>
  </si>
  <si>
    <t>MOUNTAIN 1.0</t>
  </si>
  <si>
    <t>MOUNTAIN 2.0</t>
  </si>
  <si>
    <t>MOUNTAIN 2.1</t>
  </si>
  <si>
    <t>MOUNTAIN 3.0</t>
  </si>
  <si>
    <t>MOUNTAIN 3.1</t>
  </si>
  <si>
    <t>Mountain 3.0</t>
  </si>
  <si>
    <t>Mountain 3.1</t>
  </si>
  <si>
    <t>Mountain 3.2</t>
  </si>
  <si>
    <t>Mountain 4.1</t>
  </si>
  <si>
    <t>total_loans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</si>
  <si>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</si>
  <si>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</si>
  <si>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</si>
  <si>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</si>
  <si>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</si>
  <si>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</si>
  <si>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</si>
  <si>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</si>
  <si>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</si>
  <si>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</si>
  <si>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</si>
  <si>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</si>
  <si>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</si>
  <si>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</si>
  <si>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</si>
  <si>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</si>
  <si>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</si>
  <si>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</si>
  <si>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</si>
  <si>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</si>
  <si>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</si>
  <si>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</si>
  <si>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</si>
  <si>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</si>
  <si>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</si>
  <si>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</si>
  <si>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</si>
  <si>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</si>
  <si>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</si>
  <si>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</si>
  <si>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</si>
  <si>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</si>
  <si>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</si>
  <si>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</si>
  <si>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</si>
  <si>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</si>
  <si>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</si>
  <si>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</si>
  <si>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</si>
  <si>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</si>
  <si>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</si>
  <si>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</si>
  <si>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</si>
  <si>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</si>
  <si>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</si>
  <si>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</si>
  <si>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</si>
  <si>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</si>
  <si>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</si>
  <si>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</si>
  <si>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</si>
  <si>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</si>
  <si>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</si>
  <si>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</si>
  <si>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</si>
  <si>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</si>
  <si>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</si>
  <si>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</si>
  <si>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</si>
  <si>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</si>
  <si>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</si>
  <si>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</si>
  <si>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</si>
  <si>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</si>
  <si>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</si>
  <si>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</si>
  <si>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</si>
  <si>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</si>
  <si>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</si>
  <si>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</si>
  <si>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</si>
  <si>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</si>
  <si>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</si>
  <si>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</si>
  <si>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</si>
  <si>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</si>
  <si>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</si>
  <si>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2026 M06</t>
  </si>
  <si>
    <t>2026 M07</t>
  </si>
  <si>
    <t>All KMX</t>
  </si>
  <si>
    <t>FRANCHISE 3.1</t>
  </si>
  <si>
    <t>Franchise 3.1</t>
  </si>
  <si>
    <t>Franchise 4.0</t>
  </si>
  <si>
    <t>Franchise 4.1</t>
  </si>
  <si>
    <t>PANDA 1.0</t>
  </si>
  <si>
    <t>PANDA 2.0</t>
  </si>
  <si>
    <t>UNKNOWN 0.0</t>
  </si>
  <si>
    <t>All nonKMX</t>
  </si>
  <si>
    <t>FRN 3.1 TO 4.0 DRIFT</t>
  </si>
  <si>
    <t>MTN 3.0</t>
  </si>
  <si>
    <t>MTN 3.1</t>
  </si>
  <si>
    <t>MTN 3.2</t>
  </si>
  <si>
    <t>MTN 4.1</t>
  </si>
  <si>
    <t>FRN 3.0</t>
  </si>
  <si>
    <t>FRN 3.1</t>
  </si>
  <si>
    <t>FRN 4.1</t>
  </si>
  <si>
    <t>FRN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</si>
</sst>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KMX Average Model Score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124162005236138E-2"/>
          <c:y val="8.8538324505449656E-2"/>
          <c:w val="0.94520758264922622"/>
          <c:h val="0.79880542736506732"/>
        </c:manualLayout>
      </c:layout>
      <c:lineChart>
        <c:grouping val="standard"/>
        <c:varyColors val="0"/>
        <c:ser>
          <c:idx val="0"/>
          <c:order val="0"/>
          <c:tx>
            <c:strRef>
              <c:f>'KMX Avg Score'!$B$1</c:f>
              <c:strCache>
                <c:ptCount val="1"/>
                <c:pt idx="0">
                  <c:v>MOUNTAIN 1.0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Score'!$B$38:$B$80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4-4BBB-AA6A-2BAAD8F2593A}"/>
            </c:ext>
          </c:extLst>
        </c:ser>
        <c:ser>
          <c:idx val="1"/>
          <c:order val="1"/>
          <c:tx>
            <c:strRef>
              <c:f>'KMX Avg Score'!$C$1</c:f>
              <c:strCache>
                <c:ptCount val="1"/>
                <c:pt idx="0">
                  <c:v>MOUNTAIN 2.0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Score'!$C$38:$C$80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4-4BBB-AA6A-2BAAD8F2593A}"/>
            </c:ext>
          </c:extLst>
        </c:ser>
        <c:ser>
          <c:idx val="2"/>
          <c:order val="2"/>
          <c:tx>
            <c:strRef>
              <c:f>'KMX Avg Score'!$D$1</c:f>
              <c:strCache>
                <c:ptCount val="1"/>
                <c:pt idx="0">
                  <c:v>MOUNTAIN 2.1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Score'!$D$38:$D$80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4-4BBB-AA6A-2BAAD8F2593A}"/>
            </c:ext>
          </c:extLst>
        </c:ser>
        <c:ser>
          <c:idx val="3"/>
          <c:order val="3"/>
          <c:tx>
            <c:strRef>
              <c:f>'KMX Avg Score'!$E$1</c:f>
              <c:strCache>
                <c:ptCount val="1"/>
                <c:pt idx="0">
                  <c:v>MTN 3.0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Score'!$E$38:$E$80</c:f>
              <c:numCache>
                <c:formatCode>General</c:formatCode>
                <c:ptCount val="43"/>
                <c:pt idx="0">
                  <c:v>140.4</c:v>
                </c:pt>
                <c:pt idx="1">
                  <c:v>139.80000000000001</c:v>
                </c:pt>
                <c:pt idx="2">
                  <c:v>140.1</c:v>
                </c:pt>
                <c:pt idx="3">
                  <c:v>140.4</c:v>
                </c:pt>
                <c:pt idx="4">
                  <c:v>140.69999999999999</c:v>
                </c:pt>
                <c:pt idx="5">
                  <c:v>140.80000000000001</c:v>
                </c:pt>
                <c:pt idx="6">
                  <c:v>140.69999999999999</c:v>
                </c:pt>
                <c:pt idx="7">
                  <c:v>140.6</c:v>
                </c:pt>
                <c:pt idx="8">
                  <c:v>140.19999999999999</c:v>
                </c:pt>
                <c:pt idx="9">
                  <c:v>140.1</c:v>
                </c:pt>
                <c:pt idx="10">
                  <c:v>140.9</c:v>
                </c:pt>
                <c:pt idx="11">
                  <c:v>140.80000000000001</c:v>
                </c:pt>
                <c:pt idx="12">
                  <c:v>140.4</c:v>
                </c:pt>
                <c:pt idx="13">
                  <c:v>138.5</c:v>
                </c:pt>
                <c:pt idx="14">
                  <c:v>140.1</c:v>
                </c:pt>
                <c:pt idx="15">
                  <c:v>140.6</c:v>
                </c:pt>
                <c:pt idx="16">
                  <c:v>140.6</c:v>
                </c:pt>
                <c:pt idx="17">
                  <c:v>140.1</c:v>
                </c:pt>
                <c:pt idx="18">
                  <c:v>139.69999999999999</c:v>
                </c:pt>
                <c:pt idx="19">
                  <c:v>139.69999999999999</c:v>
                </c:pt>
                <c:pt idx="20">
                  <c:v>140.30000000000001</c:v>
                </c:pt>
                <c:pt idx="21">
                  <c:v>140.1</c:v>
                </c:pt>
                <c:pt idx="22">
                  <c:v>138.4</c:v>
                </c:pt>
                <c:pt idx="23">
                  <c:v>138.5</c:v>
                </c:pt>
                <c:pt idx="24">
                  <c:v>138.5</c:v>
                </c:pt>
                <c:pt idx="25">
                  <c:v>138.5</c:v>
                </c:pt>
                <c:pt idx="26">
                  <c:v>138.4</c:v>
                </c:pt>
                <c:pt idx="27">
                  <c:v>138</c:v>
                </c:pt>
                <c:pt idx="28">
                  <c:v>138.4</c:v>
                </c:pt>
                <c:pt idx="29">
                  <c:v>138.80000000000001</c:v>
                </c:pt>
                <c:pt idx="30">
                  <c:v>138.9</c:v>
                </c:pt>
                <c:pt idx="31">
                  <c:v>138.5</c:v>
                </c:pt>
                <c:pt idx="32">
                  <c:v>138.30000000000001</c:v>
                </c:pt>
                <c:pt idx="33">
                  <c:v>138.80000000000001</c:v>
                </c:pt>
                <c:pt idx="34">
                  <c:v>139</c:v>
                </c:pt>
                <c:pt idx="35">
                  <c:v>139.5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4-4BBB-AA6A-2BAAD8F2593A}"/>
            </c:ext>
          </c:extLst>
        </c:ser>
        <c:ser>
          <c:idx val="4"/>
          <c:order val="4"/>
          <c:tx>
            <c:strRef>
              <c:f>'KMX Avg Score'!$F$1</c:f>
              <c:strCache>
                <c:ptCount val="1"/>
                <c:pt idx="0">
                  <c:v>MTN 3.1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Score'!$F$38:$F$80</c:f>
              <c:numCache>
                <c:formatCode>General</c:formatCode>
                <c:ptCount val="43"/>
                <c:pt idx="21">
                  <c:v>142.69999999999999</c:v>
                </c:pt>
                <c:pt idx="22">
                  <c:v>142.1</c:v>
                </c:pt>
                <c:pt idx="23">
                  <c:v>141</c:v>
                </c:pt>
                <c:pt idx="24">
                  <c:v>141</c:v>
                </c:pt>
                <c:pt idx="25">
                  <c:v>140.5</c:v>
                </c:pt>
                <c:pt idx="26">
                  <c:v>140.69999999999999</c:v>
                </c:pt>
                <c:pt idx="27">
                  <c:v>141.30000000000001</c:v>
                </c:pt>
                <c:pt idx="28">
                  <c:v>140.9</c:v>
                </c:pt>
                <c:pt idx="29">
                  <c:v>141.1</c:v>
                </c:pt>
                <c:pt idx="30">
                  <c:v>141.19999999999999</c:v>
                </c:pt>
                <c:pt idx="31">
                  <c:v>140.9</c:v>
                </c:pt>
                <c:pt idx="32">
                  <c:v>141</c:v>
                </c:pt>
                <c:pt idx="33">
                  <c:v>141.5</c:v>
                </c:pt>
                <c:pt idx="34">
                  <c:v>142.30000000000001</c:v>
                </c:pt>
                <c:pt idx="35">
                  <c:v>142</c:v>
                </c:pt>
                <c:pt idx="36">
                  <c:v>141.6</c:v>
                </c:pt>
                <c:pt idx="37">
                  <c:v>141.80000000000001</c:v>
                </c:pt>
                <c:pt idx="38">
                  <c:v>142</c:v>
                </c:pt>
                <c:pt idx="3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84-4BBB-AA6A-2BAAD8F2593A}"/>
            </c:ext>
          </c:extLst>
        </c:ser>
        <c:ser>
          <c:idx val="5"/>
          <c:order val="5"/>
          <c:tx>
            <c:strRef>
              <c:f>'KMX Avg Score'!$G$1</c:f>
              <c:strCache>
                <c:ptCount val="1"/>
                <c:pt idx="0">
                  <c:v>MTN 3.2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Score'!$G$38:$G$80</c:f>
              <c:numCache>
                <c:formatCode>General</c:formatCode>
                <c:ptCount val="43"/>
                <c:pt idx="36">
                  <c:v>141.1</c:v>
                </c:pt>
                <c:pt idx="37">
                  <c:v>141.80000000000001</c:v>
                </c:pt>
                <c:pt idx="38">
                  <c:v>142.19999999999999</c:v>
                </c:pt>
                <c:pt idx="39">
                  <c:v>142.5</c:v>
                </c:pt>
                <c:pt idx="40">
                  <c:v>142.4</c:v>
                </c:pt>
                <c:pt idx="41">
                  <c:v>142.1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84-4BBB-AA6A-2BAAD8F2593A}"/>
            </c:ext>
          </c:extLst>
        </c:ser>
        <c:ser>
          <c:idx val="6"/>
          <c:order val="6"/>
          <c:tx>
            <c:strRef>
              <c:f>'KMX Avg Score'!$H$1</c:f>
              <c:strCache>
                <c:ptCount val="1"/>
                <c:pt idx="0">
                  <c:v>MTN 4.1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'KMX Avg Score'!$A$38:$A$80</c:f>
              <c:strCache>
                <c:ptCount val="42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</c:strCache>
            </c:strRef>
          </c:cat>
          <c:val>
            <c:numRef>
              <c:f>'KMX Avg Score'!$H$38:$H$80</c:f>
              <c:numCache>
                <c:formatCode>General</c:formatCode>
                <c:ptCount val="43"/>
                <c:pt idx="35">
                  <c:v>142.5</c:v>
                </c:pt>
                <c:pt idx="36">
                  <c:v>142.4</c:v>
                </c:pt>
                <c:pt idx="37">
                  <c:v>143.4</c:v>
                </c:pt>
                <c:pt idx="38">
                  <c:v>144.19999999999999</c:v>
                </c:pt>
                <c:pt idx="39">
                  <c:v>144.5</c:v>
                </c:pt>
                <c:pt idx="40">
                  <c:v>144.6</c:v>
                </c:pt>
                <c:pt idx="41">
                  <c:v>144.5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84-4BBB-AA6A-2BAAD8F25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147471"/>
        <c:axId val="763136431"/>
      </c:lineChart>
      <c:catAx>
        <c:axId val="7631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36431"/>
        <c:crosses val="autoZero"/>
        <c:auto val="1"/>
        <c:lblAlgn val="ctr"/>
        <c:lblOffset val="100"/>
        <c:noMultiLvlLbl val="0"/>
      </c:catAx>
      <c:valAx>
        <c:axId val="763136431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4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33079700967440612"/>
          <c:y val="0.80403474855556289"/>
          <c:w val="0.38926582721538072"/>
          <c:h val="6.515252469004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Coverage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'NonKMX Pct'!$B$1</c:f>
              <c:strCache>
                <c:ptCount val="1"/>
                <c:pt idx="0">
                  <c:v>PANDA 1.0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Pct'!$B$50:$B$79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C-4D1C-B796-80EA1EF2BDB0}"/>
            </c:ext>
          </c:extLst>
        </c:ser>
        <c:ser>
          <c:idx val="1"/>
          <c:order val="1"/>
          <c:tx>
            <c:strRef>
              <c:f>'NonKMX Pct'!$C$1</c:f>
              <c:strCache>
                <c:ptCount val="1"/>
                <c:pt idx="0">
                  <c:v>PANDA 2.0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Pct'!$C$50:$C$79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C-4D1C-B796-80EA1EF2BDB0}"/>
            </c:ext>
          </c:extLst>
        </c:ser>
        <c:ser>
          <c:idx val="2"/>
          <c:order val="2"/>
          <c:tx>
            <c:strRef>
              <c:f>'NonKMX Pct'!$D$1</c:f>
              <c:strCache>
                <c:ptCount val="1"/>
                <c:pt idx="0">
                  <c:v>FRANCHISE 3.0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Pct'!$D$50:$D$79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C-4D1C-B796-80EA1EF2BDB0}"/>
            </c:ext>
          </c:extLst>
        </c:ser>
        <c:ser>
          <c:idx val="3"/>
          <c:order val="3"/>
          <c:tx>
            <c:strRef>
              <c:f>'NonKMX Pct'!$E$1</c:f>
              <c:strCache>
                <c:ptCount val="1"/>
                <c:pt idx="0">
                  <c:v>Franchise 3.1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Pct'!$E$50:$E$79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98.5</c:v>
                </c:pt>
                <c:pt idx="14">
                  <c:v>95.3</c:v>
                </c:pt>
                <c:pt idx="15">
                  <c:v>94.1</c:v>
                </c:pt>
                <c:pt idx="16">
                  <c:v>90.2</c:v>
                </c:pt>
                <c:pt idx="17">
                  <c:v>78.7</c:v>
                </c:pt>
                <c:pt idx="18">
                  <c:v>78.7</c:v>
                </c:pt>
                <c:pt idx="19">
                  <c:v>71.8</c:v>
                </c:pt>
                <c:pt idx="20">
                  <c:v>58.9</c:v>
                </c:pt>
                <c:pt idx="21">
                  <c:v>57.6</c:v>
                </c:pt>
                <c:pt idx="22">
                  <c:v>54.7</c:v>
                </c:pt>
                <c:pt idx="23">
                  <c:v>14.8</c:v>
                </c:pt>
                <c:pt idx="24">
                  <c:v>11.5</c:v>
                </c:pt>
                <c:pt idx="25">
                  <c:v>9.6999999999999993</c:v>
                </c:pt>
                <c:pt idx="26">
                  <c:v>9.1999999999999993</c:v>
                </c:pt>
                <c:pt idx="27">
                  <c:v>8</c:v>
                </c:pt>
                <c:pt idx="28">
                  <c:v>4</c:v>
                </c:pt>
                <c:pt idx="2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C-4D1C-B796-80EA1EF2BDB0}"/>
            </c:ext>
          </c:extLst>
        </c:ser>
        <c:ser>
          <c:idx val="4"/>
          <c:order val="4"/>
          <c:tx>
            <c:strRef>
              <c:f>'NonKMX Pct'!$F$1</c:f>
              <c:strCache>
                <c:ptCount val="1"/>
                <c:pt idx="0">
                  <c:v>Franchise 4.0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Pct'!$F$50:$F$79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1.5</c:v>
                </c:pt>
                <c:pt idx="14">
                  <c:v>4.7</c:v>
                </c:pt>
                <c:pt idx="15">
                  <c:v>5.9</c:v>
                </c:pt>
                <c:pt idx="16">
                  <c:v>9.8000000000000007</c:v>
                </c:pt>
                <c:pt idx="17">
                  <c:v>21.3</c:v>
                </c:pt>
                <c:pt idx="18">
                  <c:v>21.3</c:v>
                </c:pt>
                <c:pt idx="19">
                  <c:v>28.2</c:v>
                </c:pt>
                <c:pt idx="20">
                  <c:v>41.1</c:v>
                </c:pt>
                <c:pt idx="21">
                  <c:v>42.4</c:v>
                </c:pt>
                <c:pt idx="22">
                  <c:v>45.3</c:v>
                </c:pt>
                <c:pt idx="23">
                  <c:v>83.1</c:v>
                </c:pt>
                <c:pt idx="24">
                  <c:v>77.8</c:v>
                </c:pt>
                <c:pt idx="25">
                  <c:v>68.2</c:v>
                </c:pt>
                <c:pt idx="26">
                  <c:v>41.2</c:v>
                </c:pt>
                <c:pt idx="27">
                  <c:v>43</c:v>
                </c:pt>
                <c:pt idx="28">
                  <c:v>26.4</c:v>
                </c:pt>
                <c:pt idx="29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1C-4D1C-B796-80EA1EF2BDB0}"/>
            </c:ext>
          </c:extLst>
        </c:ser>
        <c:ser>
          <c:idx val="5"/>
          <c:order val="5"/>
          <c:tx>
            <c:strRef>
              <c:f>'NonKMX Pct'!$G$1</c:f>
              <c:strCache>
                <c:ptCount val="1"/>
                <c:pt idx="0">
                  <c:v>Franchise 4.1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strRef>
              <c:f>'NonKMX Pct'!$A$50:$A$79</c:f>
              <c:strCache>
                <c:ptCount val="30"/>
                <c:pt idx="0">
                  <c:v>2024 M01</c:v>
                </c:pt>
                <c:pt idx="1">
                  <c:v>2024 M02</c:v>
                </c:pt>
                <c:pt idx="2">
                  <c:v>2024 M03</c:v>
                </c:pt>
                <c:pt idx="3">
                  <c:v>2024 M04</c:v>
                </c:pt>
                <c:pt idx="4">
                  <c:v>2024 M05</c:v>
                </c:pt>
                <c:pt idx="5">
                  <c:v>2024 M06</c:v>
                </c:pt>
                <c:pt idx="6">
                  <c:v>2024 M07</c:v>
                </c:pt>
                <c:pt idx="7">
                  <c:v>2024 M08</c:v>
                </c:pt>
                <c:pt idx="8">
                  <c:v>2024 M09</c:v>
                </c:pt>
                <c:pt idx="9">
                  <c:v>2024 M10</c:v>
                </c:pt>
                <c:pt idx="10">
                  <c:v>2024 M11</c:v>
                </c:pt>
                <c:pt idx="11">
                  <c:v>2024 M12</c:v>
                </c:pt>
                <c:pt idx="12">
                  <c:v>2025 M01</c:v>
                </c:pt>
                <c:pt idx="13">
                  <c:v>2025 M02</c:v>
                </c:pt>
                <c:pt idx="14">
                  <c:v>2025 M03</c:v>
                </c:pt>
                <c:pt idx="15">
                  <c:v>2025 M04</c:v>
                </c:pt>
                <c:pt idx="16">
                  <c:v>2025 M05</c:v>
                </c:pt>
                <c:pt idx="17">
                  <c:v>2025 M06</c:v>
                </c:pt>
                <c:pt idx="18">
                  <c:v>2025 M07</c:v>
                </c:pt>
                <c:pt idx="19">
                  <c:v>2025 M08</c:v>
                </c:pt>
                <c:pt idx="20">
                  <c:v>2025 M09</c:v>
                </c:pt>
                <c:pt idx="21">
                  <c:v>2025 M10</c:v>
                </c:pt>
                <c:pt idx="22">
                  <c:v>2025 M11</c:v>
                </c:pt>
                <c:pt idx="23">
                  <c:v>2025 M12</c:v>
                </c:pt>
                <c:pt idx="24">
                  <c:v>2026 M01</c:v>
                </c:pt>
                <c:pt idx="25">
                  <c:v>2026 M02</c:v>
                </c:pt>
                <c:pt idx="26">
                  <c:v>2026 M03</c:v>
                </c:pt>
                <c:pt idx="27">
                  <c:v>2026 M04</c:v>
                </c:pt>
                <c:pt idx="28">
                  <c:v>2026 M05</c:v>
                </c:pt>
                <c:pt idx="29">
                  <c:v>2026 M06</c:v>
                </c:pt>
              </c:strCache>
            </c:strRef>
          </c:cat>
          <c:val>
            <c:numRef>
              <c:f>'NonKMX Pct'!$G$50:$G$79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2.1</c:v>
                </c:pt>
                <c:pt idx="24">
                  <c:v>10.8</c:v>
                </c:pt>
                <c:pt idx="25">
                  <c:v>22.1</c:v>
                </c:pt>
                <c:pt idx="26">
                  <c:v>49.6</c:v>
                </c:pt>
                <c:pt idx="27">
                  <c:v>49</c:v>
                </c:pt>
                <c:pt idx="28">
                  <c:v>69.599999999999994</c:v>
                </c:pt>
                <c:pt idx="29">
                  <c:v>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9-4D8A-9F2F-A66D7C7F8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908447"/>
        <c:axId val="1077773023"/>
      </c:areaChart>
      <c:catAx>
        <c:axId val="778908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773023"/>
        <c:crosses val="autoZero"/>
        <c:auto val="1"/>
        <c:lblAlgn val="ctr"/>
        <c:lblOffset val="100"/>
        <c:noMultiLvlLbl val="0"/>
      </c:catAx>
      <c:valAx>
        <c:axId val="10777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90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FINE Average Model Score by Model</a:t>
            </a:r>
          </a:p>
        </c:rich>
      </c:tx>
      <c:layout>
        <c:manualLayout>
          <c:xMode val="edge"/>
          <c:yMode val="edge"/>
          <c:x val="0.206621884409356"/>
          <c:y val="2.10879669914263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'NonKMX Avg Score'!$B$1</c:f>
              <c:strCache>
                <c:ptCount val="1"/>
                <c:pt idx="0">
                  <c:v>PANDA 1.0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Score'!$B$38:$B$80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9F2-406D-A7D6-BE0B0481023C}"/>
            </c:ext>
          </c:extLst>
        </c:ser>
        <c:ser>
          <c:idx val="7"/>
          <c:order val="1"/>
          <c:tx>
            <c:strRef>
              <c:f>'NonKMX Avg Score'!$C$1</c:f>
              <c:strCache>
                <c:ptCount val="1"/>
                <c:pt idx="0">
                  <c:v>PANDA 2.0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Score'!$C$38:$C$80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9F2-406D-A7D6-BE0B0481023C}"/>
            </c:ext>
          </c:extLst>
        </c:ser>
        <c:ser>
          <c:idx val="8"/>
          <c:order val="2"/>
          <c:tx>
            <c:strRef>
              <c:f>'NonKMX Avg Score'!$D$1</c:f>
              <c:strCache>
                <c:ptCount val="1"/>
                <c:pt idx="0">
                  <c:v>FRN 3.0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Score'!$D$38:$D$80</c:f>
              <c:numCache>
                <c:formatCode>General</c:formatCode>
                <c:ptCount val="43"/>
                <c:pt idx="0">
                  <c:v>135.5</c:v>
                </c:pt>
                <c:pt idx="1">
                  <c:v>135.80000000000001</c:v>
                </c:pt>
                <c:pt idx="2">
                  <c:v>135.69999999999999</c:v>
                </c:pt>
                <c:pt idx="3">
                  <c:v>136.30000000000001</c:v>
                </c:pt>
                <c:pt idx="4">
                  <c:v>136.69999999999999</c:v>
                </c:pt>
                <c:pt idx="5">
                  <c:v>135.6</c:v>
                </c:pt>
                <c:pt idx="6">
                  <c:v>135.4</c:v>
                </c:pt>
                <c:pt idx="7">
                  <c:v>137.19999999999999</c:v>
                </c:pt>
                <c:pt idx="8">
                  <c:v>137.9</c:v>
                </c:pt>
                <c:pt idx="9">
                  <c:v>137.4</c:v>
                </c:pt>
                <c:pt idx="10">
                  <c:v>136.69999999999999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9F2-406D-A7D6-BE0B0481023C}"/>
            </c:ext>
          </c:extLst>
        </c:ser>
        <c:ser>
          <c:idx val="9"/>
          <c:order val="3"/>
          <c:tx>
            <c:strRef>
              <c:f>'NonKMX Avg Score'!$E$1</c:f>
              <c:strCache>
                <c:ptCount val="1"/>
                <c:pt idx="0">
                  <c:v>FRN 3.1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Score'!$E$38:$E$80</c:f>
              <c:numCache>
                <c:formatCode>General</c:formatCode>
                <c:ptCount val="43"/>
                <c:pt idx="8">
                  <c:v>138.80000000000001</c:v>
                </c:pt>
                <c:pt idx="9">
                  <c:v>138.4</c:v>
                </c:pt>
                <c:pt idx="10">
                  <c:v>137.4</c:v>
                </c:pt>
                <c:pt idx="11">
                  <c:v>137.30000000000001</c:v>
                </c:pt>
                <c:pt idx="12">
                  <c:v>137.5</c:v>
                </c:pt>
                <c:pt idx="13">
                  <c:v>137.30000000000001</c:v>
                </c:pt>
                <c:pt idx="14">
                  <c:v>136.9</c:v>
                </c:pt>
                <c:pt idx="15">
                  <c:v>137.80000000000001</c:v>
                </c:pt>
                <c:pt idx="16">
                  <c:v>138.30000000000001</c:v>
                </c:pt>
                <c:pt idx="17">
                  <c:v>138.80000000000001</c:v>
                </c:pt>
                <c:pt idx="18">
                  <c:v>138.9</c:v>
                </c:pt>
                <c:pt idx="19">
                  <c:v>139.5</c:v>
                </c:pt>
                <c:pt idx="20">
                  <c:v>139.30000000000001</c:v>
                </c:pt>
                <c:pt idx="21">
                  <c:v>138.30000000000001</c:v>
                </c:pt>
                <c:pt idx="22">
                  <c:v>137.4</c:v>
                </c:pt>
                <c:pt idx="23">
                  <c:v>137.1</c:v>
                </c:pt>
                <c:pt idx="24">
                  <c:v>136.30000000000001</c:v>
                </c:pt>
                <c:pt idx="25">
                  <c:v>137</c:v>
                </c:pt>
                <c:pt idx="26">
                  <c:v>137.19999999999999</c:v>
                </c:pt>
                <c:pt idx="27">
                  <c:v>138</c:v>
                </c:pt>
                <c:pt idx="28">
                  <c:v>138.4</c:v>
                </c:pt>
                <c:pt idx="29">
                  <c:v>138.19999999999999</c:v>
                </c:pt>
                <c:pt idx="30">
                  <c:v>138.5</c:v>
                </c:pt>
                <c:pt idx="31">
                  <c:v>137.9</c:v>
                </c:pt>
                <c:pt idx="32">
                  <c:v>137.6</c:v>
                </c:pt>
                <c:pt idx="33">
                  <c:v>137.80000000000001</c:v>
                </c:pt>
                <c:pt idx="34">
                  <c:v>137.69999999999999</c:v>
                </c:pt>
                <c:pt idx="35">
                  <c:v>136.30000000000001</c:v>
                </c:pt>
                <c:pt idx="36">
                  <c:v>137</c:v>
                </c:pt>
                <c:pt idx="37">
                  <c:v>137.19999999999999</c:v>
                </c:pt>
                <c:pt idx="38">
                  <c:v>137.30000000000001</c:v>
                </c:pt>
                <c:pt idx="39">
                  <c:v>137.69999999999999</c:v>
                </c:pt>
                <c:pt idx="40">
                  <c:v>137.5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9F2-406D-A7D6-BE0B0481023C}"/>
            </c:ext>
          </c:extLst>
        </c:ser>
        <c:ser>
          <c:idx val="10"/>
          <c:order val="4"/>
          <c:tx>
            <c:strRef>
              <c:f>'NonKMX Avg Score'!$F$1</c:f>
              <c:strCache>
                <c:ptCount val="1"/>
                <c:pt idx="0">
                  <c:v>FRN 4.0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Score'!$F$38:$F$80</c:f>
              <c:numCache>
                <c:formatCode>General</c:formatCode>
                <c:ptCount val="43"/>
                <c:pt idx="25">
                  <c:v>137.80000000000001</c:v>
                </c:pt>
                <c:pt idx="26">
                  <c:v>138.4</c:v>
                </c:pt>
                <c:pt idx="27">
                  <c:v>140.19999999999999</c:v>
                </c:pt>
                <c:pt idx="28">
                  <c:v>141</c:v>
                </c:pt>
                <c:pt idx="29">
                  <c:v>141.1</c:v>
                </c:pt>
                <c:pt idx="30">
                  <c:v>141.30000000000001</c:v>
                </c:pt>
                <c:pt idx="31">
                  <c:v>140.9</c:v>
                </c:pt>
                <c:pt idx="32">
                  <c:v>141.1</c:v>
                </c:pt>
                <c:pt idx="33">
                  <c:v>141</c:v>
                </c:pt>
                <c:pt idx="34">
                  <c:v>141.30000000000001</c:v>
                </c:pt>
                <c:pt idx="35">
                  <c:v>141.5</c:v>
                </c:pt>
                <c:pt idx="36">
                  <c:v>141.80000000000001</c:v>
                </c:pt>
                <c:pt idx="37">
                  <c:v>141.5</c:v>
                </c:pt>
                <c:pt idx="38">
                  <c:v>141.4</c:v>
                </c:pt>
                <c:pt idx="39">
                  <c:v>141.9</c:v>
                </c:pt>
                <c:pt idx="40">
                  <c:v>141.6</c:v>
                </c:pt>
                <c:pt idx="41">
                  <c:v>140.1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9F2-406D-A7D6-BE0B0481023C}"/>
            </c:ext>
          </c:extLst>
        </c:ser>
        <c:ser>
          <c:idx val="11"/>
          <c:order val="5"/>
          <c:tx>
            <c:strRef>
              <c:f>'NonKMX Avg Score'!$G$1</c:f>
              <c:strCache>
                <c:ptCount val="1"/>
                <c:pt idx="0">
                  <c:v>FRN 4.1</c:v>
                </c:pt>
              </c:strCache>
            </c:strRef>
          </c:tx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Score'!$G$38:$G$80</c:f>
              <c:numCache>
                <c:formatCode>General</c:formatCode>
                <c:ptCount val="43"/>
                <c:pt idx="35">
                  <c:v>143.6</c:v>
                </c:pt>
                <c:pt idx="36">
                  <c:v>142.80000000000001</c:v>
                </c:pt>
                <c:pt idx="37">
                  <c:v>142.4</c:v>
                </c:pt>
                <c:pt idx="38">
                  <c:v>142.1</c:v>
                </c:pt>
                <c:pt idx="39">
                  <c:v>142.4</c:v>
                </c:pt>
                <c:pt idx="40">
                  <c:v>142.4</c:v>
                </c:pt>
                <c:pt idx="41">
                  <c:v>142.5</c:v>
                </c:pt>
                <c:pt idx="42">
                  <c:v>142.6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9F2-406D-A7D6-BE0B0481023C}"/>
            </c:ext>
          </c:extLst>
        </c:ser>
        <c:ser>
          <c:idx val="0"/>
          <c:order val="6"/>
          <c:tx>
            <c:strRef>
              <c:f>'NonKMX Avg Score'!$B$1</c:f>
              <c:strCache>
                <c:ptCount val="1"/>
                <c:pt idx="0">
                  <c:v>PANDA 1.0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Score'!$B$38:$B$80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F2-406D-A7D6-BE0B0481023C}"/>
            </c:ext>
          </c:extLst>
        </c:ser>
        <c:ser>
          <c:idx val="1"/>
          <c:order val="7"/>
          <c:tx>
            <c:strRef>
              <c:f>'NonKMX Avg Score'!$C$1</c:f>
              <c:strCache>
                <c:ptCount val="1"/>
                <c:pt idx="0">
                  <c:v>PANDA 2.0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Score'!$C$38:$C$80</c:f>
              <c:numCache>
                <c:formatCode>General</c:formatCode>
                <c:ptCount val="4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F2-406D-A7D6-BE0B0481023C}"/>
            </c:ext>
          </c:extLst>
        </c:ser>
        <c:ser>
          <c:idx val="2"/>
          <c:order val="8"/>
          <c:tx>
            <c:strRef>
              <c:f>'NonKMX Avg Score'!$D$1</c:f>
              <c:strCache>
                <c:ptCount val="1"/>
                <c:pt idx="0">
                  <c:v>FRN 3.0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Score'!$D$38:$D$80</c:f>
              <c:numCache>
                <c:formatCode>General</c:formatCode>
                <c:ptCount val="43"/>
                <c:pt idx="0">
                  <c:v>135.5</c:v>
                </c:pt>
                <c:pt idx="1">
                  <c:v>135.80000000000001</c:v>
                </c:pt>
                <c:pt idx="2">
                  <c:v>135.69999999999999</c:v>
                </c:pt>
                <c:pt idx="3">
                  <c:v>136.30000000000001</c:v>
                </c:pt>
                <c:pt idx="4">
                  <c:v>136.69999999999999</c:v>
                </c:pt>
                <c:pt idx="5">
                  <c:v>135.6</c:v>
                </c:pt>
                <c:pt idx="6">
                  <c:v>135.4</c:v>
                </c:pt>
                <c:pt idx="7">
                  <c:v>137.19999999999999</c:v>
                </c:pt>
                <c:pt idx="8">
                  <c:v>137.9</c:v>
                </c:pt>
                <c:pt idx="9">
                  <c:v>137.4</c:v>
                </c:pt>
                <c:pt idx="10">
                  <c:v>136.69999999999999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F2-406D-A7D6-BE0B0481023C}"/>
            </c:ext>
          </c:extLst>
        </c:ser>
        <c:ser>
          <c:idx val="3"/>
          <c:order val="9"/>
          <c:tx>
            <c:strRef>
              <c:f>'NonKMX Avg Score'!$E$1</c:f>
              <c:strCache>
                <c:ptCount val="1"/>
                <c:pt idx="0">
                  <c:v>FRN 3.1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Score'!$E$38:$E$80</c:f>
              <c:numCache>
                <c:formatCode>General</c:formatCode>
                <c:ptCount val="43"/>
                <c:pt idx="8">
                  <c:v>138.80000000000001</c:v>
                </c:pt>
                <c:pt idx="9">
                  <c:v>138.4</c:v>
                </c:pt>
                <c:pt idx="10">
                  <c:v>137.4</c:v>
                </c:pt>
                <c:pt idx="11">
                  <c:v>137.30000000000001</c:v>
                </c:pt>
                <c:pt idx="12">
                  <c:v>137.5</c:v>
                </c:pt>
                <c:pt idx="13">
                  <c:v>137.30000000000001</c:v>
                </c:pt>
                <c:pt idx="14">
                  <c:v>136.9</c:v>
                </c:pt>
                <c:pt idx="15">
                  <c:v>137.80000000000001</c:v>
                </c:pt>
                <c:pt idx="16">
                  <c:v>138.30000000000001</c:v>
                </c:pt>
                <c:pt idx="17">
                  <c:v>138.80000000000001</c:v>
                </c:pt>
                <c:pt idx="18">
                  <c:v>138.9</c:v>
                </c:pt>
                <c:pt idx="19">
                  <c:v>139.5</c:v>
                </c:pt>
                <c:pt idx="20">
                  <c:v>139.30000000000001</c:v>
                </c:pt>
                <c:pt idx="21">
                  <c:v>138.30000000000001</c:v>
                </c:pt>
                <c:pt idx="22">
                  <c:v>137.4</c:v>
                </c:pt>
                <c:pt idx="23">
                  <c:v>137.1</c:v>
                </c:pt>
                <c:pt idx="24">
                  <c:v>136.30000000000001</c:v>
                </c:pt>
                <c:pt idx="25">
                  <c:v>137</c:v>
                </c:pt>
                <c:pt idx="26">
                  <c:v>137.19999999999999</c:v>
                </c:pt>
                <c:pt idx="27">
                  <c:v>138</c:v>
                </c:pt>
                <c:pt idx="28">
                  <c:v>138.4</c:v>
                </c:pt>
                <c:pt idx="29">
                  <c:v>138.19999999999999</c:v>
                </c:pt>
                <c:pt idx="30">
                  <c:v>138.5</c:v>
                </c:pt>
                <c:pt idx="31">
                  <c:v>137.9</c:v>
                </c:pt>
                <c:pt idx="32">
                  <c:v>137.6</c:v>
                </c:pt>
                <c:pt idx="33">
                  <c:v>137.80000000000001</c:v>
                </c:pt>
                <c:pt idx="34">
                  <c:v>137.69999999999999</c:v>
                </c:pt>
                <c:pt idx="35">
                  <c:v>136.30000000000001</c:v>
                </c:pt>
                <c:pt idx="36">
                  <c:v>137</c:v>
                </c:pt>
                <c:pt idx="37">
                  <c:v>137.19999999999999</c:v>
                </c:pt>
                <c:pt idx="38">
                  <c:v>137.30000000000001</c:v>
                </c:pt>
                <c:pt idx="39">
                  <c:v>137.69999999999999</c:v>
                </c:pt>
                <c:pt idx="40">
                  <c:v>137.5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F2-406D-A7D6-BE0B0481023C}"/>
            </c:ext>
          </c:extLst>
        </c:ser>
        <c:ser>
          <c:idx val="4"/>
          <c:order val="10"/>
          <c:tx>
            <c:strRef>
              <c:f>'NonKMX Avg Score'!$F$1</c:f>
              <c:strCache>
                <c:ptCount val="1"/>
                <c:pt idx="0">
                  <c:v>FRN 4.0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Score'!$F$38:$F$80</c:f>
              <c:numCache>
                <c:formatCode>General</c:formatCode>
                <c:ptCount val="43"/>
                <c:pt idx="25">
                  <c:v>137.80000000000001</c:v>
                </c:pt>
                <c:pt idx="26">
                  <c:v>138.4</c:v>
                </c:pt>
                <c:pt idx="27">
                  <c:v>140.19999999999999</c:v>
                </c:pt>
                <c:pt idx="28">
                  <c:v>141</c:v>
                </c:pt>
                <c:pt idx="29">
                  <c:v>141.1</c:v>
                </c:pt>
                <c:pt idx="30">
                  <c:v>141.30000000000001</c:v>
                </c:pt>
                <c:pt idx="31">
                  <c:v>140.9</c:v>
                </c:pt>
                <c:pt idx="32">
                  <c:v>141.1</c:v>
                </c:pt>
                <c:pt idx="33">
                  <c:v>141</c:v>
                </c:pt>
                <c:pt idx="34">
                  <c:v>141.30000000000001</c:v>
                </c:pt>
                <c:pt idx="35">
                  <c:v>141.5</c:v>
                </c:pt>
                <c:pt idx="36">
                  <c:v>141.80000000000001</c:v>
                </c:pt>
                <c:pt idx="37">
                  <c:v>141.5</c:v>
                </c:pt>
                <c:pt idx="38">
                  <c:v>141.4</c:v>
                </c:pt>
                <c:pt idx="39">
                  <c:v>141.9</c:v>
                </c:pt>
                <c:pt idx="40">
                  <c:v>141.6</c:v>
                </c:pt>
                <c:pt idx="41">
                  <c:v>140.1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F2-406D-A7D6-BE0B0481023C}"/>
            </c:ext>
          </c:extLst>
        </c:ser>
        <c:ser>
          <c:idx val="5"/>
          <c:order val="11"/>
          <c:tx>
            <c:strRef>
              <c:f>'NonKMX Avg Score'!$G$1</c:f>
              <c:strCache>
                <c:ptCount val="1"/>
                <c:pt idx="0">
                  <c:v>FRN 4.1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'NonKMX Avg Score'!$A$38:$A$80</c:f>
              <c:strCache>
                <c:ptCount val="43"/>
                <c:pt idx="0">
                  <c:v>2023 M01</c:v>
                </c:pt>
                <c:pt idx="1">
                  <c:v>2023 M02</c:v>
                </c:pt>
                <c:pt idx="2">
                  <c:v>2023 M03</c:v>
                </c:pt>
                <c:pt idx="3">
                  <c:v>2023 M04</c:v>
                </c:pt>
                <c:pt idx="4">
                  <c:v>2023 M05</c:v>
                </c:pt>
                <c:pt idx="5">
                  <c:v>2023 M06</c:v>
                </c:pt>
                <c:pt idx="6">
                  <c:v>2023 M07</c:v>
                </c:pt>
                <c:pt idx="7">
                  <c:v>2023 M08</c:v>
                </c:pt>
                <c:pt idx="8">
                  <c:v>2023 M09</c:v>
                </c:pt>
                <c:pt idx="9">
                  <c:v>2023 M10</c:v>
                </c:pt>
                <c:pt idx="10">
                  <c:v>2023 M11</c:v>
                </c:pt>
                <c:pt idx="11">
                  <c:v>2023 M12</c:v>
                </c:pt>
                <c:pt idx="12">
                  <c:v>2024 M01</c:v>
                </c:pt>
                <c:pt idx="13">
                  <c:v>2024 M02</c:v>
                </c:pt>
                <c:pt idx="14">
                  <c:v>2024 M03</c:v>
                </c:pt>
                <c:pt idx="15">
                  <c:v>2024 M04</c:v>
                </c:pt>
                <c:pt idx="16">
                  <c:v>2024 M05</c:v>
                </c:pt>
                <c:pt idx="17">
                  <c:v>2024 M06</c:v>
                </c:pt>
                <c:pt idx="18">
                  <c:v>2024 M07</c:v>
                </c:pt>
                <c:pt idx="19">
                  <c:v>2024 M08</c:v>
                </c:pt>
                <c:pt idx="20">
                  <c:v>2024 M09</c:v>
                </c:pt>
                <c:pt idx="21">
                  <c:v>2024 M10</c:v>
                </c:pt>
                <c:pt idx="22">
                  <c:v>2024 M11</c:v>
                </c:pt>
                <c:pt idx="23">
                  <c:v>2024 M12</c:v>
                </c:pt>
                <c:pt idx="24">
                  <c:v>2025 M01</c:v>
                </c:pt>
                <c:pt idx="25">
                  <c:v>2025 M02</c:v>
                </c:pt>
                <c:pt idx="26">
                  <c:v>2025 M03</c:v>
                </c:pt>
                <c:pt idx="27">
                  <c:v>2025 M04</c:v>
                </c:pt>
                <c:pt idx="28">
                  <c:v>2025 M05</c:v>
                </c:pt>
                <c:pt idx="29">
                  <c:v>2025 M06</c:v>
                </c:pt>
                <c:pt idx="30">
                  <c:v>2025 M07</c:v>
                </c:pt>
                <c:pt idx="31">
                  <c:v>2025 M08</c:v>
                </c:pt>
                <c:pt idx="32">
                  <c:v>2025 M09</c:v>
                </c:pt>
                <c:pt idx="33">
                  <c:v>2025 M10</c:v>
                </c:pt>
                <c:pt idx="34">
                  <c:v>2025 M11</c:v>
                </c:pt>
                <c:pt idx="35">
                  <c:v>2025 M12</c:v>
                </c:pt>
                <c:pt idx="36">
                  <c:v>2026 M01</c:v>
                </c:pt>
                <c:pt idx="37">
                  <c:v>2026 M02</c:v>
                </c:pt>
                <c:pt idx="38">
                  <c:v>2026 M03</c:v>
                </c:pt>
                <c:pt idx="39">
                  <c:v>2026 M04</c:v>
                </c:pt>
                <c:pt idx="40">
                  <c:v>2026 M05</c:v>
                </c:pt>
                <c:pt idx="41">
                  <c:v>2026 M06</c:v>
                </c:pt>
                <c:pt idx="42">
                  <c:v>2026 M07</c:v>
                </c:pt>
              </c:strCache>
            </c:strRef>
          </c:cat>
          <c:val>
            <c:numRef>
              <c:f>'NonKMX Avg Score'!$G$38:$G$80</c:f>
              <c:numCache>
                <c:formatCode>General</c:formatCode>
                <c:ptCount val="43"/>
                <c:pt idx="35">
                  <c:v>143.6</c:v>
                </c:pt>
                <c:pt idx="36">
                  <c:v>142.80000000000001</c:v>
                </c:pt>
                <c:pt idx="37">
                  <c:v>142.4</c:v>
                </c:pt>
                <c:pt idx="38">
                  <c:v>142.1</c:v>
                </c:pt>
                <c:pt idx="39">
                  <c:v>142.4</c:v>
                </c:pt>
                <c:pt idx="40">
                  <c:v>142.4</c:v>
                </c:pt>
                <c:pt idx="41">
                  <c:v>142.5</c:v>
                </c:pt>
                <c:pt idx="42">
                  <c:v>142.6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F2-406D-A7D6-BE0B04810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394287"/>
        <c:axId val="948029455"/>
      </c:lineChart>
      <c:catAx>
        <c:axId val="73139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29455"/>
        <c:crosses val="autoZero"/>
        <c:auto val="1"/>
        <c:lblAlgn val="ctr"/>
        <c:lblOffset val="100"/>
        <c:noMultiLvlLbl val="0"/>
      </c:catAx>
      <c:valAx>
        <c:axId val="948029455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394287"/>
        <c:crosses val="autoZero"/>
        <c:crossBetween val="between"/>
      </c:valAx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8148506269567682"/>
          <c:y val="0.78839029917412295"/>
          <c:w val="0.59176601892771041"/>
          <c:h val="3.9045380047237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75372</xdr:rowOff>
    </xdr:from>
    <xdr:to>
      <xdr:col>28</xdr:col>
      <xdr:colOff>27215</xdr:colOff>
      <xdr:row>40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036DE-F78B-2C72-4E08-9D87B88F7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432352</xdr:colOff>
      <xdr:row>9</xdr:row>
      <xdr:rowOff>47763</xdr:rowOff>
    </xdr:from>
    <xdr:to>
      <xdr:col>31</xdr:col>
      <xdr:colOff>403876</xdr:colOff>
      <xdr:row>34</xdr:row>
      <xdr:rowOff>163304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48099-B9AA-969B-7200-EE520485F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151668</xdr:colOff>
      <xdr:row>4</xdr:row>
      <xdr:rowOff>154351</xdr:rowOff>
    </xdr:from>
    <xdr:to>
      <xdr:col>24</xdr:col>
      <xdr:colOff>571501</xdr:colOff>
      <xdr:row>37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774E6D-EED5-0F2F-C2AA-7C4CF44D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zoomScale="80" zoomScaleNormal="100" workbookViewId="0">
      <pane ySplit="1" topLeftCell="A2" activePane="bottomLeft" state="frozen"/>
      <selection pane="bottomLeft" activeCell="K73" sqref="K73"/>
    </sheetView>
  </sheetViews>
  <sheetFormatPr defaultRowHeight="14.5" x14ac:dyDescent="0.35"/>
  <cols>
    <col min="2" max="2" width="13.1796875" bestFit="1" customWidth="1"/>
    <col min="3" max="7" width="13.54296875" bestFit="1" customWidth="1"/>
    <col min="8" max="11" width="12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0</v>
      </c>
      <c r="C2">
        <v>35</v>
      </c>
      <c r="D2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5661</v>
      </c>
    </row>
    <row r="3" spans="1:12" x14ac:dyDescent="0.35">
      <c r="A3" t="s">
        <v>13</v>
      </c>
      <c r="B3">
        <v>0</v>
      </c>
      <c r="C3">
        <v>0.2</v>
      </c>
      <c r="D3">
        <v>99.8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7079</v>
      </c>
    </row>
    <row r="4" spans="1:12" x14ac:dyDescent="0.35">
      <c r="A4" t="s">
        <v>14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9749</v>
      </c>
    </row>
    <row r="5" spans="1:12" x14ac:dyDescent="0.35">
      <c r="A5" t="s">
        <v>15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3633</v>
      </c>
    </row>
    <row r="6" spans="1:12" x14ac:dyDescent="0.35">
      <c r="A6" t="s">
        <v>16</v>
      </c>
      <c r="B6">
        <v>0</v>
      </c>
      <c r="C6">
        <v>0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6444</v>
      </c>
    </row>
    <row r="7" spans="1:12" x14ac:dyDescent="0.35">
      <c r="A7" t="s">
        <v>17</v>
      </c>
      <c r="B7">
        <v>0</v>
      </c>
      <c r="C7">
        <v>0</v>
      </c>
      <c r="D7">
        <v>96.7</v>
      </c>
      <c r="E7">
        <v>3.3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7816</v>
      </c>
    </row>
    <row r="8" spans="1:12" x14ac:dyDescent="0.35">
      <c r="A8" t="s">
        <v>18</v>
      </c>
      <c r="B8">
        <v>0</v>
      </c>
      <c r="C8">
        <v>0</v>
      </c>
      <c r="D8">
        <v>90.3</v>
      </c>
      <c r="E8">
        <v>9.6999999999999993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8559</v>
      </c>
    </row>
    <row r="9" spans="1:12" x14ac:dyDescent="0.35">
      <c r="A9" t="s">
        <v>19</v>
      </c>
      <c r="B9">
        <v>0</v>
      </c>
      <c r="C9">
        <v>0</v>
      </c>
      <c r="D9">
        <v>79.5</v>
      </c>
      <c r="E9">
        <v>20.5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7406</v>
      </c>
    </row>
    <row r="10" spans="1:12" x14ac:dyDescent="0.35">
      <c r="A10" t="s">
        <v>20</v>
      </c>
      <c r="B10">
        <v>0</v>
      </c>
      <c r="C10">
        <v>0</v>
      </c>
      <c r="D10">
        <v>50.6</v>
      </c>
      <c r="E10">
        <v>49.4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6565</v>
      </c>
    </row>
    <row r="11" spans="1:12" x14ac:dyDescent="0.35">
      <c r="A11" t="s">
        <v>21</v>
      </c>
      <c r="B11">
        <v>0</v>
      </c>
      <c r="C11">
        <v>0</v>
      </c>
      <c r="D11">
        <v>49.3</v>
      </c>
      <c r="E11">
        <v>50.7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6005</v>
      </c>
    </row>
    <row r="12" spans="1:12" x14ac:dyDescent="0.35">
      <c r="A12" t="s">
        <v>22</v>
      </c>
      <c r="B12">
        <v>0</v>
      </c>
      <c r="C12">
        <v>0</v>
      </c>
      <c r="D12">
        <v>2</v>
      </c>
      <c r="E12">
        <v>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6222</v>
      </c>
    </row>
    <row r="13" spans="1:12" x14ac:dyDescent="0.35">
      <c r="A13" t="s">
        <v>23</v>
      </c>
      <c r="B13">
        <v>0</v>
      </c>
      <c r="C13">
        <v>0</v>
      </c>
      <c r="D13">
        <v>0.1</v>
      </c>
      <c r="E13">
        <v>99.9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5224</v>
      </c>
    </row>
    <row r="14" spans="1:12" x14ac:dyDescent="0.35">
      <c r="A14" t="s">
        <v>24</v>
      </c>
      <c r="B14">
        <v>0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6308</v>
      </c>
    </row>
    <row r="15" spans="1:12" x14ac:dyDescent="0.35">
      <c r="A15" t="s">
        <v>25</v>
      </c>
      <c r="B15">
        <v>0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6768</v>
      </c>
    </row>
    <row r="16" spans="1:12" x14ac:dyDescent="0.35">
      <c r="A16" t="s">
        <v>26</v>
      </c>
      <c r="B16">
        <v>0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12979</v>
      </c>
    </row>
    <row r="17" spans="1:12" x14ac:dyDescent="0.35">
      <c r="A17" t="s">
        <v>27</v>
      </c>
      <c r="B17">
        <v>0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8704</v>
      </c>
    </row>
    <row r="18" spans="1:12" x14ac:dyDescent="0.35">
      <c r="A18" t="s">
        <v>28</v>
      </c>
      <c r="B18">
        <v>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6056</v>
      </c>
    </row>
    <row r="19" spans="1:12" x14ac:dyDescent="0.35">
      <c r="A19" t="s">
        <v>29</v>
      </c>
      <c r="B19">
        <v>0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5736</v>
      </c>
    </row>
    <row r="20" spans="1:12" x14ac:dyDescent="0.35">
      <c r="A20" t="s">
        <v>30</v>
      </c>
      <c r="B20">
        <v>0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5973</v>
      </c>
    </row>
    <row r="21" spans="1:12" x14ac:dyDescent="0.35">
      <c r="A21" t="s">
        <v>31</v>
      </c>
      <c r="B21">
        <v>0</v>
      </c>
      <c r="C21">
        <v>0</v>
      </c>
      <c r="D21">
        <v>0</v>
      </c>
      <c r="E21">
        <v>94.4</v>
      </c>
      <c r="F21">
        <v>5.6</v>
      </c>
      <c r="G21">
        <v>0</v>
      </c>
      <c r="H21">
        <v>0</v>
      </c>
      <c r="I21">
        <v>0</v>
      </c>
      <c r="J21">
        <v>0</v>
      </c>
      <c r="K21">
        <v>0</v>
      </c>
      <c r="L21">
        <v>5681</v>
      </c>
    </row>
    <row r="22" spans="1:12" x14ac:dyDescent="0.35">
      <c r="A22" t="s">
        <v>32</v>
      </c>
      <c r="B22">
        <v>0</v>
      </c>
      <c r="C22">
        <v>0</v>
      </c>
      <c r="D22">
        <v>0</v>
      </c>
      <c r="E22">
        <v>90.3</v>
      </c>
      <c r="F22">
        <v>9.6999999999999993</v>
      </c>
      <c r="G22">
        <v>0</v>
      </c>
      <c r="H22">
        <v>0</v>
      </c>
      <c r="I22">
        <v>0</v>
      </c>
      <c r="J22">
        <v>0</v>
      </c>
      <c r="K22">
        <v>0</v>
      </c>
      <c r="L22">
        <v>5292</v>
      </c>
    </row>
    <row r="23" spans="1:12" x14ac:dyDescent="0.35">
      <c r="A23" t="s">
        <v>33</v>
      </c>
      <c r="B23">
        <v>0</v>
      </c>
      <c r="C23">
        <v>0</v>
      </c>
      <c r="D23">
        <v>0</v>
      </c>
      <c r="E23">
        <v>90.1</v>
      </c>
      <c r="F23">
        <v>9.9</v>
      </c>
      <c r="G23">
        <v>0</v>
      </c>
      <c r="H23">
        <v>0</v>
      </c>
      <c r="I23">
        <v>0</v>
      </c>
      <c r="J23">
        <v>0</v>
      </c>
      <c r="K23">
        <v>0</v>
      </c>
      <c r="L23">
        <v>4845</v>
      </c>
    </row>
    <row r="24" spans="1:12" x14ac:dyDescent="0.35">
      <c r="A24" t="s">
        <v>34</v>
      </c>
      <c r="B24">
        <v>0</v>
      </c>
      <c r="C24">
        <v>0</v>
      </c>
      <c r="D24">
        <v>0</v>
      </c>
      <c r="E24">
        <v>81.8</v>
      </c>
      <c r="F24">
        <v>18.2</v>
      </c>
      <c r="G24">
        <v>0</v>
      </c>
      <c r="H24">
        <v>0</v>
      </c>
      <c r="I24">
        <v>0</v>
      </c>
      <c r="J24">
        <v>0</v>
      </c>
      <c r="K24">
        <v>0</v>
      </c>
      <c r="L24">
        <v>4977</v>
      </c>
    </row>
    <row r="25" spans="1:12" x14ac:dyDescent="0.35">
      <c r="A25" t="s">
        <v>35</v>
      </c>
      <c r="B25">
        <v>0</v>
      </c>
      <c r="C25">
        <v>0</v>
      </c>
      <c r="D25">
        <v>0</v>
      </c>
      <c r="E25">
        <v>76.7</v>
      </c>
      <c r="F25">
        <v>23.3</v>
      </c>
      <c r="G25">
        <v>0</v>
      </c>
      <c r="H25">
        <v>0</v>
      </c>
      <c r="I25">
        <v>0</v>
      </c>
      <c r="J25">
        <v>0</v>
      </c>
      <c r="K25">
        <v>0</v>
      </c>
      <c r="L25">
        <v>3762</v>
      </c>
    </row>
    <row r="26" spans="1:12" x14ac:dyDescent="0.35">
      <c r="A26" t="s">
        <v>36</v>
      </c>
      <c r="B26">
        <v>0</v>
      </c>
      <c r="C26">
        <v>0</v>
      </c>
      <c r="D26">
        <v>0</v>
      </c>
      <c r="E26">
        <v>71.400000000000006</v>
      </c>
      <c r="F26">
        <v>28.6</v>
      </c>
      <c r="G26">
        <v>0</v>
      </c>
      <c r="H26">
        <v>0</v>
      </c>
      <c r="I26">
        <v>0</v>
      </c>
      <c r="J26">
        <v>0</v>
      </c>
      <c r="K26">
        <v>0</v>
      </c>
      <c r="L26">
        <v>3975</v>
      </c>
    </row>
    <row r="27" spans="1:12" x14ac:dyDescent="0.35">
      <c r="A27" t="s">
        <v>37</v>
      </c>
      <c r="B27">
        <v>0</v>
      </c>
      <c r="C27">
        <v>0</v>
      </c>
      <c r="D27">
        <v>0</v>
      </c>
      <c r="E27">
        <v>46.5</v>
      </c>
      <c r="F27">
        <v>53.5</v>
      </c>
      <c r="G27">
        <v>0</v>
      </c>
      <c r="H27">
        <v>0</v>
      </c>
      <c r="I27">
        <v>0</v>
      </c>
      <c r="J27">
        <v>0</v>
      </c>
      <c r="K27">
        <v>0</v>
      </c>
      <c r="L27">
        <v>5249</v>
      </c>
    </row>
    <row r="28" spans="1:12" x14ac:dyDescent="0.35">
      <c r="A28" t="s">
        <v>38</v>
      </c>
      <c r="B28">
        <v>0</v>
      </c>
      <c r="C28">
        <v>0</v>
      </c>
      <c r="D28">
        <v>0</v>
      </c>
      <c r="E28">
        <v>46.1</v>
      </c>
      <c r="F28">
        <v>53.9</v>
      </c>
      <c r="G28">
        <v>0</v>
      </c>
      <c r="H28">
        <v>0</v>
      </c>
      <c r="I28">
        <v>0</v>
      </c>
      <c r="J28">
        <v>0</v>
      </c>
      <c r="K28">
        <v>0</v>
      </c>
      <c r="L28">
        <v>6997</v>
      </c>
    </row>
    <row r="29" spans="1:12" x14ac:dyDescent="0.35">
      <c r="A29" t="s">
        <v>39</v>
      </c>
      <c r="B29">
        <v>0</v>
      </c>
      <c r="C29">
        <v>0</v>
      </c>
      <c r="D29">
        <v>0</v>
      </c>
      <c r="E29">
        <v>1.3</v>
      </c>
      <c r="F29">
        <v>98.7</v>
      </c>
      <c r="G29">
        <v>0</v>
      </c>
      <c r="H29">
        <v>0</v>
      </c>
      <c r="I29">
        <v>0</v>
      </c>
      <c r="J29">
        <v>0</v>
      </c>
      <c r="K29">
        <v>0</v>
      </c>
      <c r="L29">
        <v>4931</v>
      </c>
    </row>
    <row r="30" spans="1:12" x14ac:dyDescent="0.35">
      <c r="A30" t="s">
        <v>40</v>
      </c>
      <c r="B30">
        <v>0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0</v>
      </c>
      <c r="J30">
        <v>0</v>
      </c>
      <c r="K30">
        <v>0</v>
      </c>
      <c r="L30">
        <v>5381</v>
      </c>
    </row>
    <row r="31" spans="1:12" x14ac:dyDescent="0.35">
      <c r="A31" t="s">
        <v>41</v>
      </c>
      <c r="B31">
        <v>0</v>
      </c>
      <c r="C31">
        <v>0</v>
      </c>
      <c r="D31">
        <v>0</v>
      </c>
      <c r="E31">
        <v>0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4591</v>
      </c>
    </row>
    <row r="32" spans="1:12" x14ac:dyDescent="0.35">
      <c r="A32" t="s">
        <v>42</v>
      </c>
      <c r="B32">
        <v>0</v>
      </c>
      <c r="C32">
        <v>0</v>
      </c>
      <c r="D32">
        <v>0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4243</v>
      </c>
    </row>
    <row r="33" spans="1:12" x14ac:dyDescent="0.35">
      <c r="A33" t="s">
        <v>43</v>
      </c>
      <c r="B33">
        <v>0</v>
      </c>
      <c r="C33">
        <v>0</v>
      </c>
      <c r="D33">
        <v>0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4363</v>
      </c>
    </row>
    <row r="34" spans="1:12" x14ac:dyDescent="0.35">
      <c r="A34" t="s">
        <v>44</v>
      </c>
      <c r="B34">
        <v>0</v>
      </c>
      <c r="C34">
        <v>0</v>
      </c>
      <c r="D34">
        <v>0</v>
      </c>
      <c r="E34">
        <v>0</v>
      </c>
      <c r="F34">
        <v>100</v>
      </c>
      <c r="G34">
        <v>0</v>
      </c>
      <c r="H34">
        <v>0</v>
      </c>
      <c r="I34">
        <v>0</v>
      </c>
      <c r="J34">
        <v>0</v>
      </c>
      <c r="K34">
        <v>0</v>
      </c>
      <c r="L34">
        <v>3898</v>
      </c>
    </row>
    <row r="35" spans="1:12" x14ac:dyDescent="0.35">
      <c r="A35" t="s">
        <v>45</v>
      </c>
      <c r="B35">
        <v>0</v>
      </c>
      <c r="C35">
        <v>0</v>
      </c>
      <c r="D35">
        <v>0</v>
      </c>
      <c r="E35">
        <v>0</v>
      </c>
      <c r="F35">
        <v>100</v>
      </c>
      <c r="G35">
        <v>0</v>
      </c>
      <c r="H35">
        <v>0</v>
      </c>
      <c r="I35">
        <v>0</v>
      </c>
      <c r="J35">
        <v>0</v>
      </c>
      <c r="K35">
        <v>0</v>
      </c>
      <c r="L35">
        <v>3460</v>
      </c>
    </row>
    <row r="36" spans="1:12" x14ac:dyDescent="0.35">
      <c r="A36" t="s">
        <v>46</v>
      </c>
      <c r="B36">
        <v>0</v>
      </c>
      <c r="C36">
        <v>0</v>
      </c>
      <c r="D36">
        <v>0</v>
      </c>
      <c r="E36">
        <v>0</v>
      </c>
      <c r="F36">
        <v>100</v>
      </c>
      <c r="G36">
        <v>0</v>
      </c>
      <c r="H36">
        <v>0</v>
      </c>
      <c r="I36">
        <v>0</v>
      </c>
      <c r="J36">
        <v>0</v>
      </c>
      <c r="K36">
        <v>0</v>
      </c>
      <c r="L36">
        <v>3384</v>
      </c>
    </row>
    <row r="37" spans="1:12" x14ac:dyDescent="0.35">
      <c r="A37" t="s">
        <v>47</v>
      </c>
      <c r="B37">
        <v>0</v>
      </c>
      <c r="C37">
        <v>0</v>
      </c>
      <c r="D37">
        <v>0</v>
      </c>
      <c r="E37">
        <v>0</v>
      </c>
      <c r="F37">
        <v>100</v>
      </c>
      <c r="G37">
        <v>0</v>
      </c>
      <c r="H37">
        <v>0</v>
      </c>
      <c r="I37">
        <v>0</v>
      </c>
      <c r="J37">
        <v>0</v>
      </c>
      <c r="K37">
        <v>0</v>
      </c>
      <c r="L37">
        <v>3149</v>
      </c>
    </row>
    <row r="38" spans="1:12" x14ac:dyDescent="0.35">
      <c r="A38" t="s">
        <v>48</v>
      </c>
      <c r="B38">
        <v>0</v>
      </c>
      <c r="C38">
        <v>0</v>
      </c>
      <c r="D38">
        <v>0</v>
      </c>
      <c r="E38">
        <v>0</v>
      </c>
      <c r="F38">
        <v>100</v>
      </c>
      <c r="G38">
        <v>0</v>
      </c>
      <c r="H38">
        <v>0</v>
      </c>
      <c r="I38">
        <v>0</v>
      </c>
      <c r="J38">
        <v>0</v>
      </c>
      <c r="K38">
        <v>0</v>
      </c>
      <c r="L38">
        <v>3383</v>
      </c>
    </row>
    <row r="39" spans="1:12" x14ac:dyDescent="0.35">
      <c r="A39" t="s">
        <v>49</v>
      </c>
      <c r="B39">
        <v>0</v>
      </c>
      <c r="C39">
        <v>0</v>
      </c>
      <c r="D39">
        <v>0</v>
      </c>
      <c r="E39">
        <v>0</v>
      </c>
      <c r="F39">
        <v>100</v>
      </c>
      <c r="G39">
        <v>0</v>
      </c>
      <c r="H39">
        <v>0</v>
      </c>
      <c r="I39">
        <v>0</v>
      </c>
      <c r="J39">
        <v>0</v>
      </c>
      <c r="K39">
        <v>0</v>
      </c>
      <c r="L39">
        <v>4651</v>
      </c>
    </row>
    <row r="40" spans="1:12" x14ac:dyDescent="0.35">
      <c r="A40" t="s">
        <v>50</v>
      </c>
      <c r="B40">
        <v>0</v>
      </c>
      <c r="C40">
        <v>0</v>
      </c>
      <c r="D40">
        <v>0</v>
      </c>
      <c r="E40">
        <v>0</v>
      </c>
      <c r="F40">
        <v>100</v>
      </c>
      <c r="G40">
        <v>0</v>
      </c>
      <c r="H40">
        <v>0</v>
      </c>
      <c r="I40">
        <v>0</v>
      </c>
      <c r="J40">
        <v>0</v>
      </c>
      <c r="K40">
        <v>0</v>
      </c>
      <c r="L40">
        <v>6341</v>
      </c>
    </row>
    <row r="41" spans="1:12" x14ac:dyDescent="0.35">
      <c r="A41" t="s">
        <v>51</v>
      </c>
      <c r="B41">
        <v>0</v>
      </c>
      <c r="C41">
        <v>0</v>
      </c>
      <c r="D41">
        <v>0</v>
      </c>
      <c r="E41">
        <v>0</v>
      </c>
      <c r="F41">
        <v>100</v>
      </c>
      <c r="G41">
        <v>0</v>
      </c>
      <c r="H41">
        <v>0</v>
      </c>
      <c r="I41">
        <v>0</v>
      </c>
      <c r="J41">
        <v>0</v>
      </c>
      <c r="K41">
        <v>0</v>
      </c>
      <c r="L41">
        <v>4113</v>
      </c>
    </row>
    <row r="42" spans="1:12" x14ac:dyDescent="0.35">
      <c r="A42" t="s">
        <v>52</v>
      </c>
      <c r="B42">
        <v>0</v>
      </c>
      <c r="C42">
        <v>0</v>
      </c>
      <c r="D42">
        <v>0</v>
      </c>
      <c r="E42">
        <v>0</v>
      </c>
      <c r="F42">
        <v>100</v>
      </c>
      <c r="G42">
        <v>0</v>
      </c>
      <c r="H42">
        <v>0</v>
      </c>
      <c r="I42">
        <v>0</v>
      </c>
      <c r="J42">
        <v>0</v>
      </c>
      <c r="K42">
        <v>0</v>
      </c>
      <c r="L42">
        <v>4565</v>
      </c>
    </row>
    <row r="43" spans="1:12" x14ac:dyDescent="0.35">
      <c r="A43" t="s">
        <v>53</v>
      </c>
      <c r="B43">
        <v>0</v>
      </c>
      <c r="C43">
        <v>0</v>
      </c>
      <c r="D43">
        <v>0</v>
      </c>
      <c r="E43">
        <v>0</v>
      </c>
      <c r="F43">
        <v>100</v>
      </c>
      <c r="G43">
        <v>0</v>
      </c>
      <c r="H43">
        <v>0</v>
      </c>
      <c r="I43">
        <v>0</v>
      </c>
      <c r="J43">
        <v>0</v>
      </c>
      <c r="K43">
        <v>0</v>
      </c>
      <c r="L43">
        <v>4039</v>
      </c>
    </row>
    <row r="44" spans="1:12" x14ac:dyDescent="0.35">
      <c r="A44" t="s">
        <v>54</v>
      </c>
      <c r="B44">
        <v>0</v>
      </c>
      <c r="C44">
        <v>0</v>
      </c>
      <c r="D44">
        <v>0</v>
      </c>
      <c r="E44">
        <v>0</v>
      </c>
      <c r="F44">
        <v>100</v>
      </c>
      <c r="G44">
        <v>0</v>
      </c>
      <c r="H44">
        <v>0</v>
      </c>
      <c r="I44">
        <v>0</v>
      </c>
      <c r="J44">
        <v>0</v>
      </c>
      <c r="K44">
        <v>0</v>
      </c>
      <c r="L44">
        <v>4039</v>
      </c>
    </row>
    <row r="45" spans="1:12" x14ac:dyDescent="0.35">
      <c r="A45" t="s">
        <v>55</v>
      </c>
      <c r="B45">
        <v>0</v>
      </c>
      <c r="C45">
        <v>0</v>
      </c>
      <c r="D45">
        <v>0</v>
      </c>
      <c r="E45">
        <v>0</v>
      </c>
      <c r="F45">
        <v>100</v>
      </c>
      <c r="G45">
        <v>0</v>
      </c>
      <c r="H45">
        <v>0</v>
      </c>
      <c r="I45">
        <v>0</v>
      </c>
      <c r="J45">
        <v>0</v>
      </c>
      <c r="K45">
        <v>0</v>
      </c>
      <c r="L45">
        <v>4546</v>
      </c>
    </row>
    <row r="46" spans="1:12" x14ac:dyDescent="0.35">
      <c r="A46" t="s">
        <v>56</v>
      </c>
      <c r="B46">
        <v>0</v>
      </c>
      <c r="C46">
        <v>0</v>
      </c>
      <c r="D46">
        <v>0</v>
      </c>
      <c r="E46">
        <v>0</v>
      </c>
      <c r="F46">
        <v>100</v>
      </c>
      <c r="G46">
        <v>0</v>
      </c>
      <c r="H46">
        <v>0</v>
      </c>
      <c r="I46">
        <v>0</v>
      </c>
      <c r="J46">
        <v>0</v>
      </c>
      <c r="K46">
        <v>0</v>
      </c>
      <c r="L46">
        <v>4327</v>
      </c>
    </row>
    <row r="47" spans="1:12" x14ac:dyDescent="0.35">
      <c r="A47" t="s">
        <v>57</v>
      </c>
      <c r="B47">
        <v>0</v>
      </c>
      <c r="C47">
        <v>0</v>
      </c>
      <c r="D47">
        <v>0</v>
      </c>
      <c r="E47">
        <v>0</v>
      </c>
      <c r="F47">
        <v>100</v>
      </c>
      <c r="G47">
        <v>0</v>
      </c>
      <c r="H47">
        <v>0</v>
      </c>
      <c r="I47">
        <v>0</v>
      </c>
      <c r="J47">
        <v>0</v>
      </c>
      <c r="K47">
        <v>0</v>
      </c>
      <c r="L47">
        <v>4222</v>
      </c>
    </row>
    <row r="48" spans="1:12" x14ac:dyDescent="0.35">
      <c r="A48" t="s">
        <v>58</v>
      </c>
      <c r="B48">
        <v>0</v>
      </c>
      <c r="C48">
        <v>0</v>
      </c>
      <c r="D48">
        <v>0</v>
      </c>
      <c r="E48">
        <v>0</v>
      </c>
      <c r="F48">
        <v>100</v>
      </c>
      <c r="G48">
        <v>0</v>
      </c>
      <c r="H48">
        <v>0</v>
      </c>
      <c r="I48">
        <v>0</v>
      </c>
      <c r="J48">
        <v>0</v>
      </c>
      <c r="K48">
        <v>0</v>
      </c>
      <c r="L48">
        <v>3444</v>
      </c>
    </row>
    <row r="49" spans="1:12" x14ac:dyDescent="0.35">
      <c r="A49" t="s">
        <v>59</v>
      </c>
      <c r="B49">
        <v>0</v>
      </c>
      <c r="C49">
        <v>0</v>
      </c>
      <c r="D49">
        <v>0</v>
      </c>
      <c r="E49">
        <v>0</v>
      </c>
      <c r="F49">
        <v>100</v>
      </c>
      <c r="G49">
        <v>0</v>
      </c>
      <c r="H49">
        <v>0</v>
      </c>
      <c r="I49">
        <v>0</v>
      </c>
      <c r="J49">
        <v>0</v>
      </c>
      <c r="K49">
        <v>0</v>
      </c>
      <c r="L49">
        <v>2883</v>
      </c>
    </row>
    <row r="50" spans="1:12" x14ac:dyDescent="0.35">
      <c r="A50" t="s">
        <v>60</v>
      </c>
      <c r="B50">
        <v>0</v>
      </c>
      <c r="C50">
        <v>0</v>
      </c>
      <c r="D50">
        <v>0</v>
      </c>
      <c r="E50">
        <v>0</v>
      </c>
      <c r="F50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3725</v>
      </c>
    </row>
    <row r="51" spans="1:12" x14ac:dyDescent="0.35">
      <c r="A51" t="s">
        <v>61</v>
      </c>
      <c r="B51">
        <v>0</v>
      </c>
      <c r="C51">
        <v>0</v>
      </c>
      <c r="D51">
        <v>0</v>
      </c>
      <c r="E51">
        <v>0</v>
      </c>
      <c r="F51">
        <v>100</v>
      </c>
      <c r="G51">
        <v>0</v>
      </c>
      <c r="H51">
        <v>0</v>
      </c>
      <c r="I51">
        <v>0</v>
      </c>
      <c r="J51">
        <v>0</v>
      </c>
      <c r="K51">
        <v>0</v>
      </c>
      <c r="L51">
        <v>6929</v>
      </c>
    </row>
    <row r="52" spans="1:12" x14ac:dyDescent="0.35">
      <c r="A52" t="s">
        <v>62</v>
      </c>
      <c r="B52">
        <v>0</v>
      </c>
      <c r="C52">
        <v>0</v>
      </c>
      <c r="D52">
        <v>0</v>
      </c>
      <c r="E52">
        <v>0</v>
      </c>
      <c r="F52">
        <v>100</v>
      </c>
      <c r="G52">
        <v>0</v>
      </c>
      <c r="H52">
        <v>0</v>
      </c>
      <c r="I52">
        <v>0</v>
      </c>
      <c r="J52">
        <v>0</v>
      </c>
      <c r="K52">
        <v>0</v>
      </c>
      <c r="L52">
        <v>7496</v>
      </c>
    </row>
    <row r="53" spans="1:12" x14ac:dyDescent="0.35">
      <c r="A53" t="s">
        <v>63</v>
      </c>
      <c r="B53">
        <v>0</v>
      </c>
      <c r="C53">
        <v>0</v>
      </c>
      <c r="D53">
        <v>0</v>
      </c>
      <c r="E53">
        <v>0</v>
      </c>
      <c r="F53">
        <v>100</v>
      </c>
      <c r="G53">
        <v>0</v>
      </c>
      <c r="H53">
        <v>0</v>
      </c>
      <c r="I53">
        <v>0</v>
      </c>
      <c r="J53">
        <v>0</v>
      </c>
      <c r="K53">
        <v>0</v>
      </c>
      <c r="L53">
        <v>4783</v>
      </c>
    </row>
    <row r="54" spans="1:12" x14ac:dyDescent="0.35">
      <c r="A54" t="s">
        <v>64</v>
      </c>
      <c r="B54">
        <v>0</v>
      </c>
      <c r="C54">
        <v>0</v>
      </c>
      <c r="D54">
        <v>0</v>
      </c>
      <c r="E54">
        <v>0</v>
      </c>
      <c r="F54">
        <v>100</v>
      </c>
      <c r="G54">
        <v>0</v>
      </c>
      <c r="H54">
        <v>0</v>
      </c>
      <c r="I54">
        <v>0</v>
      </c>
      <c r="J54">
        <v>0</v>
      </c>
      <c r="K54">
        <v>0</v>
      </c>
      <c r="L54">
        <v>4675</v>
      </c>
    </row>
    <row r="55" spans="1:12" x14ac:dyDescent="0.35">
      <c r="A55" t="s">
        <v>65</v>
      </c>
      <c r="B55">
        <v>0</v>
      </c>
      <c r="C55">
        <v>0</v>
      </c>
      <c r="D55">
        <v>0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4394</v>
      </c>
    </row>
    <row r="56" spans="1:12" x14ac:dyDescent="0.35">
      <c r="A56" t="s">
        <v>66</v>
      </c>
      <c r="B56">
        <v>0</v>
      </c>
      <c r="C56">
        <v>0</v>
      </c>
      <c r="D56">
        <v>0</v>
      </c>
      <c r="E56">
        <v>0</v>
      </c>
      <c r="F56">
        <v>100</v>
      </c>
      <c r="G56">
        <v>0</v>
      </c>
      <c r="H56">
        <v>0</v>
      </c>
      <c r="I56">
        <v>0</v>
      </c>
      <c r="J56">
        <v>0</v>
      </c>
      <c r="K56">
        <v>0</v>
      </c>
      <c r="L56">
        <v>4649</v>
      </c>
    </row>
    <row r="57" spans="1:12" x14ac:dyDescent="0.35">
      <c r="A57" t="s">
        <v>67</v>
      </c>
      <c r="B57">
        <v>0</v>
      </c>
      <c r="C57">
        <v>0</v>
      </c>
      <c r="D57">
        <v>0</v>
      </c>
      <c r="E57">
        <v>0</v>
      </c>
      <c r="F57">
        <v>100</v>
      </c>
      <c r="G57">
        <v>0</v>
      </c>
      <c r="H57">
        <v>0</v>
      </c>
      <c r="I57">
        <v>0</v>
      </c>
      <c r="J57">
        <v>0</v>
      </c>
      <c r="K57">
        <v>0</v>
      </c>
      <c r="L57">
        <v>4519</v>
      </c>
    </row>
    <row r="58" spans="1:12" x14ac:dyDescent="0.35">
      <c r="A58" t="s">
        <v>68</v>
      </c>
      <c r="B58">
        <v>0</v>
      </c>
      <c r="C58">
        <v>0</v>
      </c>
      <c r="D58">
        <v>0</v>
      </c>
      <c r="E58">
        <v>0</v>
      </c>
      <c r="F58">
        <v>100</v>
      </c>
      <c r="G58">
        <v>0</v>
      </c>
      <c r="H58">
        <v>0</v>
      </c>
      <c r="I58">
        <v>0</v>
      </c>
      <c r="J58">
        <v>0</v>
      </c>
      <c r="K58">
        <v>0</v>
      </c>
      <c r="L58">
        <v>3852</v>
      </c>
    </row>
    <row r="59" spans="1:12" x14ac:dyDescent="0.35">
      <c r="A59" t="s">
        <v>69</v>
      </c>
      <c r="B59">
        <v>0</v>
      </c>
      <c r="C59">
        <v>0</v>
      </c>
      <c r="D59">
        <v>0</v>
      </c>
      <c r="E59">
        <v>0</v>
      </c>
      <c r="F59">
        <v>94.7</v>
      </c>
      <c r="G59">
        <v>5.3</v>
      </c>
      <c r="H59">
        <v>0</v>
      </c>
      <c r="I59">
        <v>0</v>
      </c>
      <c r="J59">
        <v>0</v>
      </c>
      <c r="K59">
        <v>0</v>
      </c>
      <c r="L59">
        <v>3899</v>
      </c>
    </row>
    <row r="60" spans="1:12" x14ac:dyDescent="0.35">
      <c r="A60" t="s">
        <v>70</v>
      </c>
      <c r="B60">
        <v>0</v>
      </c>
      <c r="C60">
        <v>0</v>
      </c>
      <c r="D60">
        <v>0</v>
      </c>
      <c r="E60">
        <v>0</v>
      </c>
      <c r="F60">
        <v>70.3</v>
      </c>
      <c r="G60">
        <v>29.7</v>
      </c>
      <c r="H60">
        <v>0</v>
      </c>
      <c r="I60">
        <v>0</v>
      </c>
      <c r="J60">
        <v>0</v>
      </c>
      <c r="K60">
        <v>0</v>
      </c>
      <c r="L60">
        <v>4187</v>
      </c>
    </row>
    <row r="61" spans="1:12" x14ac:dyDescent="0.35">
      <c r="A61" t="s">
        <v>71</v>
      </c>
      <c r="B61">
        <v>0</v>
      </c>
      <c r="C61">
        <v>0</v>
      </c>
      <c r="D61">
        <v>0</v>
      </c>
      <c r="E61">
        <v>0</v>
      </c>
      <c r="F61">
        <v>21.9</v>
      </c>
      <c r="G61">
        <v>12.5</v>
      </c>
      <c r="H61">
        <v>34.4</v>
      </c>
      <c r="I61">
        <v>31.1</v>
      </c>
      <c r="J61">
        <v>0</v>
      </c>
      <c r="K61">
        <v>0</v>
      </c>
      <c r="L61">
        <v>4061</v>
      </c>
    </row>
    <row r="62" spans="1:12" x14ac:dyDescent="0.35">
      <c r="A62" t="s">
        <v>72</v>
      </c>
      <c r="B62">
        <v>0</v>
      </c>
      <c r="C62">
        <v>0</v>
      </c>
      <c r="D62">
        <v>0</v>
      </c>
      <c r="E62">
        <v>0</v>
      </c>
      <c r="F62">
        <v>0.1</v>
      </c>
      <c r="G62">
        <v>0</v>
      </c>
      <c r="H62">
        <v>42.8</v>
      </c>
      <c r="I62">
        <v>57</v>
      </c>
      <c r="J62">
        <v>0</v>
      </c>
      <c r="K62">
        <v>0</v>
      </c>
      <c r="L62">
        <v>4015</v>
      </c>
    </row>
    <row r="63" spans="1:12" x14ac:dyDescent="0.35">
      <c r="A63" t="s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47.6</v>
      </c>
      <c r="I63">
        <v>52.4</v>
      </c>
      <c r="J63">
        <v>0</v>
      </c>
      <c r="K63">
        <v>0</v>
      </c>
      <c r="L63">
        <v>5968</v>
      </c>
    </row>
    <row r="64" spans="1:12" x14ac:dyDescent="0.35">
      <c r="A64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48.6</v>
      </c>
      <c r="I64">
        <v>51.4</v>
      </c>
      <c r="J64">
        <v>0</v>
      </c>
      <c r="K64">
        <v>0</v>
      </c>
      <c r="L64">
        <v>8645</v>
      </c>
    </row>
    <row r="65" spans="1:12" x14ac:dyDescent="0.35">
      <c r="A65" t="s">
        <v>75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47.8</v>
      </c>
      <c r="I65">
        <v>52.2</v>
      </c>
      <c r="J65">
        <v>0</v>
      </c>
      <c r="K65">
        <v>0</v>
      </c>
      <c r="L65">
        <v>5463</v>
      </c>
    </row>
    <row r="66" spans="1:12" x14ac:dyDescent="0.35">
      <c r="A66" t="s">
        <v>76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47.9</v>
      </c>
      <c r="I66">
        <v>52.1</v>
      </c>
      <c r="J66">
        <v>0</v>
      </c>
      <c r="K66">
        <v>0</v>
      </c>
      <c r="L66">
        <v>5194</v>
      </c>
    </row>
    <row r="67" spans="1:12" x14ac:dyDescent="0.35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47.7</v>
      </c>
      <c r="I67">
        <v>52.3</v>
      </c>
      <c r="J67">
        <v>0</v>
      </c>
      <c r="K67">
        <v>0</v>
      </c>
      <c r="L67">
        <v>4840</v>
      </c>
    </row>
    <row r="68" spans="1:12" x14ac:dyDescent="0.35">
      <c r="A68" t="s">
        <v>78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48.4</v>
      </c>
      <c r="I68">
        <v>51.6</v>
      </c>
      <c r="J68">
        <v>0</v>
      </c>
      <c r="K68">
        <v>0</v>
      </c>
      <c r="L68">
        <v>4800</v>
      </c>
    </row>
    <row r="69" spans="1:12" x14ac:dyDescent="0.35">
      <c r="A69" t="s">
        <v>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48.2</v>
      </c>
      <c r="I69">
        <v>51.8</v>
      </c>
      <c r="J69">
        <v>0</v>
      </c>
      <c r="K69">
        <v>0</v>
      </c>
      <c r="L69">
        <v>5063</v>
      </c>
    </row>
    <row r="70" spans="1:12" x14ac:dyDescent="0.35">
      <c r="A70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44.8</v>
      </c>
      <c r="I70">
        <v>55.2</v>
      </c>
      <c r="J70">
        <v>0</v>
      </c>
      <c r="K70">
        <v>0</v>
      </c>
      <c r="L70">
        <v>5480</v>
      </c>
    </row>
    <row r="71" spans="1:12" x14ac:dyDescent="0.35">
      <c r="A71" t="s">
        <v>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48.5</v>
      </c>
      <c r="I71">
        <v>51.5</v>
      </c>
      <c r="J71">
        <v>0</v>
      </c>
      <c r="K71">
        <v>0</v>
      </c>
      <c r="L71">
        <v>4847</v>
      </c>
    </row>
    <row r="72" spans="1:12" x14ac:dyDescent="0.35">
      <c r="A72" t="s">
        <v>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48.6</v>
      </c>
      <c r="I72">
        <v>51.4</v>
      </c>
      <c r="J72">
        <v>0</v>
      </c>
      <c r="K72">
        <v>0</v>
      </c>
      <c r="L72">
        <v>4193</v>
      </c>
    </row>
    <row r="73" spans="1:12" x14ac:dyDescent="0.35">
      <c r="A73" t="s">
        <v>83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8.8000000000000007</v>
      </c>
      <c r="I73">
        <v>86.4</v>
      </c>
      <c r="J73">
        <v>0</v>
      </c>
      <c r="K73">
        <v>4.8</v>
      </c>
      <c r="L73">
        <v>4551</v>
      </c>
    </row>
    <row r="74" spans="1:12" x14ac:dyDescent="0.35">
      <c r="A74" t="s">
        <v>84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86.9</v>
      </c>
      <c r="J74">
        <v>0.7</v>
      </c>
      <c r="K74">
        <v>12.4</v>
      </c>
      <c r="L74">
        <v>5299</v>
      </c>
    </row>
    <row r="75" spans="1:12" x14ac:dyDescent="0.35">
      <c r="A75" t="s">
        <v>85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61.2</v>
      </c>
      <c r="J75">
        <v>28.3</v>
      </c>
      <c r="K75">
        <v>10.5</v>
      </c>
      <c r="L75">
        <v>6960</v>
      </c>
    </row>
    <row r="76" spans="1:12" x14ac:dyDescent="0.35">
      <c r="A76" t="s">
        <v>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38.700000000000003</v>
      </c>
      <c r="J76">
        <v>51</v>
      </c>
      <c r="K76">
        <v>10.3</v>
      </c>
      <c r="L76">
        <v>10618</v>
      </c>
    </row>
    <row r="77" spans="1:12" x14ac:dyDescent="0.35">
      <c r="A77" t="s">
        <v>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11.8</v>
      </c>
      <c r="J77">
        <v>77.2</v>
      </c>
      <c r="K77">
        <v>11.1</v>
      </c>
      <c r="L77">
        <v>6044</v>
      </c>
    </row>
    <row r="78" spans="1:12" x14ac:dyDescent="0.35">
      <c r="A78" t="s">
        <v>88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83.8</v>
      </c>
      <c r="K78">
        <v>16.2</v>
      </c>
      <c r="L78">
        <v>5919</v>
      </c>
    </row>
    <row r="79" spans="1:12" x14ac:dyDescent="0.35">
      <c r="A79" t="s">
        <v>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77.900000000000006</v>
      </c>
      <c r="K79">
        <v>22.1</v>
      </c>
      <c r="L79">
        <v>6372</v>
      </c>
    </row>
    <row r="80" spans="1:12" x14ac:dyDescent="0.35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78.3</v>
      </c>
      <c r="K80">
        <v>21.7</v>
      </c>
      <c r="L80">
        <v>3035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9"/>
  <sheetViews>
    <sheetView zoomScale="34" zoomScaleNormal="100" workbookViewId="0">
      <selection activeCell="K14" sqref="K14"/>
    </sheetView>
  </sheetViews>
  <sheetFormatPr defaultRowHeight="14.5" x14ac:dyDescent="0.35"/>
  <cols>
    <col min="2" max="4" width="13.6328125" bestFit="1" customWidth="1"/>
    <col min="5" max="6" width="12" customWidth="1"/>
    <col min="7" max="8" width="12" bestFit="1" customWidth="1"/>
    <col min="12" max="13" width="13.6328125" bestFit="1" customWidth="1"/>
    <col min="14" max="15" width="12" bestFit="1" customWidth="1"/>
  </cols>
  <sheetData>
    <row r="1" spans="1:15" x14ac:dyDescent="0.35">
      <c r="A1" t="s">
        <v>0</v>
      </c>
      <c r="B1" t="s">
        <v>2</v>
      </c>
      <c r="C1" t="s">
        <v>3</v>
      </c>
      <c r="D1" t="s">
        <v>4</v>
      </c>
      <c r="E1" t="s">
        <v>101</v>
      </c>
      <c r="F1" t="s">
        <v>102</v>
      </c>
      <c r="G1" t="s">
        <v>103</v>
      </c>
      <c r="H1" t="s">
        <v>104</v>
      </c>
      <c r="I1" t="s">
        <v>91</v>
      </c>
      <c r="L1" t="s">
        <v>5</v>
      </c>
      <c r="M1" t="s">
        <v>6</v>
      </c>
      <c r="N1" t="s">
        <v>7</v>
      </c>
      <c r="O1" t="s">
        <v>8</v>
      </c>
    </row>
    <row r="2" spans="1:15" x14ac:dyDescent="0.35">
      <c r="A2" t="s">
        <v>12</v>
      </c>
      <c r="B2">
        <v>135.19999999999999</v>
      </c>
      <c r="C2">
        <v>136.6</v>
      </c>
      <c r="I2">
        <v>136.1</v>
      </c>
    </row>
    <row r="3" spans="1:15" x14ac:dyDescent="0.35">
      <c r="A3" t="s">
        <v>13</v>
      </c>
      <c r="B3">
        <v>137.1</v>
      </c>
      <c r="C3">
        <v>136.1</v>
      </c>
      <c r="I3">
        <v>136.1</v>
      </c>
    </row>
    <row r="4" spans="1:15" x14ac:dyDescent="0.35">
      <c r="A4" t="s">
        <v>14</v>
      </c>
      <c r="C4">
        <v>135.6</v>
      </c>
      <c r="I4">
        <v>135.6</v>
      </c>
    </row>
    <row r="5" spans="1:15" x14ac:dyDescent="0.35">
      <c r="A5" t="s">
        <v>15</v>
      </c>
      <c r="C5">
        <v>136.5</v>
      </c>
      <c r="I5">
        <v>136.5</v>
      </c>
    </row>
    <row r="6" spans="1:15" x14ac:dyDescent="0.35">
      <c r="A6" t="s">
        <v>16</v>
      </c>
      <c r="C6">
        <v>138.4</v>
      </c>
      <c r="I6">
        <v>138.4</v>
      </c>
    </row>
    <row r="7" spans="1:15" x14ac:dyDescent="0.35">
      <c r="A7" t="s">
        <v>17</v>
      </c>
      <c r="C7">
        <v>139.19999999999999</v>
      </c>
      <c r="D7">
        <v>139.9</v>
      </c>
      <c r="I7">
        <v>139.19999999999999</v>
      </c>
    </row>
    <row r="8" spans="1:15" x14ac:dyDescent="0.35">
      <c r="A8" t="s">
        <v>18</v>
      </c>
      <c r="C8">
        <v>139.4</v>
      </c>
      <c r="D8">
        <v>138.5</v>
      </c>
      <c r="I8">
        <v>139.30000000000001</v>
      </c>
    </row>
    <row r="9" spans="1:15" x14ac:dyDescent="0.35">
      <c r="A9" t="s">
        <v>19</v>
      </c>
      <c r="C9">
        <v>138.80000000000001</v>
      </c>
      <c r="D9">
        <v>138</v>
      </c>
      <c r="I9">
        <v>138.6</v>
      </c>
    </row>
    <row r="10" spans="1:15" x14ac:dyDescent="0.35">
      <c r="A10" t="s">
        <v>20</v>
      </c>
      <c r="C10">
        <v>138.30000000000001</v>
      </c>
      <c r="D10">
        <v>138.30000000000001</v>
      </c>
      <c r="I10">
        <v>138.30000000000001</v>
      </c>
    </row>
    <row r="11" spans="1:15" x14ac:dyDescent="0.35">
      <c r="A11" t="s">
        <v>21</v>
      </c>
      <c r="C11">
        <v>137.69999999999999</v>
      </c>
      <c r="D11">
        <v>137.1</v>
      </c>
      <c r="I11">
        <v>137.4</v>
      </c>
    </row>
    <row r="12" spans="1:15" x14ac:dyDescent="0.35">
      <c r="A12" t="s">
        <v>22</v>
      </c>
      <c r="C12">
        <v>137.9</v>
      </c>
      <c r="D12">
        <v>136.5</v>
      </c>
      <c r="I12">
        <v>136.5</v>
      </c>
    </row>
    <row r="13" spans="1:15" x14ac:dyDescent="0.35">
      <c r="A13" t="s">
        <v>23</v>
      </c>
      <c r="D13">
        <v>136.9</v>
      </c>
      <c r="I13">
        <v>136.9</v>
      </c>
    </row>
    <row r="14" spans="1:15" x14ac:dyDescent="0.35">
      <c r="A14" t="s">
        <v>24</v>
      </c>
      <c r="D14">
        <v>136.30000000000001</v>
      </c>
      <c r="I14">
        <v>136.30000000000001</v>
      </c>
    </row>
    <row r="15" spans="1:15" x14ac:dyDescent="0.35">
      <c r="A15" t="s">
        <v>25</v>
      </c>
      <c r="D15">
        <v>135.30000000000001</v>
      </c>
      <c r="I15">
        <v>135.30000000000001</v>
      </c>
    </row>
    <row r="16" spans="1:15" x14ac:dyDescent="0.35">
      <c r="A16" t="s">
        <v>26</v>
      </c>
      <c r="D16">
        <v>135.19999999999999</v>
      </c>
      <c r="I16">
        <v>135.19999999999999</v>
      </c>
    </row>
    <row r="17" spans="1:12" x14ac:dyDescent="0.35">
      <c r="A17" t="s">
        <v>27</v>
      </c>
      <c r="D17">
        <v>135.80000000000001</v>
      </c>
      <c r="I17">
        <v>135.80000000000001</v>
      </c>
    </row>
    <row r="18" spans="1:12" x14ac:dyDescent="0.35">
      <c r="A18" t="s">
        <v>28</v>
      </c>
      <c r="D18">
        <v>135.80000000000001</v>
      </c>
      <c r="I18">
        <v>135.80000000000001</v>
      </c>
    </row>
    <row r="19" spans="1:12" x14ac:dyDescent="0.35">
      <c r="A19" t="s">
        <v>29</v>
      </c>
      <c r="D19">
        <v>135.5</v>
      </c>
      <c r="I19">
        <v>135.5</v>
      </c>
    </row>
    <row r="20" spans="1:12" x14ac:dyDescent="0.35">
      <c r="A20" t="s">
        <v>30</v>
      </c>
      <c r="D20">
        <v>133.80000000000001</v>
      </c>
      <c r="I20">
        <v>133.80000000000001</v>
      </c>
    </row>
    <row r="21" spans="1:12" x14ac:dyDescent="0.35">
      <c r="A21" t="s">
        <v>31</v>
      </c>
      <c r="D21">
        <v>136.4</v>
      </c>
      <c r="E21">
        <f t="shared" ref="E21:E52" si="0">AVERAGE(L21,N21)</f>
        <v>129.80000000000001</v>
      </c>
      <c r="I21">
        <v>136</v>
      </c>
      <c r="L21">
        <v>129.80000000000001</v>
      </c>
    </row>
    <row r="22" spans="1:12" x14ac:dyDescent="0.35">
      <c r="A22" t="s">
        <v>32</v>
      </c>
      <c r="D22">
        <v>134.1</v>
      </c>
      <c r="E22">
        <f t="shared" si="0"/>
        <v>130</v>
      </c>
      <c r="I22">
        <v>133.69999999999999</v>
      </c>
      <c r="L22">
        <v>130</v>
      </c>
    </row>
    <row r="23" spans="1:12" x14ac:dyDescent="0.35">
      <c r="A23" t="s">
        <v>33</v>
      </c>
      <c r="D23">
        <v>134.19999999999999</v>
      </c>
      <c r="E23">
        <f t="shared" si="0"/>
        <v>130.4</v>
      </c>
      <c r="I23">
        <v>133.80000000000001</v>
      </c>
      <c r="L23">
        <v>130.4</v>
      </c>
    </row>
    <row r="24" spans="1:12" x14ac:dyDescent="0.35">
      <c r="A24" t="s">
        <v>34</v>
      </c>
      <c r="D24">
        <v>133.69999999999999</v>
      </c>
      <c r="E24">
        <f t="shared" si="0"/>
        <v>130.19999999999999</v>
      </c>
      <c r="I24">
        <v>133</v>
      </c>
      <c r="L24">
        <v>130.19999999999999</v>
      </c>
    </row>
    <row r="25" spans="1:12" x14ac:dyDescent="0.35">
      <c r="A25" t="s">
        <v>35</v>
      </c>
      <c r="D25">
        <v>133.1</v>
      </c>
      <c r="E25">
        <f t="shared" si="0"/>
        <v>131</v>
      </c>
      <c r="I25">
        <v>132.6</v>
      </c>
      <c r="L25">
        <v>131</v>
      </c>
    </row>
    <row r="26" spans="1:12" x14ac:dyDescent="0.35">
      <c r="A26" t="s">
        <v>36</v>
      </c>
      <c r="D26">
        <v>132.4</v>
      </c>
      <c r="E26">
        <f t="shared" si="0"/>
        <v>131.30000000000001</v>
      </c>
      <c r="I26">
        <v>132.1</v>
      </c>
      <c r="L26">
        <v>131.30000000000001</v>
      </c>
    </row>
    <row r="27" spans="1:12" x14ac:dyDescent="0.35">
      <c r="A27" t="s">
        <v>37</v>
      </c>
      <c r="D27">
        <v>131.9</v>
      </c>
      <c r="E27">
        <f t="shared" si="0"/>
        <v>134.69999999999999</v>
      </c>
      <c r="I27">
        <v>133.4</v>
      </c>
      <c r="L27">
        <v>134.69999999999999</v>
      </c>
    </row>
    <row r="28" spans="1:12" x14ac:dyDescent="0.35">
      <c r="A28" t="s">
        <v>38</v>
      </c>
      <c r="D28">
        <v>132.9</v>
      </c>
      <c r="E28">
        <f t="shared" si="0"/>
        <v>134.6</v>
      </c>
      <c r="I28">
        <v>133.80000000000001</v>
      </c>
      <c r="L28">
        <v>134.6</v>
      </c>
    </row>
    <row r="29" spans="1:12" x14ac:dyDescent="0.35">
      <c r="A29" t="s">
        <v>39</v>
      </c>
      <c r="D29">
        <v>136</v>
      </c>
      <c r="E29">
        <f t="shared" si="0"/>
        <v>134.69999999999999</v>
      </c>
      <c r="I29">
        <v>134.69999999999999</v>
      </c>
      <c r="L29">
        <v>134.69999999999999</v>
      </c>
    </row>
    <row r="30" spans="1:12" x14ac:dyDescent="0.35">
      <c r="A30" t="s">
        <v>40</v>
      </c>
      <c r="D30">
        <v>133</v>
      </c>
      <c r="E30">
        <f t="shared" si="0"/>
        <v>134.30000000000001</v>
      </c>
      <c r="I30">
        <v>134.30000000000001</v>
      </c>
      <c r="L30">
        <v>134.30000000000001</v>
      </c>
    </row>
    <row r="31" spans="1:12" x14ac:dyDescent="0.35">
      <c r="A31" t="s">
        <v>41</v>
      </c>
      <c r="E31">
        <f t="shared" si="0"/>
        <v>135.1</v>
      </c>
      <c r="I31">
        <v>135.1</v>
      </c>
      <c r="L31">
        <v>135.1</v>
      </c>
    </row>
    <row r="32" spans="1:12" x14ac:dyDescent="0.35">
      <c r="A32" t="s">
        <v>42</v>
      </c>
      <c r="E32">
        <f t="shared" si="0"/>
        <v>135.80000000000001</v>
      </c>
      <c r="I32">
        <v>135.80000000000001</v>
      </c>
      <c r="L32">
        <v>135.80000000000001</v>
      </c>
    </row>
    <row r="33" spans="1:12" x14ac:dyDescent="0.35">
      <c r="A33" t="s">
        <v>43</v>
      </c>
      <c r="E33">
        <f t="shared" si="0"/>
        <v>136.30000000000001</v>
      </c>
      <c r="I33">
        <v>136.30000000000001</v>
      </c>
      <c r="L33">
        <v>136.30000000000001</v>
      </c>
    </row>
    <row r="34" spans="1:12" x14ac:dyDescent="0.35">
      <c r="A34" t="s">
        <v>44</v>
      </c>
      <c r="E34">
        <f t="shared" si="0"/>
        <v>136.1</v>
      </c>
      <c r="I34">
        <v>136.1</v>
      </c>
      <c r="L34">
        <v>136.1</v>
      </c>
    </row>
    <row r="35" spans="1:12" x14ac:dyDescent="0.35">
      <c r="A35" t="s">
        <v>45</v>
      </c>
      <c r="E35">
        <f t="shared" si="0"/>
        <v>137.30000000000001</v>
      </c>
      <c r="I35">
        <v>137.30000000000001</v>
      </c>
      <c r="L35">
        <v>137.30000000000001</v>
      </c>
    </row>
    <row r="36" spans="1:12" x14ac:dyDescent="0.35">
      <c r="A36" t="s">
        <v>46</v>
      </c>
      <c r="E36">
        <f t="shared" si="0"/>
        <v>138.6</v>
      </c>
      <c r="I36">
        <v>138.6</v>
      </c>
      <c r="L36">
        <v>138.6</v>
      </c>
    </row>
    <row r="37" spans="1:12" x14ac:dyDescent="0.35">
      <c r="A37" t="s">
        <v>47</v>
      </c>
      <c r="E37">
        <f t="shared" si="0"/>
        <v>139.30000000000001</v>
      </c>
      <c r="I37">
        <v>139.30000000000001</v>
      </c>
      <c r="L37">
        <v>139.30000000000001</v>
      </c>
    </row>
    <row r="38" spans="1:12" x14ac:dyDescent="0.35">
      <c r="A38" t="s">
        <v>48</v>
      </c>
      <c r="E38">
        <f t="shared" si="0"/>
        <v>140.4</v>
      </c>
      <c r="I38">
        <v>140.4</v>
      </c>
      <c r="L38">
        <v>140.4</v>
      </c>
    </row>
    <row r="39" spans="1:12" x14ac:dyDescent="0.35">
      <c r="A39" t="s">
        <v>49</v>
      </c>
      <c r="E39">
        <f t="shared" si="0"/>
        <v>139.80000000000001</v>
      </c>
      <c r="I39">
        <v>139.80000000000001</v>
      </c>
      <c r="L39">
        <v>139.80000000000001</v>
      </c>
    </row>
    <row r="40" spans="1:12" x14ac:dyDescent="0.35">
      <c r="A40" t="s">
        <v>50</v>
      </c>
      <c r="E40">
        <f t="shared" si="0"/>
        <v>140.1</v>
      </c>
      <c r="I40">
        <v>140.1</v>
      </c>
      <c r="L40">
        <v>140.1</v>
      </c>
    </row>
    <row r="41" spans="1:12" x14ac:dyDescent="0.35">
      <c r="A41" t="s">
        <v>51</v>
      </c>
      <c r="E41">
        <f t="shared" si="0"/>
        <v>140.4</v>
      </c>
      <c r="I41">
        <v>140.4</v>
      </c>
      <c r="L41">
        <v>140.4</v>
      </c>
    </row>
    <row r="42" spans="1:12" x14ac:dyDescent="0.35">
      <c r="A42" t="s">
        <v>52</v>
      </c>
      <c r="E42">
        <f t="shared" si="0"/>
        <v>140.69999999999999</v>
      </c>
      <c r="I42">
        <v>140.69999999999999</v>
      </c>
      <c r="L42">
        <v>140.69999999999999</v>
      </c>
    </row>
    <row r="43" spans="1:12" x14ac:dyDescent="0.35">
      <c r="A43" t="s">
        <v>53</v>
      </c>
      <c r="E43">
        <f t="shared" si="0"/>
        <v>140.80000000000001</v>
      </c>
      <c r="I43">
        <v>140.80000000000001</v>
      </c>
      <c r="L43">
        <v>140.80000000000001</v>
      </c>
    </row>
    <row r="44" spans="1:12" x14ac:dyDescent="0.35">
      <c r="A44" t="s">
        <v>54</v>
      </c>
      <c r="E44">
        <f t="shared" si="0"/>
        <v>140.69999999999999</v>
      </c>
      <c r="I44">
        <v>140.69999999999999</v>
      </c>
      <c r="L44">
        <v>140.69999999999999</v>
      </c>
    </row>
    <row r="45" spans="1:12" x14ac:dyDescent="0.35">
      <c r="A45" t="s">
        <v>55</v>
      </c>
      <c r="E45">
        <f t="shared" si="0"/>
        <v>140.6</v>
      </c>
      <c r="I45">
        <v>140.6</v>
      </c>
      <c r="L45">
        <v>140.6</v>
      </c>
    </row>
    <row r="46" spans="1:12" x14ac:dyDescent="0.35">
      <c r="A46" t="s">
        <v>56</v>
      </c>
      <c r="E46">
        <f t="shared" si="0"/>
        <v>140.19999999999999</v>
      </c>
      <c r="I46">
        <v>140.19999999999999</v>
      </c>
      <c r="L46">
        <v>140.19999999999999</v>
      </c>
    </row>
    <row r="47" spans="1:12" x14ac:dyDescent="0.35">
      <c r="A47" t="s">
        <v>57</v>
      </c>
      <c r="E47">
        <f t="shared" si="0"/>
        <v>140.1</v>
      </c>
      <c r="I47">
        <v>140.1</v>
      </c>
      <c r="L47">
        <v>140.1</v>
      </c>
    </row>
    <row r="48" spans="1:12" x14ac:dyDescent="0.35">
      <c r="A48" t="s">
        <v>58</v>
      </c>
      <c r="E48">
        <f t="shared" si="0"/>
        <v>140.9</v>
      </c>
      <c r="I48">
        <v>140.9</v>
      </c>
      <c r="L48">
        <v>140.9</v>
      </c>
    </row>
    <row r="49" spans="1:23" x14ac:dyDescent="0.35">
      <c r="A49" t="s">
        <v>59</v>
      </c>
      <c r="E49">
        <f t="shared" si="0"/>
        <v>140.80000000000001</v>
      </c>
      <c r="I49">
        <v>140.80000000000001</v>
      </c>
      <c r="L49">
        <v>140.80000000000001</v>
      </c>
    </row>
    <row r="50" spans="1:23" x14ac:dyDescent="0.35">
      <c r="A50" t="s">
        <v>60</v>
      </c>
      <c r="E50">
        <f t="shared" si="0"/>
        <v>140.4</v>
      </c>
      <c r="I50">
        <v>140.4</v>
      </c>
      <c r="L50">
        <v>140.4</v>
      </c>
    </row>
    <row r="51" spans="1:23" x14ac:dyDescent="0.35">
      <c r="A51" t="s">
        <v>61</v>
      </c>
      <c r="E51">
        <f t="shared" si="0"/>
        <v>138.5</v>
      </c>
      <c r="I51">
        <v>138.5</v>
      </c>
      <c r="L51">
        <v>138.5</v>
      </c>
    </row>
    <row r="52" spans="1:23" x14ac:dyDescent="0.35">
      <c r="A52" t="s">
        <v>62</v>
      </c>
      <c r="E52">
        <f t="shared" si="0"/>
        <v>140.1</v>
      </c>
      <c r="I52">
        <v>140.1</v>
      </c>
      <c r="L52">
        <v>140.1</v>
      </c>
    </row>
    <row r="53" spans="1:23" x14ac:dyDescent="0.35">
      <c r="A53" t="s">
        <v>63</v>
      </c>
      <c r="E53">
        <f t="shared" ref="E53:E73" si="1">AVERAGE(L53,N53)</f>
        <v>140.6</v>
      </c>
      <c r="I53">
        <v>140.6</v>
      </c>
      <c r="L53">
        <v>140.6</v>
      </c>
    </row>
    <row r="54" spans="1:23" x14ac:dyDescent="0.35">
      <c r="A54" t="s">
        <v>64</v>
      </c>
      <c r="E54">
        <f t="shared" si="1"/>
        <v>140.6</v>
      </c>
      <c r="I54">
        <v>140.6</v>
      </c>
      <c r="L54">
        <v>140.6</v>
      </c>
    </row>
    <row r="55" spans="1:23" x14ac:dyDescent="0.35">
      <c r="A55" t="s">
        <v>65</v>
      </c>
      <c r="E55">
        <f t="shared" si="1"/>
        <v>140.1</v>
      </c>
      <c r="I55">
        <v>140.1</v>
      </c>
      <c r="L55">
        <v>140.1</v>
      </c>
    </row>
    <row r="56" spans="1:23" x14ac:dyDescent="0.35">
      <c r="A56" t="s">
        <v>66</v>
      </c>
      <c r="E56">
        <f t="shared" si="1"/>
        <v>139.69999999999999</v>
      </c>
      <c r="I56">
        <v>139.69999999999999</v>
      </c>
      <c r="L56">
        <v>139.69999999999999</v>
      </c>
    </row>
    <row r="57" spans="1:23" x14ac:dyDescent="0.35">
      <c r="A57" t="s">
        <v>67</v>
      </c>
      <c r="E57">
        <f t="shared" si="1"/>
        <v>139.69999999999999</v>
      </c>
      <c r="I57">
        <v>139.69999999999999</v>
      </c>
      <c r="L57">
        <v>139.69999999999999</v>
      </c>
    </row>
    <row r="58" spans="1:23" x14ac:dyDescent="0.35">
      <c r="A58" t="s">
        <v>68</v>
      </c>
      <c r="E58">
        <f t="shared" si="1"/>
        <v>140.30000000000001</v>
      </c>
      <c r="I58">
        <v>140.30000000000001</v>
      </c>
      <c r="L58">
        <v>140.30000000000001</v>
      </c>
    </row>
    <row r="59" spans="1:23" x14ac:dyDescent="0.35">
      <c r="A59" t="s">
        <v>69</v>
      </c>
      <c r="E59">
        <f t="shared" si="1"/>
        <v>140.1</v>
      </c>
      <c r="F59">
        <f t="shared" ref="F59:F77" si="2">AVERAGE(M59,O59)</f>
        <v>142.69999999999999</v>
      </c>
      <c r="I59">
        <v>140.19999999999999</v>
      </c>
      <c r="L59">
        <v>140.1</v>
      </c>
      <c r="M59">
        <v>142.69999999999999</v>
      </c>
      <c r="W59">
        <f>F59-E59</f>
        <v>2.5999999999999943</v>
      </c>
    </row>
    <row r="60" spans="1:23" x14ac:dyDescent="0.35">
      <c r="A60" t="s">
        <v>70</v>
      </c>
      <c r="E60">
        <f t="shared" si="1"/>
        <v>138.4</v>
      </c>
      <c r="F60">
        <f t="shared" si="2"/>
        <v>142.1</v>
      </c>
      <c r="I60">
        <v>139.6</v>
      </c>
      <c r="L60">
        <v>138.4</v>
      </c>
      <c r="M60">
        <v>142.1</v>
      </c>
      <c r="W60">
        <f t="shared" ref="W60:W73" si="3">F60-E60</f>
        <v>3.6999999999999886</v>
      </c>
    </row>
    <row r="61" spans="1:23" x14ac:dyDescent="0.35">
      <c r="A61" t="s">
        <v>71</v>
      </c>
      <c r="E61">
        <f t="shared" si="1"/>
        <v>138.5</v>
      </c>
      <c r="F61">
        <f t="shared" si="2"/>
        <v>141</v>
      </c>
      <c r="I61">
        <v>139.6</v>
      </c>
      <c r="L61">
        <v>138.5</v>
      </c>
      <c r="M61">
        <v>141.4</v>
      </c>
      <c r="N61">
        <v>138.5</v>
      </c>
      <c r="O61">
        <v>140.6</v>
      </c>
      <c r="W61">
        <f t="shared" si="3"/>
        <v>2.5</v>
      </c>
    </row>
    <row r="62" spans="1:23" x14ac:dyDescent="0.35">
      <c r="A62" t="s">
        <v>72</v>
      </c>
      <c r="E62" s="2">
        <v>138.5</v>
      </c>
      <c r="F62" s="2">
        <v>141</v>
      </c>
      <c r="G62" s="2"/>
      <c r="H62" s="2"/>
      <c r="I62" s="2">
        <v>140</v>
      </c>
      <c r="L62">
        <v>146.80000000000001</v>
      </c>
      <c r="M62">
        <v>133</v>
      </c>
      <c r="N62">
        <v>139.30000000000001</v>
      </c>
      <c r="O62">
        <v>140.4</v>
      </c>
      <c r="W62">
        <f t="shared" si="3"/>
        <v>2.5</v>
      </c>
    </row>
    <row r="63" spans="1:23" x14ac:dyDescent="0.35">
      <c r="A63" t="s">
        <v>73</v>
      </c>
      <c r="E63">
        <f t="shared" si="1"/>
        <v>138.5</v>
      </c>
      <c r="F63">
        <f t="shared" si="2"/>
        <v>140.5</v>
      </c>
      <c r="I63">
        <v>139.6</v>
      </c>
      <c r="N63">
        <v>138.5</v>
      </c>
      <c r="O63">
        <v>140.5</v>
      </c>
      <c r="W63">
        <f t="shared" si="3"/>
        <v>2</v>
      </c>
    </row>
    <row r="64" spans="1:23" x14ac:dyDescent="0.35">
      <c r="A64" t="s">
        <v>74</v>
      </c>
      <c r="E64">
        <f t="shared" si="1"/>
        <v>138.4</v>
      </c>
      <c r="F64">
        <f t="shared" si="2"/>
        <v>140.69999999999999</v>
      </c>
      <c r="I64">
        <v>139.69999999999999</v>
      </c>
      <c r="N64">
        <v>138.4</v>
      </c>
      <c r="O64">
        <v>140.69999999999999</v>
      </c>
      <c r="W64">
        <f t="shared" si="3"/>
        <v>2.2999999999999829</v>
      </c>
    </row>
    <row r="65" spans="1:23" x14ac:dyDescent="0.35">
      <c r="A65" t="s">
        <v>75</v>
      </c>
      <c r="E65">
        <f t="shared" si="1"/>
        <v>138</v>
      </c>
      <c r="F65">
        <f t="shared" si="2"/>
        <v>141.30000000000001</v>
      </c>
      <c r="I65">
        <v>139.80000000000001</v>
      </c>
      <c r="N65">
        <v>138</v>
      </c>
      <c r="O65">
        <v>141.30000000000001</v>
      </c>
      <c r="W65">
        <f t="shared" si="3"/>
        <v>3.3000000000000114</v>
      </c>
    </row>
    <row r="66" spans="1:23" x14ac:dyDescent="0.35">
      <c r="A66" t="s">
        <v>76</v>
      </c>
      <c r="E66">
        <f t="shared" si="1"/>
        <v>138.4</v>
      </c>
      <c r="F66">
        <f t="shared" si="2"/>
        <v>140.9</v>
      </c>
      <c r="I66">
        <v>139.80000000000001</v>
      </c>
      <c r="N66">
        <v>138.4</v>
      </c>
      <c r="O66">
        <v>140.9</v>
      </c>
      <c r="W66">
        <f t="shared" si="3"/>
        <v>2.5</v>
      </c>
    </row>
    <row r="67" spans="1:23" x14ac:dyDescent="0.35">
      <c r="A67" t="s">
        <v>77</v>
      </c>
      <c r="E67">
        <f t="shared" si="1"/>
        <v>138.80000000000001</v>
      </c>
      <c r="F67">
        <f t="shared" si="2"/>
        <v>141.1</v>
      </c>
      <c r="I67">
        <v>140</v>
      </c>
      <c r="N67">
        <v>138.80000000000001</v>
      </c>
      <c r="O67">
        <v>141.1</v>
      </c>
      <c r="W67">
        <f t="shared" si="3"/>
        <v>2.2999999999999829</v>
      </c>
    </row>
    <row r="68" spans="1:23" x14ac:dyDescent="0.35">
      <c r="A68" t="s">
        <v>78</v>
      </c>
      <c r="E68">
        <f t="shared" si="1"/>
        <v>138.9</v>
      </c>
      <c r="F68">
        <f t="shared" si="2"/>
        <v>141.19999999999999</v>
      </c>
      <c r="I68">
        <v>140.1</v>
      </c>
      <c r="N68">
        <v>138.9</v>
      </c>
      <c r="O68">
        <v>141.19999999999999</v>
      </c>
      <c r="W68">
        <f t="shared" si="3"/>
        <v>2.2999999999999829</v>
      </c>
    </row>
    <row r="69" spans="1:23" x14ac:dyDescent="0.35">
      <c r="A69" t="s">
        <v>79</v>
      </c>
      <c r="E69">
        <f t="shared" si="1"/>
        <v>138.5</v>
      </c>
      <c r="F69">
        <f t="shared" si="2"/>
        <v>140.9</v>
      </c>
      <c r="I69">
        <v>139.80000000000001</v>
      </c>
      <c r="N69">
        <v>138.5</v>
      </c>
      <c r="O69">
        <v>140.9</v>
      </c>
      <c r="W69">
        <f t="shared" si="3"/>
        <v>2.4000000000000057</v>
      </c>
    </row>
    <row r="70" spans="1:23" x14ac:dyDescent="0.35">
      <c r="A70" t="s">
        <v>80</v>
      </c>
      <c r="E70">
        <f t="shared" si="1"/>
        <v>138.30000000000001</v>
      </c>
      <c r="F70">
        <f t="shared" si="2"/>
        <v>141</v>
      </c>
      <c r="I70">
        <v>139.80000000000001</v>
      </c>
      <c r="N70">
        <v>138.30000000000001</v>
      </c>
      <c r="O70">
        <v>141</v>
      </c>
      <c r="W70">
        <f t="shared" si="3"/>
        <v>2.6999999999999886</v>
      </c>
    </row>
    <row r="71" spans="1:23" x14ac:dyDescent="0.35">
      <c r="A71" t="s">
        <v>81</v>
      </c>
      <c r="E71">
        <f t="shared" si="1"/>
        <v>138.80000000000001</v>
      </c>
      <c r="F71">
        <f t="shared" si="2"/>
        <v>141.5</v>
      </c>
      <c r="I71">
        <v>140.19999999999999</v>
      </c>
      <c r="N71">
        <v>138.80000000000001</v>
      </c>
      <c r="O71">
        <v>141.5</v>
      </c>
      <c r="W71">
        <f t="shared" si="3"/>
        <v>2.6999999999999886</v>
      </c>
    </row>
    <row r="72" spans="1:23" x14ac:dyDescent="0.35">
      <c r="A72" t="s">
        <v>82</v>
      </c>
      <c r="E72">
        <f t="shared" si="1"/>
        <v>139</v>
      </c>
      <c r="F72">
        <f t="shared" si="2"/>
        <v>142.30000000000001</v>
      </c>
      <c r="I72">
        <v>140.80000000000001</v>
      </c>
      <c r="N72">
        <v>139</v>
      </c>
      <c r="O72">
        <v>142.30000000000001</v>
      </c>
      <c r="W72">
        <f t="shared" si="3"/>
        <v>3.3000000000000114</v>
      </c>
    </row>
    <row r="73" spans="1:23" x14ac:dyDescent="0.35">
      <c r="A73" t="s">
        <v>83</v>
      </c>
      <c r="E73">
        <f t="shared" si="1"/>
        <v>139.5</v>
      </c>
      <c r="F73">
        <f t="shared" si="2"/>
        <v>142</v>
      </c>
      <c r="H73">
        <v>142.5</v>
      </c>
      <c r="I73">
        <v>141.80000000000001</v>
      </c>
      <c r="N73">
        <v>139.5</v>
      </c>
      <c r="O73">
        <v>142</v>
      </c>
      <c r="W73">
        <f t="shared" si="3"/>
        <v>2.5</v>
      </c>
    </row>
    <row r="74" spans="1:23" x14ac:dyDescent="0.35">
      <c r="A74" t="s">
        <v>84</v>
      </c>
      <c r="F74">
        <f t="shared" si="2"/>
        <v>141.6</v>
      </c>
      <c r="G74">
        <v>141.1</v>
      </c>
      <c r="H74">
        <v>142.4</v>
      </c>
      <c r="I74">
        <v>141.69999999999999</v>
      </c>
      <c r="O74">
        <v>141.6</v>
      </c>
    </row>
    <row r="75" spans="1:23" x14ac:dyDescent="0.35">
      <c r="A75" t="s">
        <v>85</v>
      </c>
      <c r="F75">
        <f t="shared" si="2"/>
        <v>141.80000000000001</v>
      </c>
      <c r="G75">
        <v>141.80000000000001</v>
      </c>
      <c r="H75">
        <v>143.4</v>
      </c>
      <c r="I75">
        <v>142</v>
      </c>
      <c r="O75">
        <v>141.80000000000001</v>
      </c>
    </row>
    <row r="76" spans="1:23" x14ac:dyDescent="0.35">
      <c r="A76" t="s">
        <v>86</v>
      </c>
      <c r="F76">
        <f t="shared" si="2"/>
        <v>142</v>
      </c>
      <c r="G76">
        <v>142.19999999999999</v>
      </c>
      <c r="H76">
        <v>144.19999999999999</v>
      </c>
      <c r="I76">
        <v>142.30000000000001</v>
      </c>
      <c r="O76">
        <v>142</v>
      </c>
    </row>
    <row r="77" spans="1:23" x14ac:dyDescent="0.35">
      <c r="A77" t="s">
        <v>87</v>
      </c>
      <c r="F77">
        <f t="shared" si="2"/>
        <v>143</v>
      </c>
      <c r="G77">
        <v>142.5</v>
      </c>
      <c r="H77">
        <v>144.5</v>
      </c>
      <c r="I77">
        <v>142.80000000000001</v>
      </c>
      <c r="O77">
        <v>143</v>
      </c>
    </row>
    <row r="78" spans="1:23" x14ac:dyDescent="0.35">
      <c r="A78" t="s">
        <v>88</v>
      </c>
      <c r="G78">
        <v>142.4</v>
      </c>
      <c r="H78">
        <v>144.6</v>
      </c>
      <c r="I78">
        <v>142.80000000000001</v>
      </c>
      <c r="O78">
        <v>146</v>
      </c>
    </row>
    <row r="79" spans="1:23" x14ac:dyDescent="0.35">
      <c r="A79" t="s">
        <v>89</v>
      </c>
      <c r="G79">
        <v>142.1</v>
      </c>
      <c r="H79">
        <v>144.5</v>
      </c>
      <c r="I79">
        <v>142.69999999999999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0"/>
  <sheetViews>
    <sheetView tabSelected="1" topLeftCell="E4" zoomScale="130" zoomScaleNormal="130" workbookViewId="0">
      <selection activeCell="P23" sqref="P23"/>
    </sheetView>
  </sheetViews>
  <sheetFormatPr defaultRowHeight="14.5" x14ac:dyDescent="0.35"/>
  <cols>
    <col min="5" max="5" width="11.81640625" customWidth="1"/>
    <col min="6" max="6" width="11.81640625" bestFit="1" customWidth="1"/>
  </cols>
  <sheetData>
    <row r="1" spans="1:13" x14ac:dyDescent="0.35">
      <c r="A1" t="s">
        <v>0</v>
      </c>
      <c r="B1" t="s">
        <v>96</v>
      </c>
      <c r="C1" t="s">
        <v>97</v>
      </c>
      <c r="D1" t="s">
        <v>1</v>
      </c>
      <c r="E1" t="s">
        <v>93</v>
      </c>
      <c r="F1" t="s">
        <v>94</v>
      </c>
      <c r="G1" t="s">
        <v>95</v>
      </c>
      <c r="H1" t="s">
        <v>98</v>
      </c>
      <c r="I1" t="s">
        <v>11</v>
      </c>
      <c r="L1" t="s">
        <v>92</v>
      </c>
      <c r="M1" t="s">
        <v>93</v>
      </c>
    </row>
    <row r="2" spans="1:13" x14ac:dyDescent="0.35">
      <c r="A2" t="s">
        <v>12</v>
      </c>
      <c r="B2">
        <v>70.3</v>
      </c>
      <c r="C2">
        <v>29.7</v>
      </c>
      <c r="D2">
        <v>0</v>
      </c>
      <c r="E2">
        <f t="shared" ref="E2:E33" si="0">SUM(L2:M2)</f>
        <v>0</v>
      </c>
      <c r="F2">
        <v>0</v>
      </c>
      <c r="G2">
        <v>0</v>
      </c>
      <c r="H2">
        <v>0</v>
      </c>
      <c r="I2">
        <v>3729</v>
      </c>
      <c r="L2">
        <v>0</v>
      </c>
      <c r="M2">
        <v>0</v>
      </c>
    </row>
    <row r="3" spans="1:13" x14ac:dyDescent="0.35">
      <c r="A3" t="s">
        <v>13</v>
      </c>
      <c r="B3">
        <v>63.8</v>
      </c>
      <c r="C3">
        <v>36.200000000000003</v>
      </c>
      <c r="D3">
        <v>0</v>
      </c>
      <c r="E3">
        <f t="shared" si="0"/>
        <v>0</v>
      </c>
      <c r="F3">
        <v>0</v>
      </c>
      <c r="G3">
        <v>0</v>
      </c>
      <c r="H3">
        <v>0</v>
      </c>
      <c r="I3">
        <v>3683</v>
      </c>
      <c r="L3">
        <v>0</v>
      </c>
      <c r="M3">
        <v>0</v>
      </c>
    </row>
    <row r="4" spans="1:13" x14ac:dyDescent="0.35">
      <c r="A4" t="s">
        <v>14</v>
      </c>
      <c r="B4">
        <v>59</v>
      </c>
      <c r="C4">
        <v>41</v>
      </c>
      <c r="D4">
        <v>0</v>
      </c>
      <c r="E4">
        <f t="shared" si="0"/>
        <v>0</v>
      </c>
      <c r="F4">
        <v>0</v>
      </c>
      <c r="G4">
        <v>0</v>
      </c>
      <c r="H4">
        <v>0</v>
      </c>
      <c r="I4">
        <v>6237</v>
      </c>
      <c r="L4">
        <v>0</v>
      </c>
      <c r="M4">
        <v>0</v>
      </c>
    </row>
    <row r="5" spans="1:13" x14ac:dyDescent="0.35">
      <c r="A5" t="s">
        <v>15</v>
      </c>
      <c r="B5">
        <v>57.2</v>
      </c>
      <c r="C5">
        <v>42.8</v>
      </c>
      <c r="D5">
        <v>0</v>
      </c>
      <c r="E5">
        <f t="shared" si="0"/>
        <v>0</v>
      </c>
      <c r="F5">
        <v>0</v>
      </c>
      <c r="G5">
        <v>0</v>
      </c>
      <c r="H5">
        <v>0</v>
      </c>
      <c r="I5">
        <v>3702</v>
      </c>
      <c r="L5">
        <v>0</v>
      </c>
      <c r="M5">
        <v>0</v>
      </c>
    </row>
    <row r="6" spans="1:13" x14ac:dyDescent="0.35">
      <c r="A6" t="s">
        <v>16</v>
      </c>
      <c r="B6">
        <v>24.6</v>
      </c>
      <c r="C6">
        <v>75.400000000000006</v>
      </c>
      <c r="D6">
        <v>0</v>
      </c>
      <c r="E6">
        <f t="shared" si="0"/>
        <v>0</v>
      </c>
      <c r="F6">
        <v>0</v>
      </c>
      <c r="G6">
        <v>0</v>
      </c>
      <c r="H6">
        <v>0</v>
      </c>
      <c r="I6">
        <v>4389</v>
      </c>
      <c r="L6">
        <v>0</v>
      </c>
      <c r="M6">
        <v>0</v>
      </c>
    </row>
    <row r="7" spans="1:13" x14ac:dyDescent="0.35">
      <c r="A7" t="s">
        <v>17</v>
      </c>
      <c r="B7">
        <v>16.3</v>
      </c>
      <c r="C7">
        <v>83.7</v>
      </c>
      <c r="D7">
        <v>0</v>
      </c>
      <c r="E7">
        <f t="shared" si="0"/>
        <v>0</v>
      </c>
      <c r="F7">
        <v>0</v>
      </c>
      <c r="G7">
        <v>0</v>
      </c>
      <c r="H7">
        <v>0</v>
      </c>
      <c r="I7">
        <v>5041</v>
      </c>
      <c r="L7">
        <v>0</v>
      </c>
      <c r="M7">
        <v>0</v>
      </c>
    </row>
    <row r="8" spans="1:13" x14ac:dyDescent="0.35">
      <c r="A8" t="s">
        <v>18</v>
      </c>
      <c r="B8">
        <v>0.8</v>
      </c>
      <c r="C8">
        <v>99.2</v>
      </c>
      <c r="D8">
        <v>0</v>
      </c>
      <c r="E8">
        <f t="shared" si="0"/>
        <v>0</v>
      </c>
      <c r="F8">
        <v>0</v>
      </c>
      <c r="G8">
        <v>0</v>
      </c>
      <c r="H8">
        <v>0</v>
      </c>
      <c r="I8">
        <v>4984</v>
      </c>
      <c r="L8">
        <v>0</v>
      </c>
      <c r="M8">
        <v>0</v>
      </c>
    </row>
    <row r="9" spans="1:13" x14ac:dyDescent="0.35">
      <c r="A9" t="s">
        <v>19</v>
      </c>
      <c r="B9">
        <v>0</v>
      </c>
      <c r="C9">
        <v>100</v>
      </c>
      <c r="D9">
        <v>0</v>
      </c>
      <c r="E9">
        <f t="shared" si="0"/>
        <v>0</v>
      </c>
      <c r="F9">
        <v>0</v>
      </c>
      <c r="G9">
        <v>0</v>
      </c>
      <c r="H9">
        <v>0</v>
      </c>
      <c r="I9">
        <v>4242</v>
      </c>
      <c r="L9">
        <v>0</v>
      </c>
      <c r="M9">
        <v>0</v>
      </c>
    </row>
    <row r="10" spans="1:13" x14ac:dyDescent="0.35">
      <c r="A10" t="s">
        <v>20</v>
      </c>
      <c r="B10">
        <v>0</v>
      </c>
      <c r="C10">
        <v>100</v>
      </c>
      <c r="D10">
        <v>0</v>
      </c>
      <c r="E10">
        <f t="shared" si="0"/>
        <v>0</v>
      </c>
      <c r="F10">
        <v>0</v>
      </c>
      <c r="G10">
        <v>0</v>
      </c>
      <c r="H10">
        <v>0</v>
      </c>
      <c r="I10">
        <v>3688</v>
      </c>
      <c r="L10">
        <v>0</v>
      </c>
      <c r="M10">
        <v>0</v>
      </c>
    </row>
    <row r="11" spans="1:13" x14ac:dyDescent="0.35">
      <c r="A11" t="s">
        <v>21</v>
      </c>
      <c r="B11">
        <v>0</v>
      </c>
      <c r="C11">
        <v>100</v>
      </c>
      <c r="D11">
        <v>0</v>
      </c>
      <c r="E11">
        <f t="shared" si="0"/>
        <v>0</v>
      </c>
      <c r="F11">
        <v>0</v>
      </c>
      <c r="G11">
        <v>0</v>
      </c>
      <c r="H11">
        <v>0</v>
      </c>
      <c r="I11">
        <v>3574</v>
      </c>
      <c r="L11">
        <v>0</v>
      </c>
      <c r="M11">
        <v>0</v>
      </c>
    </row>
    <row r="12" spans="1:13" x14ac:dyDescent="0.35">
      <c r="A12" t="s">
        <v>22</v>
      </c>
      <c r="B12">
        <v>0</v>
      </c>
      <c r="C12">
        <v>100</v>
      </c>
      <c r="D12">
        <v>0</v>
      </c>
      <c r="E12">
        <f t="shared" si="0"/>
        <v>0</v>
      </c>
      <c r="F12">
        <v>0</v>
      </c>
      <c r="G12">
        <v>0</v>
      </c>
      <c r="H12">
        <v>0</v>
      </c>
      <c r="I12">
        <v>3117</v>
      </c>
      <c r="L12">
        <v>0</v>
      </c>
      <c r="M12">
        <v>0</v>
      </c>
    </row>
    <row r="13" spans="1:13" x14ac:dyDescent="0.35">
      <c r="A13" t="s">
        <v>23</v>
      </c>
      <c r="B13">
        <v>0</v>
      </c>
      <c r="C13">
        <v>100</v>
      </c>
      <c r="D13">
        <v>0</v>
      </c>
      <c r="E13">
        <f t="shared" si="0"/>
        <v>0</v>
      </c>
      <c r="F13">
        <v>0</v>
      </c>
      <c r="G13">
        <v>0</v>
      </c>
      <c r="H13">
        <v>0</v>
      </c>
      <c r="I13">
        <v>3276</v>
      </c>
      <c r="L13">
        <v>0</v>
      </c>
      <c r="M13">
        <v>0</v>
      </c>
    </row>
    <row r="14" spans="1:13" x14ac:dyDescent="0.35">
      <c r="A14" t="s">
        <v>24</v>
      </c>
      <c r="B14">
        <v>0</v>
      </c>
      <c r="C14">
        <v>100</v>
      </c>
      <c r="D14">
        <v>0</v>
      </c>
      <c r="E14">
        <f t="shared" si="0"/>
        <v>0</v>
      </c>
      <c r="F14">
        <v>0</v>
      </c>
      <c r="G14">
        <v>0</v>
      </c>
      <c r="H14">
        <v>0</v>
      </c>
      <c r="I14">
        <v>3694</v>
      </c>
      <c r="L14">
        <v>0</v>
      </c>
      <c r="M14">
        <v>0</v>
      </c>
    </row>
    <row r="15" spans="1:13" x14ac:dyDescent="0.35">
      <c r="A15" t="s">
        <v>25</v>
      </c>
      <c r="B15">
        <v>0</v>
      </c>
      <c r="C15">
        <v>100</v>
      </c>
      <c r="D15">
        <v>0</v>
      </c>
      <c r="E15">
        <f t="shared" si="0"/>
        <v>0</v>
      </c>
      <c r="F15">
        <v>0</v>
      </c>
      <c r="G15">
        <v>0</v>
      </c>
      <c r="H15">
        <v>0</v>
      </c>
      <c r="I15">
        <v>3712</v>
      </c>
      <c r="L15">
        <v>0</v>
      </c>
      <c r="M15">
        <v>0</v>
      </c>
    </row>
    <row r="16" spans="1:13" x14ac:dyDescent="0.35">
      <c r="A16" t="s">
        <v>26</v>
      </c>
      <c r="B16">
        <v>0</v>
      </c>
      <c r="C16">
        <v>100</v>
      </c>
      <c r="D16">
        <v>0</v>
      </c>
      <c r="E16">
        <f t="shared" si="0"/>
        <v>0</v>
      </c>
      <c r="F16">
        <v>0</v>
      </c>
      <c r="G16">
        <v>0</v>
      </c>
      <c r="H16">
        <v>0</v>
      </c>
      <c r="I16">
        <v>8358</v>
      </c>
      <c r="L16">
        <v>0</v>
      </c>
      <c r="M16">
        <v>0</v>
      </c>
    </row>
    <row r="17" spans="1:13" x14ac:dyDescent="0.35">
      <c r="A17" t="s">
        <v>27</v>
      </c>
      <c r="B17">
        <v>0</v>
      </c>
      <c r="C17">
        <v>100</v>
      </c>
      <c r="D17">
        <v>0</v>
      </c>
      <c r="E17">
        <f t="shared" si="0"/>
        <v>0</v>
      </c>
      <c r="F17">
        <v>0</v>
      </c>
      <c r="G17">
        <v>0</v>
      </c>
      <c r="H17">
        <v>0</v>
      </c>
      <c r="I17">
        <v>7949</v>
      </c>
      <c r="L17">
        <v>0</v>
      </c>
      <c r="M17">
        <v>0</v>
      </c>
    </row>
    <row r="18" spans="1:13" x14ac:dyDescent="0.35">
      <c r="A18" t="s">
        <v>28</v>
      </c>
      <c r="B18">
        <v>0</v>
      </c>
      <c r="C18">
        <v>100</v>
      </c>
      <c r="D18">
        <v>0</v>
      </c>
      <c r="E18">
        <f t="shared" si="0"/>
        <v>0</v>
      </c>
      <c r="F18">
        <v>0</v>
      </c>
      <c r="G18">
        <v>0</v>
      </c>
      <c r="H18">
        <v>0</v>
      </c>
      <c r="I18">
        <v>5916</v>
      </c>
      <c r="L18">
        <v>0</v>
      </c>
      <c r="M18">
        <v>0</v>
      </c>
    </row>
    <row r="19" spans="1:13" x14ac:dyDescent="0.35">
      <c r="A19" t="s">
        <v>29</v>
      </c>
      <c r="B19">
        <v>0</v>
      </c>
      <c r="C19">
        <v>100</v>
      </c>
      <c r="D19">
        <v>0</v>
      </c>
      <c r="E19">
        <f t="shared" si="0"/>
        <v>0</v>
      </c>
      <c r="F19">
        <v>0</v>
      </c>
      <c r="G19">
        <v>0</v>
      </c>
      <c r="H19">
        <v>0</v>
      </c>
      <c r="I19">
        <v>5777</v>
      </c>
      <c r="L19">
        <v>0</v>
      </c>
      <c r="M19">
        <v>0</v>
      </c>
    </row>
    <row r="20" spans="1:13" x14ac:dyDescent="0.35">
      <c r="A20" t="s">
        <v>30</v>
      </c>
      <c r="B20">
        <v>0</v>
      </c>
      <c r="C20">
        <v>100</v>
      </c>
      <c r="D20">
        <v>0</v>
      </c>
      <c r="E20">
        <f t="shared" si="0"/>
        <v>0</v>
      </c>
      <c r="F20">
        <v>0</v>
      </c>
      <c r="G20">
        <v>0</v>
      </c>
      <c r="H20">
        <v>0</v>
      </c>
      <c r="I20">
        <v>4993</v>
      </c>
      <c r="L20">
        <v>0</v>
      </c>
      <c r="M20">
        <v>0</v>
      </c>
    </row>
    <row r="21" spans="1:13" x14ac:dyDescent="0.35">
      <c r="A21" t="s">
        <v>31</v>
      </c>
      <c r="B21">
        <v>0</v>
      </c>
      <c r="C21">
        <v>96.8</v>
      </c>
      <c r="D21">
        <v>3.2</v>
      </c>
      <c r="E21">
        <f t="shared" si="0"/>
        <v>0</v>
      </c>
      <c r="F21">
        <v>0</v>
      </c>
      <c r="G21">
        <v>0</v>
      </c>
      <c r="H21">
        <v>0</v>
      </c>
      <c r="I21">
        <v>4658</v>
      </c>
      <c r="L21">
        <v>0</v>
      </c>
      <c r="M21">
        <v>0</v>
      </c>
    </row>
    <row r="22" spans="1:13" x14ac:dyDescent="0.35">
      <c r="A22" t="s">
        <v>32</v>
      </c>
      <c r="B22">
        <v>0</v>
      </c>
      <c r="C22">
        <v>88.5</v>
      </c>
      <c r="D22">
        <v>11.5</v>
      </c>
      <c r="E22">
        <f t="shared" si="0"/>
        <v>0</v>
      </c>
      <c r="F22">
        <v>0</v>
      </c>
      <c r="G22">
        <v>0</v>
      </c>
      <c r="H22">
        <v>0</v>
      </c>
      <c r="I22">
        <v>4368</v>
      </c>
      <c r="L22">
        <v>0</v>
      </c>
      <c r="M22">
        <v>0</v>
      </c>
    </row>
    <row r="23" spans="1:13" x14ac:dyDescent="0.35">
      <c r="A23" t="s">
        <v>33</v>
      </c>
      <c r="B23">
        <v>0</v>
      </c>
      <c r="C23">
        <v>88.7</v>
      </c>
      <c r="D23">
        <v>11.3</v>
      </c>
      <c r="E23">
        <f t="shared" si="0"/>
        <v>0</v>
      </c>
      <c r="F23">
        <v>0</v>
      </c>
      <c r="G23">
        <v>0</v>
      </c>
      <c r="H23">
        <v>0</v>
      </c>
      <c r="I23">
        <v>3959</v>
      </c>
      <c r="L23">
        <v>0</v>
      </c>
      <c r="M23">
        <v>0</v>
      </c>
    </row>
    <row r="24" spans="1:13" x14ac:dyDescent="0.35">
      <c r="A24" t="s">
        <v>34</v>
      </c>
      <c r="B24">
        <v>0</v>
      </c>
      <c r="C24">
        <v>80.900000000000006</v>
      </c>
      <c r="D24">
        <v>19.100000000000001</v>
      </c>
      <c r="E24">
        <f t="shared" si="0"/>
        <v>0</v>
      </c>
      <c r="F24">
        <v>0</v>
      </c>
      <c r="G24">
        <v>0</v>
      </c>
      <c r="H24">
        <v>0</v>
      </c>
      <c r="I24">
        <v>3784</v>
      </c>
      <c r="L24">
        <v>0</v>
      </c>
      <c r="M24">
        <v>0</v>
      </c>
    </row>
    <row r="25" spans="1:13" x14ac:dyDescent="0.35">
      <c r="A25" t="s">
        <v>35</v>
      </c>
      <c r="B25">
        <v>0</v>
      </c>
      <c r="C25">
        <v>73</v>
      </c>
      <c r="D25">
        <v>27</v>
      </c>
      <c r="E25">
        <f t="shared" si="0"/>
        <v>0</v>
      </c>
      <c r="F25">
        <v>0</v>
      </c>
      <c r="G25">
        <v>0</v>
      </c>
      <c r="H25">
        <v>0</v>
      </c>
      <c r="I25">
        <v>3676</v>
      </c>
      <c r="L25">
        <v>0</v>
      </c>
      <c r="M25">
        <v>0</v>
      </c>
    </row>
    <row r="26" spans="1:13" x14ac:dyDescent="0.35">
      <c r="A26" t="s">
        <v>36</v>
      </c>
      <c r="B26">
        <v>0</v>
      </c>
      <c r="C26">
        <v>71.400000000000006</v>
      </c>
      <c r="D26">
        <v>28.6</v>
      </c>
      <c r="E26">
        <f t="shared" si="0"/>
        <v>0</v>
      </c>
      <c r="F26">
        <v>0</v>
      </c>
      <c r="G26">
        <v>0</v>
      </c>
      <c r="H26">
        <v>0</v>
      </c>
      <c r="I26">
        <v>3008</v>
      </c>
      <c r="L26">
        <v>0</v>
      </c>
      <c r="M26">
        <v>0</v>
      </c>
    </row>
    <row r="27" spans="1:13" x14ac:dyDescent="0.35">
      <c r="A27" t="s">
        <v>37</v>
      </c>
      <c r="B27">
        <v>0</v>
      </c>
      <c r="C27">
        <v>50.5</v>
      </c>
      <c r="D27">
        <v>49.5</v>
      </c>
      <c r="E27">
        <f t="shared" si="0"/>
        <v>0</v>
      </c>
      <c r="F27">
        <v>0</v>
      </c>
      <c r="G27">
        <v>0</v>
      </c>
      <c r="H27">
        <v>0</v>
      </c>
      <c r="I27">
        <v>3224</v>
      </c>
      <c r="L27">
        <v>0</v>
      </c>
      <c r="M27">
        <v>0</v>
      </c>
    </row>
    <row r="28" spans="1:13" x14ac:dyDescent="0.35">
      <c r="A28" t="s">
        <v>38</v>
      </c>
      <c r="B28">
        <v>0</v>
      </c>
      <c r="C28">
        <v>44</v>
      </c>
      <c r="D28">
        <v>56</v>
      </c>
      <c r="E28">
        <f t="shared" si="0"/>
        <v>0</v>
      </c>
      <c r="F28">
        <v>0</v>
      </c>
      <c r="G28">
        <v>0</v>
      </c>
      <c r="H28">
        <v>0</v>
      </c>
      <c r="I28">
        <v>5218</v>
      </c>
      <c r="L28">
        <v>0</v>
      </c>
      <c r="M28">
        <v>0</v>
      </c>
    </row>
    <row r="29" spans="1:13" x14ac:dyDescent="0.35">
      <c r="A29" t="s">
        <v>39</v>
      </c>
      <c r="B29">
        <v>0</v>
      </c>
      <c r="C29">
        <v>8.1999999999999993</v>
      </c>
      <c r="D29">
        <v>91.8</v>
      </c>
      <c r="E29">
        <f t="shared" si="0"/>
        <v>0</v>
      </c>
      <c r="F29">
        <v>0</v>
      </c>
      <c r="G29">
        <v>0</v>
      </c>
      <c r="H29">
        <v>0</v>
      </c>
      <c r="I29">
        <v>4027</v>
      </c>
      <c r="L29">
        <v>0</v>
      </c>
      <c r="M29">
        <v>0</v>
      </c>
    </row>
    <row r="30" spans="1:13" x14ac:dyDescent="0.35">
      <c r="A30" t="s">
        <v>40</v>
      </c>
      <c r="B30">
        <v>0</v>
      </c>
      <c r="C30">
        <v>0</v>
      </c>
      <c r="D30">
        <v>100</v>
      </c>
      <c r="E30">
        <f t="shared" si="0"/>
        <v>0</v>
      </c>
      <c r="F30">
        <v>0</v>
      </c>
      <c r="G30">
        <v>0</v>
      </c>
      <c r="H30">
        <v>0</v>
      </c>
      <c r="I30">
        <v>3626</v>
      </c>
      <c r="L30">
        <v>0</v>
      </c>
      <c r="M30">
        <v>0</v>
      </c>
    </row>
    <row r="31" spans="1:13" x14ac:dyDescent="0.35">
      <c r="A31" t="s">
        <v>41</v>
      </c>
      <c r="B31">
        <v>0</v>
      </c>
      <c r="C31">
        <v>0</v>
      </c>
      <c r="D31">
        <v>100</v>
      </c>
      <c r="E31">
        <f t="shared" si="0"/>
        <v>0</v>
      </c>
      <c r="F31">
        <v>0</v>
      </c>
      <c r="G31">
        <v>0</v>
      </c>
      <c r="H31">
        <v>0</v>
      </c>
      <c r="I31">
        <v>3428</v>
      </c>
      <c r="L31">
        <v>0</v>
      </c>
      <c r="M31">
        <v>0</v>
      </c>
    </row>
    <row r="32" spans="1:13" x14ac:dyDescent="0.35">
      <c r="A32" t="s">
        <v>42</v>
      </c>
      <c r="B32">
        <v>0</v>
      </c>
      <c r="C32">
        <v>0</v>
      </c>
      <c r="D32">
        <v>100</v>
      </c>
      <c r="E32">
        <f t="shared" si="0"/>
        <v>0</v>
      </c>
      <c r="F32">
        <v>0</v>
      </c>
      <c r="G32">
        <v>0</v>
      </c>
      <c r="H32">
        <v>0</v>
      </c>
      <c r="I32">
        <v>2928</v>
      </c>
      <c r="L32">
        <v>0</v>
      </c>
      <c r="M32">
        <v>0</v>
      </c>
    </row>
    <row r="33" spans="1:13" x14ac:dyDescent="0.35">
      <c r="A33" t="s">
        <v>43</v>
      </c>
      <c r="B33">
        <v>0</v>
      </c>
      <c r="C33">
        <v>0</v>
      </c>
      <c r="D33">
        <v>100</v>
      </c>
      <c r="E33">
        <f t="shared" si="0"/>
        <v>0</v>
      </c>
      <c r="F33">
        <v>0</v>
      </c>
      <c r="G33">
        <v>0</v>
      </c>
      <c r="H33">
        <v>0</v>
      </c>
      <c r="I33">
        <v>3404</v>
      </c>
      <c r="L33">
        <v>0</v>
      </c>
      <c r="M33">
        <v>0</v>
      </c>
    </row>
    <row r="34" spans="1:13" x14ac:dyDescent="0.35">
      <c r="A34" t="s">
        <v>44</v>
      </c>
      <c r="B34">
        <v>0</v>
      </c>
      <c r="C34">
        <v>0</v>
      </c>
      <c r="D34">
        <v>100</v>
      </c>
      <c r="E34">
        <f t="shared" ref="E34:E65" si="1">SUM(L34:M34)</f>
        <v>0</v>
      </c>
      <c r="F34">
        <v>0</v>
      </c>
      <c r="G34">
        <v>0</v>
      </c>
      <c r="H34">
        <v>0</v>
      </c>
      <c r="I34">
        <v>3287</v>
      </c>
      <c r="L34">
        <v>0</v>
      </c>
      <c r="M34">
        <v>0</v>
      </c>
    </row>
    <row r="35" spans="1:13" x14ac:dyDescent="0.35">
      <c r="A35" t="s">
        <v>45</v>
      </c>
      <c r="B35">
        <v>0</v>
      </c>
      <c r="C35">
        <v>0</v>
      </c>
      <c r="D35">
        <v>100</v>
      </c>
      <c r="E35">
        <f t="shared" si="1"/>
        <v>0</v>
      </c>
      <c r="F35">
        <v>0</v>
      </c>
      <c r="G35">
        <v>0</v>
      </c>
      <c r="H35">
        <v>0</v>
      </c>
      <c r="I35">
        <v>2890</v>
      </c>
      <c r="L35">
        <v>0</v>
      </c>
      <c r="M35">
        <v>0</v>
      </c>
    </row>
    <row r="36" spans="1:13" x14ac:dyDescent="0.35">
      <c r="A36" t="s">
        <v>46</v>
      </c>
      <c r="B36">
        <v>0</v>
      </c>
      <c r="C36">
        <v>0</v>
      </c>
      <c r="D36">
        <v>100</v>
      </c>
      <c r="E36">
        <f t="shared" si="1"/>
        <v>0</v>
      </c>
      <c r="F36">
        <v>0</v>
      </c>
      <c r="G36">
        <v>0</v>
      </c>
      <c r="H36">
        <v>0</v>
      </c>
      <c r="I36">
        <v>2310</v>
      </c>
      <c r="L36">
        <v>0</v>
      </c>
      <c r="M36">
        <v>0</v>
      </c>
    </row>
    <row r="37" spans="1:13" x14ac:dyDescent="0.35">
      <c r="A37" t="s">
        <v>47</v>
      </c>
      <c r="B37">
        <v>0</v>
      </c>
      <c r="C37">
        <v>0</v>
      </c>
      <c r="D37">
        <v>100</v>
      </c>
      <c r="E37">
        <f t="shared" si="1"/>
        <v>0</v>
      </c>
      <c r="F37">
        <v>0</v>
      </c>
      <c r="G37">
        <v>0</v>
      </c>
      <c r="H37">
        <v>0</v>
      </c>
      <c r="I37">
        <v>2227</v>
      </c>
      <c r="L37">
        <v>0</v>
      </c>
      <c r="M37">
        <v>0</v>
      </c>
    </row>
    <row r="38" spans="1:13" x14ac:dyDescent="0.35">
      <c r="A38" t="s">
        <v>48</v>
      </c>
      <c r="B38">
        <v>0</v>
      </c>
      <c r="C38">
        <v>0</v>
      </c>
      <c r="D38">
        <v>100</v>
      </c>
      <c r="E38">
        <f t="shared" si="1"/>
        <v>0</v>
      </c>
      <c r="F38">
        <v>0</v>
      </c>
      <c r="G38">
        <v>0</v>
      </c>
      <c r="H38">
        <v>0</v>
      </c>
      <c r="I38">
        <v>2319</v>
      </c>
      <c r="L38">
        <v>0</v>
      </c>
      <c r="M38">
        <v>0</v>
      </c>
    </row>
    <row r="39" spans="1:13" x14ac:dyDescent="0.35">
      <c r="A39" t="s">
        <v>49</v>
      </c>
      <c r="B39">
        <v>0</v>
      </c>
      <c r="C39">
        <v>0</v>
      </c>
      <c r="D39">
        <v>100</v>
      </c>
      <c r="E39">
        <f t="shared" si="1"/>
        <v>0</v>
      </c>
      <c r="F39">
        <v>0</v>
      </c>
      <c r="G39">
        <v>0</v>
      </c>
      <c r="H39">
        <v>0</v>
      </c>
      <c r="I39">
        <v>2180</v>
      </c>
      <c r="L39">
        <v>0</v>
      </c>
      <c r="M39">
        <v>0</v>
      </c>
    </row>
    <row r="40" spans="1:13" x14ac:dyDescent="0.35">
      <c r="A40" t="s">
        <v>50</v>
      </c>
      <c r="B40">
        <v>0</v>
      </c>
      <c r="C40">
        <v>0</v>
      </c>
      <c r="D40">
        <v>100</v>
      </c>
      <c r="E40">
        <f t="shared" si="1"/>
        <v>0</v>
      </c>
      <c r="F40">
        <v>0</v>
      </c>
      <c r="G40">
        <v>0</v>
      </c>
      <c r="H40">
        <v>0</v>
      </c>
      <c r="I40">
        <v>4069</v>
      </c>
      <c r="L40">
        <v>0</v>
      </c>
      <c r="M40">
        <v>0</v>
      </c>
    </row>
    <row r="41" spans="1:13" x14ac:dyDescent="0.35">
      <c r="A41" t="s">
        <v>51</v>
      </c>
      <c r="B41">
        <v>0</v>
      </c>
      <c r="C41">
        <v>0</v>
      </c>
      <c r="D41">
        <v>100</v>
      </c>
      <c r="E41">
        <f t="shared" si="1"/>
        <v>0</v>
      </c>
      <c r="F41">
        <v>0</v>
      </c>
      <c r="G41">
        <v>0</v>
      </c>
      <c r="H41">
        <v>0</v>
      </c>
      <c r="I41">
        <v>2730</v>
      </c>
      <c r="L41">
        <v>0</v>
      </c>
      <c r="M41">
        <v>0</v>
      </c>
    </row>
    <row r="42" spans="1:13" x14ac:dyDescent="0.35">
      <c r="A42" t="s">
        <v>52</v>
      </c>
      <c r="B42">
        <v>0</v>
      </c>
      <c r="C42">
        <v>0</v>
      </c>
      <c r="D42">
        <v>100</v>
      </c>
      <c r="E42">
        <f t="shared" si="1"/>
        <v>0</v>
      </c>
      <c r="F42">
        <v>0</v>
      </c>
      <c r="G42">
        <v>0</v>
      </c>
      <c r="H42">
        <v>0</v>
      </c>
      <c r="I42">
        <v>2726</v>
      </c>
      <c r="L42">
        <v>0</v>
      </c>
      <c r="M42">
        <v>0</v>
      </c>
    </row>
    <row r="43" spans="1:13" x14ac:dyDescent="0.35">
      <c r="A43" t="s">
        <v>53</v>
      </c>
      <c r="B43">
        <v>0</v>
      </c>
      <c r="C43">
        <v>0</v>
      </c>
      <c r="D43">
        <v>100</v>
      </c>
      <c r="E43">
        <f t="shared" si="1"/>
        <v>0</v>
      </c>
      <c r="F43">
        <v>0</v>
      </c>
      <c r="G43">
        <v>0</v>
      </c>
      <c r="H43">
        <v>0</v>
      </c>
      <c r="I43">
        <v>2968</v>
      </c>
      <c r="L43">
        <v>0</v>
      </c>
      <c r="M43">
        <v>0</v>
      </c>
    </row>
    <row r="44" spans="1:13" x14ac:dyDescent="0.35">
      <c r="A44" t="s">
        <v>54</v>
      </c>
      <c r="B44">
        <v>0</v>
      </c>
      <c r="C44">
        <v>0</v>
      </c>
      <c r="D44">
        <v>100</v>
      </c>
      <c r="E44">
        <f t="shared" si="1"/>
        <v>0</v>
      </c>
      <c r="F44">
        <v>0</v>
      </c>
      <c r="G44">
        <v>0</v>
      </c>
      <c r="H44">
        <v>0</v>
      </c>
      <c r="I44">
        <v>2845</v>
      </c>
      <c r="L44">
        <v>0</v>
      </c>
      <c r="M44">
        <v>0</v>
      </c>
    </row>
    <row r="45" spans="1:13" x14ac:dyDescent="0.35">
      <c r="A45" t="s">
        <v>55</v>
      </c>
      <c r="B45">
        <v>0</v>
      </c>
      <c r="C45">
        <v>0</v>
      </c>
      <c r="D45">
        <v>100</v>
      </c>
      <c r="E45">
        <f t="shared" si="1"/>
        <v>0</v>
      </c>
      <c r="F45">
        <v>0</v>
      </c>
      <c r="G45">
        <v>0</v>
      </c>
      <c r="H45">
        <v>0</v>
      </c>
      <c r="I45">
        <v>3312</v>
      </c>
      <c r="L45">
        <v>0</v>
      </c>
      <c r="M45">
        <v>0</v>
      </c>
    </row>
    <row r="46" spans="1:13" x14ac:dyDescent="0.35">
      <c r="A46" t="s">
        <v>56</v>
      </c>
      <c r="B46">
        <v>0</v>
      </c>
      <c r="C46">
        <v>0</v>
      </c>
      <c r="D46">
        <v>90.6</v>
      </c>
      <c r="E46">
        <f t="shared" si="1"/>
        <v>9.3000000000000007</v>
      </c>
      <c r="F46">
        <v>0</v>
      </c>
      <c r="G46">
        <v>0</v>
      </c>
      <c r="H46">
        <v>0</v>
      </c>
      <c r="I46">
        <v>3020</v>
      </c>
      <c r="L46">
        <v>9.3000000000000007</v>
      </c>
      <c r="M46">
        <v>0</v>
      </c>
    </row>
    <row r="47" spans="1:13" x14ac:dyDescent="0.35">
      <c r="A47" t="s">
        <v>57</v>
      </c>
      <c r="B47">
        <v>0</v>
      </c>
      <c r="C47">
        <v>0</v>
      </c>
      <c r="D47">
        <v>75.400000000000006</v>
      </c>
      <c r="E47">
        <f t="shared" si="1"/>
        <v>24.6</v>
      </c>
      <c r="F47">
        <v>0</v>
      </c>
      <c r="G47">
        <v>0</v>
      </c>
      <c r="H47">
        <v>0</v>
      </c>
      <c r="I47">
        <v>3600</v>
      </c>
      <c r="L47">
        <v>24.6</v>
      </c>
      <c r="M47">
        <v>0</v>
      </c>
    </row>
    <row r="48" spans="1:13" x14ac:dyDescent="0.35">
      <c r="A48" t="s">
        <v>58</v>
      </c>
      <c r="B48">
        <v>0</v>
      </c>
      <c r="C48">
        <v>0</v>
      </c>
      <c r="D48">
        <v>32.9</v>
      </c>
      <c r="E48">
        <f t="shared" si="1"/>
        <v>67.099999999999994</v>
      </c>
      <c r="F48">
        <v>0</v>
      </c>
      <c r="G48">
        <v>0</v>
      </c>
      <c r="H48">
        <v>0</v>
      </c>
      <c r="I48">
        <v>4401</v>
      </c>
      <c r="L48">
        <v>67.099999999999994</v>
      </c>
      <c r="M48">
        <v>0</v>
      </c>
    </row>
    <row r="49" spans="1:13" x14ac:dyDescent="0.35">
      <c r="A49" t="s">
        <v>59</v>
      </c>
      <c r="B49">
        <v>0</v>
      </c>
      <c r="C49">
        <v>0</v>
      </c>
      <c r="D49">
        <v>0</v>
      </c>
      <c r="E49">
        <f t="shared" si="1"/>
        <v>100</v>
      </c>
      <c r="F49">
        <v>0</v>
      </c>
      <c r="G49">
        <v>0</v>
      </c>
      <c r="H49">
        <v>0</v>
      </c>
      <c r="I49">
        <v>3864</v>
      </c>
      <c r="L49">
        <v>100</v>
      </c>
      <c r="M49">
        <v>0</v>
      </c>
    </row>
    <row r="50" spans="1:13" x14ac:dyDescent="0.35">
      <c r="A50" t="s">
        <v>60</v>
      </c>
      <c r="B50">
        <v>0</v>
      </c>
      <c r="C50">
        <v>0</v>
      </c>
      <c r="D50">
        <v>0</v>
      </c>
      <c r="E50">
        <f t="shared" si="1"/>
        <v>100</v>
      </c>
      <c r="F50">
        <v>0</v>
      </c>
      <c r="G50">
        <v>0</v>
      </c>
      <c r="H50">
        <v>0</v>
      </c>
      <c r="I50">
        <v>4465</v>
      </c>
      <c r="L50">
        <v>100</v>
      </c>
      <c r="M50">
        <v>0</v>
      </c>
    </row>
    <row r="51" spans="1:13" x14ac:dyDescent="0.35">
      <c r="A51" t="s">
        <v>61</v>
      </c>
      <c r="B51">
        <v>0</v>
      </c>
      <c r="C51">
        <v>0</v>
      </c>
      <c r="D51">
        <v>0</v>
      </c>
      <c r="E51">
        <f t="shared" si="1"/>
        <v>100</v>
      </c>
      <c r="F51">
        <v>0</v>
      </c>
      <c r="G51">
        <v>0</v>
      </c>
      <c r="H51">
        <v>0</v>
      </c>
      <c r="I51">
        <v>5610</v>
      </c>
      <c r="L51">
        <v>100</v>
      </c>
      <c r="M51">
        <v>0</v>
      </c>
    </row>
    <row r="52" spans="1:13" x14ac:dyDescent="0.35">
      <c r="A52" t="s">
        <v>62</v>
      </c>
      <c r="B52">
        <v>0</v>
      </c>
      <c r="C52">
        <v>0</v>
      </c>
      <c r="D52">
        <v>0</v>
      </c>
      <c r="E52">
        <f t="shared" si="1"/>
        <v>100</v>
      </c>
      <c r="F52">
        <v>0</v>
      </c>
      <c r="G52">
        <v>0</v>
      </c>
      <c r="H52">
        <v>0</v>
      </c>
      <c r="I52">
        <v>9970</v>
      </c>
      <c r="L52">
        <v>100</v>
      </c>
      <c r="M52">
        <v>0</v>
      </c>
    </row>
    <row r="53" spans="1:13" x14ac:dyDescent="0.35">
      <c r="A53" t="s">
        <v>63</v>
      </c>
      <c r="B53">
        <v>0</v>
      </c>
      <c r="C53">
        <v>0</v>
      </c>
      <c r="D53">
        <v>0</v>
      </c>
      <c r="E53">
        <f t="shared" si="1"/>
        <v>100</v>
      </c>
      <c r="F53">
        <v>0</v>
      </c>
      <c r="G53">
        <v>0</v>
      </c>
      <c r="H53">
        <v>0</v>
      </c>
      <c r="I53">
        <v>7751</v>
      </c>
      <c r="L53">
        <v>100</v>
      </c>
      <c r="M53">
        <v>0</v>
      </c>
    </row>
    <row r="54" spans="1:13" x14ac:dyDescent="0.35">
      <c r="A54" t="s">
        <v>64</v>
      </c>
      <c r="B54">
        <v>0</v>
      </c>
      <c r="C54">
        <v>0</v>
      </c>
      <c r="D54">
        <v>0</v>
      </c>
      <c r="E54">
        <f t="shared" si="1"/>
        <v>100</v>
      </c>
      <c r="F54">
        <v>0</v>
      </c>
      <c r="G54">
        <v>0</v>
      </c>
      <c r="H54">
        <v>0</v>
      </c>
      <c r="I54">
        <v>6661</v>
      </c>
      <c r="L54">
        <v>100</v>
      </c>
      <c r="M54">
        <v>0</v>
      </c>
    </row>
    <row r="55" spans="1:13" x14ac:dyDescent="0.35">
      <c r="A55" t="s">
        <v>65</v>
      </c>
      <c r="B55">
        <v>0</v>
      </c>
      <c r="C55">
        <v>0</v>
      </c>
      <c r="D55">
        <v>0</v>
      </c>
      <c r="E55">
        <f t="shared" si="1"/>
        <v>100</v>
      </c>
      <c r="F55">
        <v>0</v>
      </c>
      <c r="G55">
        <v>0</v>
      </c>
      <c r="H55">
        <v>0</v>
      </c>
      <c r="I55">
        <v>5849</v>
      </c>
      <c r="L55">
        <v>100</v>
      </c>
      <c r="M55">
        <v>0</v>
      </c>
    </row>
    <row r="56" spans="1:13" x14ac:dyDescent="0.35">
      <c r="A56" t="s">
        <v>66</v>
      </c>
      <c r="B56">
        <v>0</v>
      </c>
      <c r="C56">
        <v>0</v>
      </c>
      <c r="D56">
        <v>0</v>
      </c>
      <c r="E56">
        <f t="shared" si="1"/>
        <v>100</v>
      </c>
      <c r="F56">
        <v>0</v>
      </c>
      <c r="G56">
        <v>0</v>
      </c>
      <c r="H56">
        <v>0</v>
      </c>
      <c r="I56">
        <v>5850</v>
      </c>
      <c r="L56">
        <v>100</v>
      </c>
      <c r="M56">
        <v>0</v>
      </c>
    </row>
    <row r="57" spans="1:13" x14ac:dyDescent="0.35">
      <c r="A57" t="s">
        <v>67</v>
      </c>
      <c r="B57">
        <v>0</v>
      </c>
      <c r="C57">
        <v>0</v>
      </c>
      <c r="D57">
        <v>0</v>
      </c>
      <c r="E57">
        <f t="shared" si="1"/>
        <v>100</v>
      </c>
      <c r="F57">
        <v>0</v>
      </c>
      <c r="G57">
        <v>0</v>
      </c>
      <c r="H57">
        <v>0</v>
      </c>
      <c r="I57">
        <v>4574</v>
      </c>
      <c r="L57">
        <v>100</v>
      </c>
      <c r="M57">
        <v>0</v>
      </c>
    </row>
    <row r="58" spans="1:13" x14ac:dyDescent="0.35">
      <c r="A58" t="s">
        <v>68</v>
      </c>
      <c r="B58">
        <v>0</v>
      </c>
      <c r="C58">
        <v>0</v>
      </c>
      <c r="D58">
        <v>0</v>
      </c>
      <c r="E58">
        <f t="shared" si="1"/>
        <v>100</v>
      </c>
      <c r="F58">
        <v>0</v>
      </c>
      <c r="G58">
        <v>0</v>
      </c>
      <c r="H58">
        <v>0</v>
      </c>
      <c r="I58">
        <v>4592</v>
      </c>
      <c r="L58">
        <v>100</v>
      </c>
      <c r="M58">
        <v>0</v>
      </c>
    </row>
    <row r="59" spans="1:13" x14ac:dyDescent="0.35">
      <c r="A59" t="s">
        <v>69</v>
      </c>
      <c r="B59">
        <v>0</v>
      </c>
      <c r="C59">
        <v>0</v>
      </c>
      <c r="D59">
        <v>0</v>
      </c>
      <c r="E59">
        <f t="shared" si="1"/>
        <v>100</v>
      </c>
      <c r="F59">
        <v>0</v>
      </c>
      <c r="G59">
        <v>0</v>
      </c>
      <c r="H59">
        <v>0</v>
      </c>
      <c r="I59">
        <v>5634</v>
      </c>
      <c r="L59">
        <v>100</v>
      </c>
      <c r="M59">
        <v>0</v>
      </c>
    </row>
    <row r="60" spans="1:13" x14ac:dyDescent="0.35">
      <c r="A60" t="s">
        <v>70</v>
      </c>
      <c r="B60">
        <v>0</v>
      </c>
      <c r="C60">
        <v>0</v>
      </c>
      <c r="D60">
        <v>0</v>
      </c>
      <c r="E60">
        <f t="shared" si="1"/>
        <v>100</v>
      </c>
      <c r="F60">
        <v>0</v>
      </c>
      <c r="G60">
        <v>0</v>
      </c>
      <c r="H60">
        <v>0</v>
      </c>
      <c r="I60">
        <v>4711</v>
      </c>
      <c r="L60">
        <v>100</v>
      </c>
      <c r="M60">
        <v>0</v>
      </c>
    </row>
    <row r="61" spans="1:13" x14ac:dyDescent="0.35">
      <c r="A61" t="s">
        <v>71</v>
      </c>
      <c r="B61">
        <v>0</v>
      </c>
      <c r="C61">
        <v>0</v>
      </c>
      <c r="D61">
        <v>0</v>
      </c>
      <c r="E61">
        <f t="shared" si="1"/>
        <v>100</v>
      </c>
      <c r="F61">
        <v>0</v>
      </c>
      <c r="G61">
        <v>0</v>
      </c>
      <c r="H61">
        <v>0</v>
      </c>
      <c r="I61">
        <v>5235</v>
      </c>
      <c r="L61">
        <v>62.1</v>
      </c>
      <c r="M61">
        <v>37.9</v>
      </c>
    </row>
    <row r="62" spans="1:13" x14ac:dyDescent="0.35">
      <c r="A62" t="s">
        <v>72</v>
      </c>
      <c r="B62">
        <v>0</v>
      </c>
      <c r="C62">
        <v>0</v>
      </c>
      <c r="D62">
        <v>0</v>
      </c>
      <c r="E62">
        <f t="shared" si="1"/>
        <v>100</v>
      </c>
      <c r="F62">
        <v>0</v>
      </c>
      <c r="G62">
        <v>0</v>
      </c>
      <c r="H62">
        <v>0</v>
      </c>
      <c r="I62">
        <v>6382</v>
      </c>
      <c r="L62">
        <v>1.1000000000000001</v>
      </c>
      <c r="M62">
        <v>98.9</v>
      </c>
    </row>
    <row r="63" spans="1:13" x14ac:dyDescent="0.35">
      <c r="A63" t="s">
        <v>73</v>
      </c>
      <c r="B63">
        <v>0</v>
      </c>
      <c r="C63">
        <v>0</v>
      </c>
      <c r="D63">
        <v>0</v>
      </c>
      <c r="E63">
        <f t="shared" si="1"/>
        <v>98.5</v>
      </c>
      <c r="F63">
        <v>1.5</v>
      </c>
      <c r="G63">
        <v>0</v>
      </c>
      <c r="H63">
        <v>0</v>
      </c>
      <c r="I63">
        <v>6669</v>
      </c>
      <c r="L63">
        <v>0</v>
      </c>
      <c r="M63">
        <v>98.5</v>
      </c>
    </row>
    <row r="64" spans="1:13" x14ac:dyDescent="0.35">
      <c r="A64" t="s">
        <v>74</v>
      </c>
      <c r="B64">
        <v>0</v>
      </c>
      <c r="C64">
        <v>0</v>
      </c>
      <c r="D64">
        <v>0</v>
      </c>
      <c r="E64">
        <f t="shared" si="1"/>
        <v>95.3</v>
      </c>
      <c r="F64">
        <v>4.7</v>
      </c>
      <c r="G64">
        <v>0</v>
      </c>
      <c r="H64">
        <v>0</v>
      </c>
      <c r="I64">
        <v>12233</v>
      </c>
      <c r="L64">
        <v>0</v>
      </c>
      <c r="M64">
        <v>95.3</v>
      </c>
    </row>
    <row r="65" spans="1:13" x14ac:dyDescent="0.35">
      <c r="A65" t="s">
        <v>75</v>
      </c>
      <c r="B65">
        <v>0</v>
      </c>
      <c r="C65">
        <v>0</v>
      </c>
      <c r="D65">
        <v>0</v>
      </c>
      <c r="E65">
        <f t="shared" si="1"/>
        <v>94.1</v>
      </c>
      <c r="F65">
        <v>5.9</v>
      </c>
      <c r="G65">
        <v>0</v>
      </c>
      <c r="H65">
        <v>0</v>
      </c>
      <c r="I65">
        <v>8951</v>
      </c>
      <c r="L65">
        <v>0</v>
      </c>
      <c r="M65">
        <v>94.1</v>
      </c>
    </row>
    <row r="66" spans="1:13" x14ac:dyDescent="0.35">
      <c r="A66" t="s">
        <v>76</v>
      </c>
      <c r="B66">
        <v>0</v>
      </c>
      <c r="C66">
        <v>0</v>
      </c>
      <c r="D66">
        <v>0</v>
      </c>
      <c r="E66">
        <f t="shared" ref="E66:E80" si="2">SUM(L66:M66)</f>
        <v>90.2</v>
      </c>
      <c r="F66">
        <v>9.8000000000000007</v>
      </c>
      <c r="G66">
        <v>0</v>
      </c>
      <c r="H66">
        <v>0</v>
      </c>
      <c r="I66">
        <v>7499</v>
      </c>
      <c r="L66">
        <v>0</v>
      </c>
      <c r="M66">
        <v>90.2</v>
      </c>
    </row>
    <row r="67" spans="1:13" x14ac:dyDescent="0.35">
      <c r="A67" t="s">
        <v>77</v>
      </c>
      <c r="B67">
        <v>0</v>
      </c>
      <c r="C67">
        <v>0</v>
      </c>
      <c r="D67">
        <v>0</v>
      </c>
      <c r="E67">
        <f t="shared" si="2"/>
        <v>78.7</v>
      </c>
      <c r="F67">
        <v>21.3</v>
      </c>
      <c r="G67">
        <v>0</v>
      </c>
      <c r="H67">
        <v>0</v>
      </c>
      <c r="I67">
        <v>6775</v>
      </c>
      <c r="L67">
        <v>0</v>
      </c>
      <c r="M67">
        <v>78.7</v>
      </c>
    </row>
    <row r="68" spans="1:13" x14ac:dyDescent="0.35">
      <c r="A68" t="s">
        <v>78</v>
      </c>
      <c r="B68">
        <v>0</v>
      </c>
      <c r="C68">
        <v>0</v>
      </c>
      <c r="D68">
        <v>0</v>
      </c>
      <c r="E68">
        <f t="shared" si="2"/>
        <v>78.7</v>
      </c>
      <c r="F68">
        <v>21.3</v>
      </c>
      <c r="G68">
        <v>0</v>
      </c>
      <c r="H68">
        <v>0</v>
      </c>
      <c r="I68">
        <v>6920</v>
      </c>
      <c r="L68">
        <v>0</v>
      </c>
      <c r="M68">
        <v>78.7</v>
      </c>
    </row>
    <row r="69" spans="1:13" x14ac:dyDescent="0.35">
      <c r="A69" t="s">
        <v>79</v>
      </c>
      <c r="B69">
        <v>0</v>
      </c>
      <c r="C69">
        <v>0</v>
      </c>
      <c r="D69">
        <v>0</v>
      </c>
      <c r="E69">
        <f t="shared" si="2"/>
        <v>71.8</v>
      </c>
      <c r="F69">
        <v>28.2</v>
      </c>
      <c r="G69">
        <v>0</v>
      </c>
      <c r="H69">
        <v>0</v>
      </c>
      <c r="I69">
        <v>6105</v>
      </c>
      <c r="L69">
        <v>0</v>
      </c>
      <c r="M69">
        <v>71.8</v>
      </c>
    </row>
    <row r="70" spans="1:13" x14ac:dyDescent="0.35">
      <c r="A70" t="s">
        <v>80</v>
      </c>
      <c r="B70">
        <v>0</v>
      </c>
      <c r="C70">
        <v>0</v>
      </c>
      <c r="D70">
        <v>0</v>
      </c>
      <c r="E70">
        <f t="shared" si="2"/>
        <v>58.9</v>
      </c>
      <c r="F70">
        <v>41.1</v>
      </c>
      <c r="G70">
        <v>0</v>
      </c>
      <c r="H70">
        <v>0</v>
      </c>
      <c r="I70">
        <v>5928</v>
      </c>
      <c r="L70">
        <v>0</v>
      </c>
      <c r="M70">
        <v>58.9</v>
      </c>
    </row>
    <row r="71" spans="1:13" x14ac:dyDescent="0.35">
      <c r="A71" t="s">
        <v>81</v>
      </c>
      <c r="B71">
        <v>0</v>
      </c>
      <c r="C71">
        <v>0</v>
      </c>
      <c r="D71">
        <v>0</v>
      </c>
      <c r="E71">
        <f t="shared" si="2"/>
        <v>57.6</v>
      </c>
      <c r="F71">
        <v>42.4</v>
      </c>
      <c r="G71">
        <v>0</v>
      </c>
      <c r="H71">
        <v>0</v>
      </c>
      <c r="I71">
        <v>5904</v>
      </c>
      <c r="L71">
        <v>0</v>
      </c>
      <c r="M71">
        <v>57.6</v>
      </c>
    </row>
    <row r="72" spans="1:13" x14ac:dyDescent="0.35">
      <c r="A72" t="s">
        <v>82</v>
      </c>
      <c r="B72">
        <v>0</v>
      </c>
      <c r="C72">
        <v>0</v>
      </c>
      <c r="D72">
        <v>0</v>
      </c>
      <c r="E72">
        <f t="shared" si="2"/>
        <v>54.7</v>
      </c>
      <c r="F72">
        <v>45.3</v>
      </c>
      <c r="G72">
        <v>0</v>
      </c>
      <c r="H72">
        <v>0</v>
      </c>
      <c r="I72">
        <v>4457</v>
      </c>
      <c r="L72">
        <v>0</v>
      </c>
      <c r="M72">
        <v>54.7</v>
      </c>
    </row>
    <row r="73" spans="1:13" x14ac:dyDescent="0.35">
      <c r="A73" t="s">
        <v>83</v>
      </c>
      <c r="B73">
        <v>0</v>
      </c>
      <c r="C73">
        <v>0</v>
      </c>
      <c r="D73">
        <v>0</v>
      </c>
      <c r="E73">
        <f t="shared" si="2"/>
        <v>14.8</v>
      </c>
      <c r="F73">
        <v>83.1</v>
      </c>
      <c r="G73">
        <v>2.1</v>
      </c>
      <c r="H73">
        <v>0</v>
      </c>
      <c r="I73">
        <v>4851</v>
      </c>
      <c r="L73">
        <v>0</v>
      </c>
      <c r="M73">
        <v>14.8</v>
      </c>
    </row>
    <row r="74" spans="1:13" x14ac:dyDescent="0.35">
      <c r="A74" t="s">
        <v>84</v>
      </c>
      <c r="B74">
        <v>0</v>
      </c>
      <c r="C74">
        <v>0</v>
      </c>
      <c r="D74">
        <v>0</v>
      </c>
      <c r="E74">
        <f t="shared" si="2"/>
        <v>11.5</v>
      </c>
      <c r="F74">
        <v>77.8</v>
      </c>
      <c r="G74">
        <v>10.8</v>
      </c>
      <c r="H74">
        <v>0</v>
      </c>
      <c r="I74">
        <v>4843</v>
      </c>
      <c r="L74">
        <v>0</v>
      </c>
      <c r="M74">
        <v>11.5</v>
      </c>
    </row>
    <row r="75" spans="1:13" x14ac:dyDescent="0.35">
      <c r="A75" t="s">
        <v>85</v>
      </c>
      <c r="B75">
        <v>0</v>
      </c>
      <c r="C75">
        <v>0</v>
      </c>
      <c r="D75">
        <v>0</v>
      </c>
      <c r="E75">
        <f t="shared" si="2"/>
        <v>9.6999999999999993</v>
      </c>
      <c r="F75">
        <v>68.2</v>
      </c>
      <c r="G75">
        <v>22.1</v>
      </c>
      <c r="H75">
        <v>0</v>
      </c>
      <c r="I75">
        <v>6103</v>
      </c>
      <c r="L75">
        <v>0</v>
      </c>
      <c r="M75">
        <v>9.6999999999999993</v>
      </c>
    </row>
    <row r="76" spans="1:13" x14ac:dyDescent="0.35">
      <c r="A76" t="s">
        <v>86</v>
      </c>
      <c r="B76">
        <v>0</v>
      </c>
      <c r="C76">
        <v>0</v>
      </c>
      <c r="D76">
        <v>0</v>
      </c>
      <c r="E76">
        <f t="shared" si="2"/>
        <v>9.1999999999999993</v>
      </c>
      <c r="F76">
        <v>41.2</v>
      </c>
      <c r="G76">
        <v>49.6</v>
      </c>
      <c r="H76">
        <v>0</v>
      </c>
      <c r="I76">
        <v>10433</v>
      </c>
      <c r="L76">
        <v>0</v>
      </c>
      <c r="M76">
        <v>9.1999999999999993</v>
      </c>
    </row>
    <row r="77" spans="1:13" x14ac:dyDescent="0.35">
      <c r="A77" t="s">
        <v>87</v>
      </c>
      <c r="B77">
        <v>0</v>
      </c>
      <c r="C77">
        <v>0</v>
      </c>
      <c r="D77">
        <v>0</v>
      </c>
      <c r="E77">
        <f t="shared" si="2"/>
        <v>8</v>
      </c>
      <c r="F77">
        <v>43</v>
      </c>
      <c r="G77">
        <v>49</v>
      </c>
      <c r="H77">
        <v>0</v>
      </c>
      <c r="I77">
        <v>7387</v>
      </c>
      <c r="L77">
        <v>0</v>
      </c>
      <c r="M77">
        <v>8</v>
      </c>
    </row>
    <row r="78" spans="1:13" x14ac:dyDescent="0.35">
      <c r="A78" t="s">
        <v>88</v>
      </c>
      <c r="B78">
        <v>0</v>
      </c>
      <c r="C78">
        <v>0</v>
      </c>
      <c r="D78">
        <v>0</v>
      </c>
      <c r="E78">
        <f t="shared" si="2"/>
        <v>4</v>
      </c>
      <c r="F78">
        <v>26.4</v>
      </c>
      <c r="G78">
        <v>69.599999999999994</v>
      </c>
      <c r="H78">
        <v>0</v>
      </c>
      <c r="I78">
        <v>6311</v>
      </c>
      <c r="L78">
        <v>0</v>
      </c>
      <c r="M78">
        <v>4</v>
      </c>
    </row>
    <row r="79" spans="1:13" x14ac:dyDescent="0.35">
      <c r="A79" t="s">
        <v>89</v>
      </c>
      <c r="B79">
        <v>0</v>
      </c>
      <c r="C79">
        <v>0</v>
      </c>
      <c r="D79">
        <v>0</v>
      </c>
      <c r="E79">
        <f t="shared" si="2"/>
        <v>0.2</v>
      </c>
      <c r="F79">
        <v>0.8</v>
      </c>
      <c r="G79">
        <v>99.1</v>
      </c>
      <c r="H79">
        <v>0</v>
      </c>
      <c r="I79">
        <v>5982</v>
      </c>
      <c r="L79">
        <v>0</v>
      </c>
      <c r="M79">
        <v>0.2</v>
      </c>
    </row>
    <row r="80" spans="1:13" x14ac:dyDescent="0.35">
      <c r="A80" t="s">
        <v>90</v>
      </c>
      <c r="B80">
        <v>0</v>
      </c>
      <c r="C80">
        <v>0</v>
      </c>
      <c r="D80">
        <v>0</v>
      </c>
      <c r="E80">
        <f t="shared" si="2"/>
        <v>0</v>
      </c>
      <c r="F80">
        <v>0</v>
      </c>
      <c r="G80">
        <v>100</v>
      </c>
      <c r="H80">
        <v>0</v>
      </c>
      <c r="I80">
        <v>2754</v>
      </c>
      <c r="L80">
        <v>0</v>
      </c>
      <c r="M80"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0"/>
  <sheetViews>
    <sheetView zoomScale="47" zoomScaleNormal="85" workbookViewId="0">
      <selection activeCell="X74" sqref="X73:X74"/>
    </sheetView>
  </sheetViews>
  <sheetFormatPr defaultRowHeight="14.5" x14ac:dyDescent="0.35"/>
  <cols>
    <col min="4" max="4" width="13.1796875" bestFit="1" customWidth="1"/>
    <col min="5" max="7" width="11.7265625" bestFit="1" customWidth="1"/>
    <col min="12" max="12" width="13.36328125" bestFit="1" customWidth="1"/>
    <col min="13" max="13" width="11.81640625" bestFit="1" customWidth="1"/>
  </cols>
  <sheetData>
    <row r="1" spans="1:13" x14ac:dyDescent="0.35">
      <c r="A1" t="s">
        <v>0</v>
      </c>
      <c r="B1" t="s">
        <v>96</v>
      </c>
      <c r="C1" t="s">
        <v>97</v>
      </c>
      <c r="D1" t="s">
        <v>105</v>
      </c>
      <c r="E1" t="s">
        <v>106</v>
      </c>
      <c r="F1" t="s">
        <v>108</v>
      </c>
      <c r="G1" t="s">
        <v>107</v>
      </c>
      <c r="H1" t="s">
        <v>98</v>
      </c>
      <c r="I1" t="s">
        <v>99</v>
      </c>
      <c r="L1" t="s">
        <v>92</v>
      </c>
      <c r="M1" t="s">
        <v>93</v>
      </c>
    </row>
    <row r="2" spans="1:13" x14ac:dyDescent="0.35">
      <c r="A2" t="s">
        <v>12</v>
      </c>
      <c r="B2">
        <v>129.9</v>
      </c>
      <c r="C2">
        <v>132.1</v>
      </c>
      <c r="I2">
        <v>130.6</v>
      </c>
    </row>
    <row r="3" spans="1:13" x14ac:dyDescent="0.35">
      <c r="A3" t="s">
        <v>13</v>
      </c>
      <c r="B3">
        <v>131.6</v>
      </c>
      <c r="C3">
        <v>131.9</v>
      </c>
      <c r="I3">
        <v>131.69999999999999</v>
      </c>
    </row>
    <row r="4" spans="1:13" x14ac:dyDescent="0.35">
      <c r="A4" t="s">
        <v>14</v>
      </c>
      <c r="B4">
        <v>131.19999999999999</v>
      </c>
      <c r="C4">
        <v>131.5</v>
      </c>
      <c r="I4">
        <v>131.30000000000001</v>
      </c>
    </row>
    <row r="5" spans="1:13" x14ac:dyDescent="0.35">
      <c r="A5" t="s">
        <v>15</v>
      </c>
      <c r="B5">
        <v>130.80000000000001</v>
      </c>
      <c r="C5">
        <v>131.4</v>
      </c>
      <c r="I5">
        <v>131</v>
      </c>
    </row>
    <row r="6" spans="1:13" x14ac:dyDescent="0.35">
      <c r="A6" t="s">
        <v>16</v>
      </c>
      <c r="B6">
        <v>132.80000000000001</v>
      </c>
      <c r="C6">
        <v>134.1</v>
      </c>
      <c r="I6">
        <v>133.80000000000001</v>
      </c>
    </row>
    <row r="7" spans="1:13" x14ac:dyDescent="0.35">
      <c r="A7" t="s">
        <v>17</v>
      </c>
      <c r="B7">
        <v>134</v>
      </c>
      <c r="C7">
        <v>135.30000000000001</v>
      </c>
      <c r="I7">
        <v>135.1</v>
      </c>
    </row>
    <row r="8" spans="1:13" x14ac:dyDescent="0.35">
      <c r="A8" t="s">
        <v>18</v>
      </c>
      <c r="B8">
        <v>134.69999999999999</v>
      </c>
      <c r="C8">
        <v>135.6</v>
      </c>
      <c r="I8">
        <v>135.6</v>
      </c>
    </row>
    <row r="9" spans="1:13" x14ac:dyDescent="0.35">
      <c r="A9" t="s">
        <v>19</v>
      </c>
      <c r="C9">
        <v>135.69999999999999</v>
      </c>
      <c r="I9">
        <v>135.69999999999999</v>
      </c>
    </row>
    <row r="10" spans="1:13" x14ac:dyDescent="0.35">
      <c r="A10" t="s">
        <v>20</v>
      </c>
      <c r="C10">
        <v>135.5</v>
      </c>
      <c r="I10">
        <v>135.5</v>
      </c>
    </row>
    <row r="11" spans="1:13" x14ac:dyDescent="0.35">
      <c r="A11" t="s">
        <v>21</v>
      </c>
      <c r="C11">
        <v>135.19999999999999</v>
      </c>
      <c r="I11">
        <v>135.19999999999999</v>
      </c>
    </row>
    <row r="12" spans="1:13" x14ac:dyDescent="0.35">
      <c r="A12" t="s">
        <v>22</v>
      </c>
      <c r="C12">
        <v>134.9</v>
      </c>
      <c r="I12">
        <v>134.9</v>
      </c>
    </row>
    <row r="13" spans="1:13" x14ac:dyDescent="0.35">
      <c r="A13" t="s">
        <v>23</v>
      </c>
      <c r="C13">
        <v>135.30000000000001</v>
      </c>
      <c r="I13">
        <v>135.30000000000001</v>
      </c>
    </row>
    <row r="14" spans="1:13" x14ac:dyDescent="0.35">
      <c r="A14" t="s">
        <v>24</v>
      </c>
      <c r="C14">
        <v>135.30000000000001</v>
      </c>
      <c r="I14">
        <v>135.30000000000001</v>
      </c>
    </row>
    <row r="15" spans="1:13" x14ac:dyDescent="0.35">
      <c r="A15" t="s">
        <v>25</v>
      </c>
      <c r="C15">
        <v>134.9</v>
      </c>
      <c r="I15">
        <v>134.9</v>
      </c>
    </row>
    <row r="16" spans="1:13" x14ac:dyDescent="0.35">
      <c r="A16" t="s">
        <v>26</v>
      </c>
      <c r="C16">
        <v>134.5</v>
      </c>
      <c r="I16">
        <v>134.5</v>
      </c>
    </row>
    <row r="17" spans="1:9" x14ac:dyDescent="0.35">
      <c r="A17" t="s">
        <v>27</v>
      </c>
      <c r="C17">
        <v>134.19999999999999</v>
      </c>
      <c r="I17">
        <v>134.19999999999999</v>
      </c>
    </row>
    <row r="18" spans="1:9" x14ac:dyDescent="0.35">
      <c r="A18" t="s">
        <v>28</v>
      </c>
      <c r="C18">
        <v>134.30000000000001</v>
      </c>
      <c r="I18">
        <v>134.30000000000001</v>
      </c>
    </row>
    <row r="19" spans="1:9" x14ac:dyDescent="0.35">
      <c r="A19" t="s">
        <v>29</v>
      </c>
      <c r="C19">
        <v>133.9</v>
      </c>
      <c r="I19">
        <v>133.9</v>
      </c>
    </row>
    <row r="20" spans="1:9" x14ac:dyDescent="0.35">
      <c r="A20" t="s">
        <v>30</v>
      </c>
      <c r="C20">
        <v>133.19999999999999</v>
      </c>
      <c r="I20">
        <v>133.19999999999999</v>
      </c>
    </row>
    <row r="21" spans="1:9" x14ac:dyDescent="0.35">
      <c r="A21" t="s">
        <v>31</v>
      </c>
      <c r="C21">
        <v>134.80000000000001</v>
      </c>
      <c r="D21">
        <v>132.80000000000001</v>
      </c>
      <c r="I21">
        <v>134.69999999999999</v>
      </c>
    </row>
    <row r="22" spans="1:9" x14ac:dyDescent="0.35">
      <c r="A22" t="s">
        <v>32</v>
      </c>
      <c r="C22">
        <v>133.4</v>
      </c>
      <c r="D22">
        <v>133.19999999999999</v>
      </c>
      <c r="I22">
        <v>133.30000000000001</v>
      </c>
    </row>
    <row r="23" spans="1:9" x14ac:dyDescent="0.35">
      <c r="A23" t="s">
        <v>33</v>
      </c>
      <c r="C23">
        <v>133.19999999999999</v>
      </c>
      <c r="D23">
        <v>133</v>
      </c>
      <c r="I23">
        <v>133.19999999999999</v>
      </c>
    </row>
    <row r="24" spans="1:9" x14ac:dyDescent="0.35">
      <c r="A24" t="s">
        <v>34</v>
      </c>
      <c r="C24">
        <v>131.9</v>
      </c>
      <c r="D24">
        <v>131.80000000000001</v>
      </c>
      <c r="I24">
        <v>131.9</v>
      </c>
    </row>
    <row r="25" spans="1:9" x14ac:dyDescent="0.35">
      <c r="A25" t="s">
        <v>35</v>
      </c>
      <c r="C25">
        <v>131.80000000000001</v>
      </c>
      <c r="D25">
        <v>132.1</v>
      </c>
      <c r="I25">
        <v>131.9</v>
      </c>
    </row>
    <row r="26" spans="1:9" x14ac:dyDescent="0.35">
      <c r="A26" t="s">
        <v>36</v>
      </c>
      <c r="C26">
        <v>132.4</v>
      </c>
      <c r="D26">
        <v>132.19999999999999</v>
      </c>
      <c r="I26">
        <v>132.30000000000001</v>
      </c>
    </row>
    <row r="27" spans="1:9" x14ac:dyDescent="0.35">
      <c r="A27" t="s">
        <v>37</v>
      </c>
      <c r="C27">
        <v>132.5</v>
      </c>
      <c r="D27">
        <v>132.4</v>
      </c>
      <c r="I27">
        <v>132.5</v>
      </c>
    </row>
    <row r="28" spans="1:9" x14ac:dyDescent="0.35">
      <c r="A28" t="s">
        <v>38</v>
      </c>
      <c r="C28">
        <v>132.5</v>
      </c>
      <c r="D28">
        <v>133.4</v>
      </c>
      <c r="I28">
        <v>133</v>
      </c>
    </row>
    <row r="29" spans="1:9" x14ac:dyDescent="0.35">
      <c r="A29" t="s">
        <v>39</v>
      </c>
      <c r="C29">
        <v>132.30000000000001</v>
      </c>
      <c r="D29">
        <v>134.5</v>
      </c>
      <c r="I29">
        <v>134.30000000000001</v>
      </c>
    </row>
    <row r="30" spans="1:9" x14ac:dyDescent="0.35">
      <c r="A30" t="s">
        <v>40</v>
      </c>
      <c r="D30">
        <v>135.30000000000001</v>
      </c>
      <c r="I30">
        <v>135.30000000000001</v>
      </c>
    </row>
    <row r="31" spans="1:9" x14ac:dyDescent="0.35">
      <c r="A31" t="s">
        <v>41</v>
      </c>
      <c r="D31">
        <v>135.5</v>
      </c>
      <c r="I31">
        <v>135.5</v>
      </c>
    </row>
    <row r="32" spans="1:9" x14ac:dyDescent="0.35">
      <c r="A32" t="s">
        <v>42</v>
      </c>
      <c r="D32">
        <v>135.9</v>
      </c>
      <c r="I32">
        <v>135.9</v>
      </c>
    </row>
    <row r="33" spans="1:12" x14ac:dyDescent="0.35">
      <c r="A33" t="s">
        <v>43</v>
      </c>
      <c r="D33">
        <v>135.80000000000001</v>
      </c>
      <c r="I33">
        <v>135.80000000000001</v>
      </c>
    </row>
    <row r="34" spans="1:12" x14ac:dyDescent="0.35">
      <c r="A34" t="s">
        <v>44</v>
      </c>
      <c r="D34">
        <v>135.4</v>
      </c>
      <c r="I34">
        <v>135.4</v>
      </c>
    </row>
    <row r="35" spans="1:12" x14ac:dyDescent="0.35">
      <c r="A35" t="s">
        <v>45</v>
      </c>
      <c r="D35">
        <v>134.80000000000001</v>
      </c>
      <c r="I35">
        <v>134.80000000000001</v>
      </c>
    </row>
    <row r="36" spans="1:12" x14ac:dyDescent="0.35">
      <c r="A36" t="s">
        <v>46</v>
      </c>
      <c r="D36">
        <v>135.80000000000001</v>
      </c>
      <c r="I36">
        <v>135.80000000000001</v>
      </c>
    </row>
    <row r="37" spans="1:12" x14ac:dyDescent="0.35">
      <c r="A37" t="s">
        <v>47</v>
      </c>
      <c r="D37">
        <v>135.5</v>
      </c>
      <c r="I37">
        <v>135.5</v>
      </c>
    </row>
    <row r="38" spans="1:12" x14ac:dyDescent="0.35">
      <c r="A38" t="s">
        <v>48</v>
      </c>
      <c r="D38">
        <v>135.5</v>
      </c>
      <c r="I38">
        <v>135.5</v>
      </c>
    </row>
    <row r="39" spans="1:12" x14ac:dyDescent="0.35">
      <c r="A39" t="s">
        <v>49</v>
      </c>
      <c r="D39">
        <v>135.80000000000001</v>
      </c>
      <c r="I39">
        <v>135.80000000000001</v>
      </c>
    </row>
    <row r="40" spans="1:12" x14ac:dyDescent="0.35">
      <c r="A40" t="s">
        <v>50</v>
      </c>
      <c r="D40">
        <v>135.69999999999999</v>
      </c>
      <c r="I40">
        <v>135.69999999999999</v>
      </c>
    </row>
    <row r="41" spans="1:12" x14ac:dyDescent="0.35">
      <c r="A41" t="s">
        <v>51</v>
      </c>
      <c r="D41">
        <v>136.30000000000001</v>
      </c>
      <c r="I41">
        <v>136.30000000000001</v>
      </c>
    </row>
    <row r="42" spans="1:12" x14ac:dyDescent="0.35">
      <c r="A42" t="s">
        <v>52</v>
      </c>
      <c r="D42">
        <v>136.69999999999999</v>
      </c>
      <c r="I42">
        <v>136.69999999999999</v>
      </c>
    </row>
    <row r="43" spans="1:12" x14ac:dyDescent="0.35">
      <c r="A43" t="s">
        <v>53</v>
      </c>
      <c r="D43">
        <v>135.6</v>
      </c>
      <c r="I43">
        <v>135.6</v>
      </c>
    </row>
    <row r="44" spans="1:12" x14ac:dyDescent="0.35">
      <c r="A44" t="s">
        <v>54</v>
      </c>
      <c r="D44">
        <v>135.4</v>
      </c>
      <c r="I44">
        <v>135.4</v>
      </c>
    </row>
    <row r="45" spans="1:12" x14ac:dyDescent="0.35">
      <c r="A45" t="s">
        <v>55</v>
      </c>
      <c r="D45">
        <v>137.19999999999999</v>
      </c>
      <c r="I45">
        <v>137.19999999999999</v>
      </c>
    </row>
    <row r="46" spans="1:12" x14ac:dyDescent="0.35">
      <c r="A46" t="s">
        <v>56</v>
      </c>
      <c r="D46">
        <v>137.9</v>
      </c>
      <c r="E46">
        <f t="shared" ref="E46:E66" si="0">AVERAGE(L46:M46)</f>
        <v>138.80000000000001</v>
      </c>
      <c r="H46">
        <v>134</v>
      </c>
      <c r="I46">
        <v>137.9</v>
      </c>
      <c r="L46">
        <v>138.80000000000001</v>
      </c>
    </row>
    <row r="47" spans="1:12" x14ac:dyDescent="0.35">
      <c r="A47" t="s">
        <v>57</v>
      </c>
      <c r="D47">
        <v>137.4</v>
      </c>
      <c r="E47">
        <f t="shared" si="0"/>
        <v>138.4</v>
      </c>
      <c r="I47">
        <v>137.69999999999999</v>
      </c>
      <c r="L47">
        <v>138.4</v>
      </c>
    </row>
    <row r="48" spans="1:12" x14ac:dyDescent="0.35">
      <c r="A48" t="s">
        <v>58</v>
      </c>
      <c r="D48">
        <v>136.69999999999999</v>
      </c>
      <c r="E48">
        <f t="shared" si="0"/>
        <v>137.4</v>
      </c>
      <c r="I48">
        <v>137.1</v>
      </c>
      <c r="L48">
        <v>137.4</v>
      </c>
    </row>
    <row r="49" spans="1:15" x14ac:dyDescent="0.35">
      <c r="A49" t="s">
        <v>59</v>
      </c>
      <c r="E49">
        <f t="shared" si="0"/>
        <v>137.30000000000001</v>
      </c>
      <c r="I49">
        <v>137.30000000000001</v>
      </c>
      <c r="L49">
        <v>137.30000000000001</v>
      </c>
    </row>
    <row r="50" spans="1:15" x14ac:dyDescent="0.35">
      <c r="A50" t="s">
        <v>60</v>
      </c>
      <c r="E50">
        <f t="shared" si="0"/>
        <v>137.5</v>
      </c>
      <c r="I50">
        <v>137.5</v>
      </c>
      <c r="L50">
        <v>137.5</v>
      </c>
    </row>
    <row r="51" spans="1:15" x14ac:dyDescent="0.35">
      <c r="A51" t="s">
        <v>61</v>
      </c>
      <c r="E51">
        <f t="shared" si="0"/>
        <v>137.30000000000001</v>
      </c>
      <c r="I51">
        <v>137.30000000000001</v>
      </c>
      <c r="L51">
        <v>137.30000000000001</v>
      </c>
    </row>
    <row r="52" spans="1:15" x14ac:dyDescent="0.35">
      <c r="A52" t="s">
        <v>62</v>
      </c>
      <c r="E52">
        <f t="shared" si="0"/>
        <v>136.9</v>
      </c>
      <c r="I52">
        <v>136.9</v>
      </c>
      <c r="L52">
        <v>136.9</v>
      </c>
    </row>
    <row r="53" spans="1:15" x14ac:dyDescent="0.35">
      <c r="A53" t="s">
        <v>63</v>
      </c>
      <c r="E53">
        <f t="shared" si="0"/>
        <v>137.80000000000001</v>
      </c>
      <c r="I53">
        <v>137.80000000000001</v>
      </c>
      <c r="L53">
        <v>137.80000000000001</v>
      </c>
    </row>
    <row r="54" spans="1:15" x14ac:dyDescent="0.35">
      <c r="A54" t="s">
        <v>64</v>
      </c>
      <c r="E54">
        <f t="shared" si="0"/>
        <v>138.30000000000001</v>
      </c>
      <c r="I54">
        <v>138.30000000000001</v>
      </c>
      <c r="L54">
        <v>138.30000000000001</v>
      </c>
    </row>
    <row r="55" spans="1:15" x14ac:dyDescent="0.35">
      <c r="A55" t="s">
        <v>65</v>
      </c>
      <c r="E55">
        <f t="shared" si="0"/>
        <v>138.80000000000001</v>
      </c>
      <c r="I55">
        <v>138.80000000000001</v>
      </c>
      <c r="L55">
        <v>138.80000000000001</v>
      </c>
    </row>
    <row r="56" spans="1:15" x14ac:dyDescent="0.35">
      <c r="A56" t="s">
        <v>66</v>
      </c>
      <c r="E56">
        <f t="shared" si="0"/>
        <v>138.9</v>
      </c>
      <c r="I56">
        <v>138.9</v>
      </c>
      <c r="L56">
        <v>138.9</v>
      </c>
    </row>
    <row r="57" spans="1:15" x14ac:dyDescent="0.35">
      <c r="A57" t="s">
        <v>67</v>
      </c>
      <c r="E57">
        <f t="shared" si="0"/>
        <v>139.5</v>
      </c>
      <c r="I57">
        <v>139.5</v>
      </c>
      <c r="L57">
        <v>139.5</v>
      </c>
    </row>
    <row r="58" spans="1:15" x14ac:dyDescent="0.35">
      <c r="A58" t="s">
        <v>68</v>
      </c>
      <c r="E58">
        <f t="shared" si="0"/>
        <v>139.30000000000001</v>
      </c>
      <c r="I58">
        <v>139.30000000000001</v>
      </c>
      <c r="L58">
        <v>139.30000000000001</v>
      </c>
    </row>
    <row r="59" spans="1:15" x14ac:dyDescent="0.35">
      <c r="A59" t="s">
        <v>69</v>
      </c>
      <c r="E59">
        <f t="shared" si="0"/>
        <v>138.30000000000001</v>
      </c>
      <c r="I59">
        <v>138.30000000000001</v>
      </c>
      <c r="L59">
        <v>138.30000000000001</v>
      </c>
    </row>
    <row r="60" spans="1:15" x14ac:dyDescent="0.35">
      <c r="A60" t="s">
        <v>70</v>
      </c>
      <c r="E60">
        <f t="shared" si="0"/>
        <v>137.4</v>
      </c>
      <c r="I60">
        <v>137.4</v>
      </c>
      <c r="L60">
        <v>137.4</v>
      </c>
    </row>
    <row r="61" spans="1:15" x14ac:dyDescent="0.35">
      <c r="A61" t="s">
        <v>71</v>
      </c>
      <c r="E61">
        <f t="shared" si="0"/>
        <v>137.1</v>
      </c>
      <c r="I61">
        <v>137.1</v>
      </c>
      <c r="L61">
        <v>137</v>
      </c>
      <c r="M61">
        <v>137.19999999999999</v>
      </c>
    </row>
    <row r="62" spans="1:15" x14ac:dyDescent="0.35">
      <c r="A62" t="s">
        <v>72</v>
      </c>
      <c r="E62">
        <f t="shared" si="0"/>
        <v>136.30000000000001</v>
      </c>
      <c r="H62">
        <v>146</v>
      </c>
      <c r="I62">
        <v>137.1</v>
      </c>
      <c r="L62">
        <v>135.5</v>
      </c>
      <c r="M62">
        <v>137.1</v>
      </c>
      <c r="O62" s="1" t="s">
        <v>100</v>
      </c>
    </row>
    <row r="63" spans="1:15" x14ac:dyDescent="0.35">
      <c r="A63" t="s">
        <v>73</v>
      </c>
      <c r="E63">
        <f t="shared" si="0"/>
        <v>137</v>
      </c>
      <c r="F63">
        <v>137.80000000000001</v>
      </c>
      <c r="I63">
        <v>137</v>
      </c>
      <c r="M63">
        <v>137</v>
      </c>
      <c r="O63">
        <f>F63-E63</f>
        <v>0.80000000000001137</v>
      </c>
    </row>
    <row r="64" spans="1:15" x14ac:dyDescent="0.35">
      <c r="A64" t="s">
        <v>74</v>
      </c>
      <c r="E64">
        <f t="shared" si="0"/>
        <v>137.19999999999999</v>
      </c>
      <c r="F64">
        <v>138.4</v>
      </c>
      <c r="I64">
        <v>137.30000000000001</v>
      </c>
      <c r="M64">
        <v>137.19999999999999</v>
      </c>
      <c r="O64">
        <f>F64-E64</f>
        <v>1.2000000000000171</v>
      </c>
    </row>
    <row r="65" spans="1:15" x14ac:dyDescent="0.35">
      <c r="A65" t="s">
        <v>75</v>
      </c>
      <c r="E65">
        <f t="shared" si="0"/>
        <v>138</v>
      </c>
      <c r="F65">
        <v>140.19999999999999</v>
      </c>
      <c r="I65">
        <v>138.1</v>
      </c>
      <c r="M65">
        <v>138</v>
      </c>
      <c r="O65">
        <f t="shared" ref="O65:O72" si="1">F65-E65</f>
        <v>2.1999999999999886</v>
      </c>
    </row>
    <row r="66" spans="1:15" x14ac:dyDescent="0.35">
      <c r="A66" t="s">
        <v>76</v>
      </c>
      <c r="E66">
        <f t="shared" si="0"/>
        <v>138.4</v>
      </c>
      <c r="F66">
        <v>141</v>
      </c>
      <c r="I66">
        <v>138.69999999999999</v>
      </c>
      <c r="M66">
        <v>138.4</v>
      </c>
      <c r="O66">
        <f t="shared" si="1"/>
        <v>2.5999999999999943</v>
      </c>
    </row>
    <row r="67" spans="1:15" x14ac:dyDescent="0.35">
      <c r="A67" t="s">
        <v>77</v>
      </c>
      <c r="E67">
        <f t="shared" ref="E67:E78" si="2">AVERAGE(L67:M67)</f>
        <v>138.19999999999999</v>
      </c>
      <c r="F67">
        <v>141.1</v>
      </c>
      <c r="I67">
        <v>138.9</v>
      </c>
      <c r="M67">
        <v>138.19999999999999</v>
      </c>
      <c r="O67">
        <f t="shared" si="1"/>
        <v>2.9000000000000057</v>
      </c>
    </row>
    <row r="68" spans="1:15" x14ac:dyDescent="0.35">
      <c r="A68" t="s">
        <v>78</v>
      </c>
      <c r="E68">
        <f t="shared" si="2"/>
        <v>138.5</v>
      </c>
      <c r="F68">
        <v>141.30000000000001</v>
      </c>
      <c r="I68">
        <v>139.1</v>
      </c>
      <c r="M68">
        <v>138.5</v>
      </c>
      <c r="O68">
        <f t="shared" si="1"/>
        <v>2.8000000000000114</v>
      </c>
    </row>
    <row r="69" spans="1:15" x14ac:dyDescent="0.35">
      <c r="A69" t="s">
        <v>79</v>
      </c>
      <c r="E69">
        <f t="shared" si="2"/>
        <v>137.9</v>
      </c>
      <c r="F69">
        <v>140.9</v>
      </c>
      <c r="I69">
        <v>138.80000000000001</v>
      </c>
      <c r="M69">
        <v>137.9</v>
      </c>
      <c r="O69">
        <f>F69-E69</f>
        <v>3</v>
      </c>
    </row>
    <row r="70" spans="1:15" x14ac:dyDescent="0.35">
      <c r="A70" t="s">
        <v>80</v>
      </c>
      <c r="E70">
        <f t="shared" si="2"/>
        <v>137.6</v>
      </c>
      <c r="F70">
        <v>141.1</v>
      </c>
      <c r="I70">
        <v>139.1</v>
      </c>
      <c r="M70">
        <v>137.6</v>
      </c>
      <c r="O70">
        <f t="shared" si="1"/>
        <v>3.5</v>
      </c>
    </row>
    <row r="71" spans="1:15" x14ac:dyDescent="0.35">
      <c r="A71" t="s">
        <v>81</v>
      </c>
      <c r="E71">
        <f t="shared" si="2"/>
        <v>137.80000000000001</v>
      </c>
      <c r="F71">
        <v>141</v>
      </c>
      <c r="I71">
        <v>139.19999999999999</v>
      </c>
      <c r="M71">
        <v>137.80000000000001</v>
      </c>
      <c r="O71">
        <f t="shared" si="1"/>
        <v>3.1999999999999886</v>
      </c>
    </row>
    <row r="72" spans="1:15" x14ac:dyDescent="0.35">
      <c r="A72" t="s">
        <v>82</v>
      </c>
      <c r="E72">
        <f t="shared" si="2"/>
        <v>137.69999999999999</v>
      </c>
      <c r="F72">
        <v>141.30000000000001</v>
      </c>
      <c r="I72">
        <v>139.30000000000001</v>
      </c>
      <c r="M72">
        <v>137.69999999999999</v>
      </c>
      <c r="O72">
        <f t="shared" si="1"/>
        <v>3.6000000000000227</v>
      </c>
    </row>
    <row r="73" spans="1:15" x14ac:dyDescent="0.35">
      <c r="A73" t="s">
        <v>83</v>
      </c>
      <c r="E73">
        <f t="shared" si="2"/>
        <v>136.30000000000001</v>
      </c>
      <c r="F73">
        <v>141.5</v>
      </c>
      <c r="G73">
        <v>143.6</v>
      </c>
      <c r="I73">
        <v>140.80000000000001</v>
      </c>
      <c r="M73">
        <v>136.30000000000001</v>
      </c>
      <c r="O73">
        <f>F73-E73</f>
        <v>5.1999999999999886</v>
      </c>
    </row>
    <row r="74" spans="1:15" x14ac:dyDescent="0.35">
      <c r="A74" t="s">
        <v>84</v>
      </c>
      <c r="E74">
        <f t="shared" si="2"/>
        <v>137</v>
      </c>
      <c r="F74">
        <v>141.80000000000001</v>
      </c>
      <c r="G74">
        <v>142.80000000000001</v>
      </c>
      <c r="I74">
        <v>141.30000000000001</v>
      </c>
      <c r="M74">
        <v>137</v>
      </c>
    </row>
    <row r="75" spans="1:15" x14ac:dyDescent="0.35">
      <c r="A75" t="s">
        <v>85</v>
      </c>
      <c r="E75">
        <f t="shared" si="2"/>
        <v>137.19999999999999</v>
      </c>
      <c r="F75">
        <v>141.5</v>
      </c>
      <c r="G75">
        <v>142.4</v>
      </c>
      <c r="I75">
        <v>141.30000000000001</v>
      </c>
      <c r="M75">
        <v>137.19999999999999</v>
      </c>
    </row>
    <row r="76" spans="1:15" x14ac:dyDescent="0.35">
      <c r="A76" t="s">
        <v>86</v>
      </c>
      <c r="E76">
        <f t="shared" si="2"/>
        <v>137.30000000000001</v>
      </c>
      <c r="F76">
        <v>141.4</v>
      </c>
      <c r="G76">
        <v>142.1</v>
      </c>
      <c r="I76">
        <v>141.4</v>
      </c>
      <c r="M76">
        <v>137.30000000000001</v>
      </c>
    </row>
    <row r="77" spans="1:15" x14ac:dyDescent="0.35">
      <c r="A77" t="s">
        <v>87</v>
      </c>
      <c r="E77">
        <f t="shared" si="2"/>
        <v>137.69999999999999</v>
      </c>
      <c r="F77">
        <v>141.9</v>
      </c>
      <c r="G77">
        <v>142.4</v>
      </c>
      <c r="I77">
        <v>141.80000000000001</v>
      </c>
      <c r="M77">
        <v>137.69999999999999</v>
      </c>
    </row>
    <row r="78" spans="1:15" x14ac:dyDescent="0.35">
      <c r="A78" t="s">
        <v>88</v>
      </c>
      <c r="E78">
        <f t="shared" si="2"/>
        <v>137.5</v>
      </c>
      <c r="F78">
        <v>141.6</v>
      </c>
      <c r="G78">
        <v>142.4</v>
      </c>
      <c r="I78">
        <v>142</v>
      </c>
      <c r="M78">
        <v>137.5</v>
      </c>
    </row>
    <row r="79" spans="1:15" x14ac:dyDescent="0.35">
      <c r="A79" t="s">
        <v>89</v>
      </c>
      <c r="F79">
        <v>140.1</v>
      </c>
      <c r="G79">
        <v>142.5</v>
      </c>
      <c r="I79">
        <v>142.4</v>
      </c>
      <c r="M79">
        <v>136.69999999999999</v>
      </c>
    </row>
    <row r="80" spans="1:15" x14ac:dyDescent="0.35">
      <c r="A80" t="s">
        <v>90</v>
      </c>
      <c r="G80">
        <v>142.6</v>
      </c>
      <c r="I80">
        <v>142.6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KMX Pct</vt:lpstr>
      <vt:lpstr>KMX Avg Score</vt:lpstr>
      <vt:lpstr>NonKMX Pct</vt:lpstr>
      <vt:lpstr>NonKMX Avg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2026-07-16T15:53:50Z</dcterms:created>
  <dcterms:modified xsi:type="dcterms:W3CDTF">2026-08-04T18:12:56Z</dcterms:modified>
</cp:coreProperties>
</file>