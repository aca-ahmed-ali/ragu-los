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hmed.ali\ragu-los\RAGU LOS\all_lobs\output\"/>
    </mc:Choice>
  </mc:AlternateContent>
  <xr:revisionPtr revIDLastSave="0" documentId="13_ncr:1_{1C03B338-A12D-44B6-98D2-9B067F031F79}" xr6:coauthVersionLast="47" xr6:coauthVersionMax="47" xr10:uidLastSave="{00000000-0000-0000-0000-000000000000}"/>
  <bookViews>
    <workbookView xWindow="14685" yWindow="-21720" windowWidth="38640" windowHeight="21120" activeTab="3" xr2:uid="{00000000-000D-0000-FFFF-FFFF00000000}"/>
  </bookViews>
  <sheets>
    <sheet name="Sheet1" sheetId="1" r:id="rId1"/>
    <sheet name="Data Tables (Q)" sheetId="2" r:id="rId2"/>
    <sheet name="Data Tables (M)" sheetId="3" r:id="rId3"/>
    <sheet name="Data Tables (W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5" i="1" l="1"/>
  <c r="D85" i="1"/>
  <c r="G84" i="1"/>
  <c r="F84" i="1"/>
  <c r="E84" i="1"/>
  <c r="D84" i="1"/>
  <c r="F83" i="1"/>
  <c r="D83" i="1"/>
  <c r="F82" i="1"/>
  <c r="E82" i="1"/>
  <c r="D82" i="1"/>
  <c r="G81" i="1"/>
  <c r="F81" i="1"/>
  <c r="E81" i="1"/>
  <c r="D81" i="1"/>
  <c r="D80" i="1"/>
  <c r="G79" i="1"/>
  <c r="E79" i="1"/>
  <c r="D79" i="1"/>
  <c r="G78" i="1"/>
  <c r="F78" i="1"/>
  <c r="D78" i="1"/>
  <c r="F77" i="1"/>
  <c r="D77" i="1"/>
  <c r="G75" i="1"/>
  <c r="F75" i="1"/>
  <c r="E75" i="1"/>
  <c r="I74" i="1"/>
  <c r="I85" i="1" s="1"/>
  <c r="H74" i="1"/>
  <c r="H85" i="1" s="1"/>
  <c r="G74" i="1"/>
  <c r="G80" i="1" s="1"/>
  <c r="F74" i="1"/>
  <c r="F80" i="1" s="1"/>
  <c r="E74" i="1"/>
  <c r="E83" i="1" s="1"/>
  <c r="H24" i="1"/>
  <c r="G24" i="1"/>
  <c r="F24" i="1"/>
  <c r="E24" i="1"/>
  <c r="H23" i="1"/>
  <c r="G23" i="1"/>
  <c r="F23" i="1"/>
  <c r="E23" i="1"/>
  <c r="H22" i="1"/>
  <c r="G22" i="1"/>
  <c r="F22" i="1"/>
  <c r="E22" i="1"/>
  <c r="H21" i="1"/>
  <c r="G21" i="1"/>
  <c r="F21" i="1"/>
  <c r="E21" i="1"/>
  <c r="H20" i="1"/>
  <c r="G20" i="1"/>
  <c r="F20" i="1"/>
  <c r="E20" i="1"/>
  <c r="H19" i="1"/>
  <c r="G19" i="1"/>
  <c r="F19" i="1"/>
  <c r="E19" i="1"/>
  <c r="H18" i="1"/>
  <c r="G18" i="1"/>
  <c r="F18" i="1"/>
  <c r="E18" i="1"/>
  <c r="H17" i="1"/>
  <c r="G17" i="1"/>
  <c r="F17" i="1"/>
  <c r="E17" i="1"/>
  <c r="H16" i="1"/>
  <c r="G16" i="1"/>
  <c r="F16" i="1"/>
  <c r="E16" i="1"/>
  <c r="H80" i="1" l="1"/>
  <c r="E78" i="1"/>
  <c r="I80" i="1"/>
  <c r="G83" i="1"/>
  <c r="H83" i="1"/>
  <c r="I83" i="1"/>
  <c r="I78" i="1"/>
  <c r="H81" i="1"/>
  <c r="I81" i="1"/>
  <c r="H75" i="1"/>
  <c r="F79" i="1"/>
  <c r="H84" i="1"/>
  <c r="H78" i="1"/>
  <c r="E77" i="1"/>
  <c r="I79" i="1"/>
  <c r="G82" i="1"/>
  <c r="E85" i="1"/>
  <c r="H79" i="1"/>
  <c r="H82" i="1"/>
  <c r="I75" i="1"/>
  <c r="G77" i="1"/>
  <c r="E80" i="1"/>
  <c r="I82" i="1"/>
  <c r="G85" i="1"/>
  <c r="H77" i="1"/>
  <c r="I84" i="1"/>
  <c r="I77" i="1"/>
</calcChain>
</file>

<file path=xl/sharedStrings.xml><?xml version="1.0" encoding="utf-8"?>
<sst xmlns="http://schemas.openxmlformats.org/spreadsheetml/2006/main" count="1692" uniqueCount="168">
  <si>
    <t>AN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</si>
  <si>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</si>
  <si>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</si>
  <si>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</si>
  <si>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</si>
  <si>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</si>
  <si>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</si>
  <si>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</si>
  <si>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</si>
  <si>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</si>
  <si>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</si>
  <si>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</si>
  <si>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</si>
  <si>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</si>
  <si>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</si>
  <si>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</si>
  <si>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</si>
  <si>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</si>
  <si>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</si>
  <si>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</si>
  <si>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</si>
  <si>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</si>
  <si>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</si>
  <si>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</si>
  <si>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</si>
  <si>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</si>
  <si>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t>2026 Q2</t>
  </si>
  <si>
    <t>2026 Q3</t>
  </si>
  <si>
    <t>Model Score</t>
  </si>
  <si>
    <t>Expected Gross Loss Impact</t>
  </si>
  <si>
    <t>Recovery Impact</t>
  </si>
  <si>
    <t>LTV Impact</t>
  </si>
  <si>
    <t>APR Impact</t>
  </si>
  <si>
    <t>RAGU Score</t>
  </si>
  <si>
    <t>Amount Financed</t>
  </si>
  <si>
    <t>Weighted LTV</t>
  </si>
  <si>
    <t>Weighted APR</t>
  </si>
  <si>
    <t>FRN</t>
  </si>
  <si>
    <t>STG</t>
  </si>
  <si>
    <t>FLD</t>
  </si>
  <si>
    <t>ENT</t>
  </si>
  <si>
    <t>KMX</t>
  </si>
  <si>
    <t>Franchise Independent</t>
  </si>
  <si>
    <t>nonKMX</t>
  </si>
  <si>
    <t>POS</t>
  </si>
  <si>
    <t>Vanilla</t>
  </si>
  <si>
    <t>2024 M06</t>
  </si>
  <si>
    <t>2024 M07</t>
  </si>
  <si>
    <t>2024 M08</t>
  </si>
  <si>
    <t>2024 M09</t>
  </si>
  <si>
    <t>2024 M10</t>
  </si>
  <si>
    <t>2024 M11</t>
  </si>
  <si>
    <t>2024 M12</t>
  </si>
  <si>
    <t>2025 M01</t>
  </si>
  <si>
    <t>2025 M02</t>
  </si>
  <si>
    <t>2025 M03</t>
  </si>
  <si>
    <t>2025 M04</t>
  </si>
  <si>
    <t>2025 M05</t>
  </si>
  <si>
    <t>2025 M06</t>
  </si>
  <si>
    <t>2025 M07</t>
  </si>
  <si>
    <t>2025 M08</t>
  </si>
  <si>
    <t>2025 M09</t>
  </si>
  <si>
    <t>2025 M10</t>
  </si>
  <si>
    <t>2025 M11</t>
  </si>
  <si>
    <t>2025 M12</t>
  </si>
  <si>
    <t>2026 M01</t>
  </si>
  <si>
    <t>2026 M02</t>
  </si>
  <si>
    <t>2026 M03</t>
  </si>
  <si>
    <t>2026 M04</t>
  </si>
  <si>
    <t>2026 M05</t>
  </si>
  <si>
    <t>2026 M06</t>
  </si>
  <si>
    <t>2026 M07</t>
  </si>
  <si>
    <t>Gross Loss Impact</t>
  </si>
  <si>
    <t>STE</t>
  </si>
  <si>
    <t>POS with STE</t>
  </si>
  <si>
    <t>2020 M01</t>
  </si>
  <si>
    <t>2020 M02</t>
  </si>
  <si>
    <t>2020 M03</t>
  </si>
  <si>
    <t>2020 M04</t>
  </si>
  <si>
    <t>2020 M05</t>
  </si>
  <si>
    <t>2020 M06</t>
  </si>
  <si>
    <t>2020 M07</t>
  </si>
  <si>
    <t>2020 M08</t>
  </si>
  <si>
    <t>2020 M09</t>
  </si>
  <si>
    <t>2020 M10</t>
  </si>
  <si>
    <t>2020 M11</t>
  </si>
  <si>
    <t>2020 M12</t>
  </si>
  <si>
    <t>2021 M01</t>
  </si>
  <si>
    <t>2021 M02</t>
  </si>
  <si>
    <t>2021 M03</t>
  </si>
  <si>
    <t>2021 M04</t>
  </si>
  <si>
    <t>2021 M05</t>
  </si>
  <si>
    <t>2021 M06</t>
  </si>
  <si>
    <t>2021 M07</t>
  </si>
  <si>
    <t>2021 M08</t>
  </si>
  <si>
    <t>2021 M09</t>
  </si>
  <si>
    <t>2021 M10</t>
  </si>
  <si>
    <t>2021 M11</t>
  </si>
  <si>
    <t>2021 M12</t>
  </si>
  <si>
    <t>2022 M01</t>
  </si>
  <si>
    <t>2022 M02</t>
  </si>
  <si>
    <t>2022 M03</t>
  </si>
  <si>
    <t>2022 M04</t>
  </si>
  <si>
    <t>2022 M05</t>
  </si>
  <si>
    <t>2022 M06</t>
  </si>
  <si>
    <t>2022 M07</t>
  </si>
  <si>
    <t>2022 M08</t>
  </si>
  <si>
    <t>2022 M09</t>
  </si>
  <si>
    <t>2022 M10</t>
  </si>
  <si>
    <t>2022 M11</t>
  </si>
  <si>
    <t>2022 M12</t>
  </si>
  <si>
    <t>2023 M01</t>
  </si>
  <si>
    <t>2023 M02</t>
  </si>
  <si>
    <t>2023 M03</t>
  </si>
  <si>
    <t>2023 M04</t>
  </si>
  <si>
    <t>2023 M05</t>
  </si>
  <si>
    <t>2023 M06</t>
  </si>
  <si>
    <t>2023 M07</t>
  </si>
  <si>
    <t>2023 M08</t>
  </si>
  <si>
    <t>2023 M09</t>
  </si>
  <si>
    <t>2023 M10</t>
  </si>
  <si>
    <t>2023 M11</t>
  </si>
  <si>
    <t>2023 M12</t>
  </si>
  <si>
    <t>2024 M01</t>
  </si>
  <si>
    <t>2024 M02</t>
  </si>
  <si>
    <t>2024 M03</t>
  </si>
  <si>
    <t>2024 M04</t>
  </si>
  <si>
    <t>2024 M05</t>
  </si>
  <si>
    <t>2026 M08</t>
  </si>
  <si>
    <t>2025-12-28/2026-01-03</t>
  </si>
  <si>
    <t>2026-01-04/2026-01-10</t>
  </si>
  <si>
    <t>2026-01-11/2026-01-17</t>
  </si>
  <si>
    <t>2026-01-18/2026-01-24</t>
  </si>
  <si>
    <t>2026-01-25/2026-01-31</t>
  </si>
  <si>
    <t>2026-02-01/2026-02-07</t>
  </si>
  <si>
    <t>2026-02-08/2026-02-14</t>
  </si>
  <si>
    <t>2026-02-15/2026-02-21</t>
  </si>
  <si>
    <t>2026-02-22/2026-02-28</t>
  </si>
  <si>
    <t>2026-03-01/2026-03-07</t>
  </si>
  <si>
    <t>2026-03-08/2026-03-14</t>
  </si>
  <si>
    <t>2026-03-15/2026-03-21</t>
  </si>
  <si>
    <t>2026-03-22/2026-03-28</t>
  </si>
  <si>
    <t>2026-03-29/2026-04-04</t>
  </si>
  <si>
    <t>2026-04-05/2026-04-11</t>
  </si>
  <si>
    <t>2026-04-12/2026-04-18</t>
  </si>
  <si>
    <t>2026-04-19/2026-04-25</t>
  </si>
  <si>
    <t>2026-04-26/2026-05-02</t>
  </si>
  <si>
    <t>2026-05-03/2026-05-09</t>
  </si>
  <si>
    <t>2026-05-10/2026-05-16</t>
  </si>
  <si>
    <t>2026-05-17/2026-05-23</t>
  </si>
  <si>
    <t>2026-05-24/2026-05-30</t>
  </si>
  <si>
    <t>2026-05-31/2026-06-06</t>
  </si>
  <si>
    <t>2026-06-07/2026-06-13</t>
  </si>
  <si>
    <t>2026-06-14/2026-06-20</t>
  </si>
  <si>
    <t>2026-06-21/2026-06-27</t>
  </si>
  <si>
    <t>2026-06-28/2026-07-04</t>
  </si>
  <si>
    <t>2026-07-05/2026-07-11</t>
  </si>
  <si>
    <t>2026-07-12/2026-07-18</t>
  </si>
  <si>
    <t>2026-07-19/2026-07-25</t>
  </si>
  <si>
    <t>2026-07-26/2026-08-01</t>
  </si>
  <si>
    <t>2026-08-02/2026-08-08</t>
  </si>
  <si>
    <t>2026-08-09/2026-08-15</t>
  </si>
  <si>
    <t>2026-08-16/2026-08-22</t>
  </si>
  <si>
    <t>2026-08-23/2026-08-29</t>
  </si>
  <si>
    <t>2026-08-30/2026-09-05</t>
  </si>
  <si>
    <t>2026-09-06/2026-09-12</t>
  </si>
  <si>
    <t>2026-09-13/2026-09-19</t>
  </si>
  <si>
    <t>2026-09-20/2026-09-26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</si>
</sst>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0" fontId="0" fillId="3" borderId="0" xfId="0" applyFill="1"/>
    <xf numFmtId="2" fontId="0" fillId="3" borderId="0" xfId="0" applyNumberFormat="1" applyFill="1"/>
    <xf numFmtId="0" fontId="0" fillId="0" borderId="0" xfId="0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"/>
  <sheetViews>
    <sheetView topLeftCell="B55" zoomScale="145" zoomScaleNormal="145" workbookViewId="0">
      <selection activeCell="N70" sqref="N70"/>
    </sheetView>
  </sheetViews>
  <sheetFormatPr defaultRowHeight="14.5" x14ac:dyDescent="0.35"/>
  <cols>
    <col min="1" max="1" width="15.81640625" bestFit="1" customWidth="1"/>
    <col min="3" max="3" width="24" bestFit="1" customWidth="1"/>
    <col min="4" max="9" width="13.36328125" bestFit="1" customWidth="1"/>
    <col min="14" max="14" width="12.54296875" bestFit="1" customWidth="1"/>
    <col min="18" max="22" width="11.54296875" bestFit="1" customWidth="1"/>
    <col min="23" max="23" width="12.54296875" bestFit="1" customWidth="1"/>
    <col min="24" max="24" width="11.453125" bestFit="1" customWidth="1"/>
    <col min="25" max="25" width="11.453125" customWidth="1"/>
    <col min="26" max="28" width="11.54296875" bestFit="1" customWidth="1"/>
  </cols>
  <sheetData>
    <row r="1" spans="1:28" x14ac:dyDescent="0.35">
      <c r="A1" t="s">
        <v>45</v>
      </c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s="5" t="s">
        <v>56</v>
      </c>
      <c r="M1" s="5" t="s">
        <v>57</v>
      </c>
      <c r="N1" s="5" t="s">
        <v>58</v>
      </c>
      <c r="O1" s="5" t="s">
        <v>59</v>
      </c>
      <c r="P1" s="5" t="s">
        <v>60</v>
      </c>
      <c r="Q1" s="5" t="s">
        <v>61</v>
      </c>
      <c r="R1" s="6" t="s">
        <v>62</v>
      </c>
      <c r="S1" s="6" t="s">
        <v>63</v>
      </c>
      <c r="T1" s="6" t="s">
        <v>64</v>
      </c>
      <c r="U1" s="6" t="s">
        <v>65</v>
      </c>
      <c r="V1" s="6" t="s">
        <v>66</v>
      </c>
      <c r="W1" s="6" t="s">
        <v>67</v>
      </c>
      <c r="X1" s="6" t="s">
        <v>68</v>
      </c>
      <c r="Y1" s="6"/>
      <c r="Z1" s="1" t="s">
        <v>69</v>
      </c>
      <c r="AA1" s="1" t="s">
        <v>70</v>
      </c>
      <c r="AB1" s="1" t="s">
        <v>71</v>
      </c>
    </row>
    <row r="2" spans="1:28" x14ac:dyDescent="0.35">
      <c r="A2" t="s">
        <v>28</v>
      </c>
      <c r="B2">
        <v>129.86535456499061</v>
      </c>
      <c r="C2">
        <v>129.38771572668449</v>
      </c>
      <c r="D2">
        <v>129.53705743688531</v>
      </c>
      <c r="E2">
        <v>129.5132058269225</v>
      </c>
      <c r="F2">
        <v>129.66329956396481</v>
      </c>
      <c r="G2">
        <v>129.25176506584529</v>
      </c>
      <c r="H2">
        <v>129.683645330769</v>
      </c>
      <c r="I2">
        <v>129.5372899940605</v>
      </c>
      <c r="J2">
        <v>129.393341152121</v>
      </c>
      <c r="K2">
        <v>129.77782433861961</v>
      </c>
      <c r="L2">
        <v>129.71309277785249</v>
      </c>
      <c r="M2">
        <v>129.6155397089841</v>
      </c>
      <c r="N2">
        <v>129.44537443237459</v>
      </c>
      <c r="O2">
        <v>129.2780531011538</v>
      </c>
      <c r="P2">
        <v>129.24252265655369</v>
      </c>
      <c r="Q2">
        <v>128.50927147988509</v>
      </c>
      <c r="R2" s="1">
        <v>131.02133536197829</v>
      </c>
      <c r="S2" s="1">
        <v>131.3468314962285</v>
      </c>
      <c r="T2" s="1">
        <v>131.6024084729047</v>
      </c>
      <c r="U2" s="1">
        <v>132.19218228778621</v>
      </c>
      <c r="V2" s="1">
        <v>133.00749318776079</v>
      </c>
      <c r="W2" s="1">
        <v>134.0048538381472</v>
      </c>
      <c r="X2" s="1">
        <v>134.56534152600739</v>
      </c>
      <c r="Y2" s="1"/>
      <c r="Z2" s="1">
        <v>135.68984274356961</v>
      </c>
      <c r="AA2" s="1">
        <v>136.49663165464889</v>
      </c>
      <c r="AB2" s="1">
        <v>137.33713790472339</v>
      </c>
    </row>
    <row r="3" spans="1:28" x14ac:dyDescent="0.35">
      <c r="A3" t="s">
        <v>72</v>
      </c>
      <c r="B3">
        <v>1.2350138538085671</v>
      </c>
      <c r="C3">
        <v>0.84904716431304916</v>
      </c>
      <c r="D3">
        <v>0.70090476373877664</v>
      </c>
      <c r="E3">
        <v>0.56275008953736005</v>
      </c>
      <c r="F3">
        <v>0.86450976560729476</v>
      </c>
      <c r="G3">
        <v>0.85299630126567649</v>
      </c>
      <c r="H3">
        <v>0.8039123371196979</v>
      </c>
      <c r="I3">
        <v>-0.37146658078725642</v>
      </c>
      <c r="J3">
        <v>-1.3313430449647969</v>
      </c>
      <c r="K3">
        <v>-1.331035839565857</v>
      </c>
      <c r="L3">
        <v>-1.031361059685963</v>
      </c>
      <c r="M3">
        <v>-0.9627084829372734</v>
      </c>
      <c r="N3">
        <v>-1.189969165405756</v>
      </c>
      <c r="O3">
        <v>-0.53597966559254928</v>
      </c>
      <c r="P3">
        <v>0.77591077035293665</v>
      </c>
      <c r="Q3">
        <v>0.63856797659119025</v>
      </c>
      <c r="R3" s="1">
        <v>-0.3932878415855896</v>
      </c>
      <c r="S3" s="1">
        <v>-0.4232757989130107</v>
      </c>
      <c r="T3" s="1">
        <v>-0.44362950932605821</v>
      </c>
      <c r="U3" s="1">
        <v>-0.3776623148542626</v>
      </c>
      <c r="V3" s="1">
        <v>-0.39991914954387647</v>
      </c>
      <c r="W3" s="1">
        <v>-0.36200979791340171</v>
      </c>
      <c r="X3" s="1">
        <v>-0.27814421370609921</v>
      </c>
      <c r="Y3" s="1"/>
      <c r="Z3" s="1">
        <v>-0.40171856289538249</v>
      </c>
      <c r="AA3" s="1">
        <v>-0.56807543368174152</v>
      </c>
      <c r="AB3" s="1">
        <v>-0.50856782155958058</v>
      </c>
    </row>
    <row r="4" spans="1:28" x14ac:dyDescent="0.35">
      <c r="A4" t="s">
        <v>30</v>
      </c>
      <c r="B4">
        <v>0</v>
      </c>
      <c r="C4">
        <v>0</v>
      </c>
      <c r="D4">
        <v>4.1385926790449661</v>
      </c>
      <c r="E4">
        <v>2.1728524040912922</v>
      </c>
      <c r="F4">
        <v>1.2089420565130951</v>
      </c>
      <c r="G4">
        <v>2.398500900003012</v>
      </c>
      <c r="H4">
        <v>2.8807926213304409</v>
      </c>
      <c r="I4">
        <v>2.2101137812710259</v>
      </c>
      <c r="J4">
        <v>0.21822451566229301</v>
      </c>
      <c r="K4">
        <v>0.84282320216819495</v>
      </c>
      <c r="L4">
        <v>1.115777705449543</v>
      </c>
      <c r="M4">
        <v>0.63955836368292218</v>
      </c>
      <c r="N4">
        <v>0.70121226882331478</v>
      </c>
      <c r="O4">
        <v>0.90911340171687305</v>
      </c>
      <c r="P4">
        <v>1.962606699131771</v>
      </c>
      <c r="Q4">
        <v>0.6936286316915885</v>
      </c>
      <c r="R4" s="1">
        <v>2.8566220688264692</v>
      </c>
      <c r="S4" s="1">
        <v>2.240894525026611</v>
      </c>
      <c r="T4" s="1">
        <v>1.901622887433124</v>
      </c>
      <c r="U4" s="1">
        <v>2.147664114682315</v>
      </c>
      <c r="V4" s="1">
        <v>1.156877830456164</v>
      </c>
      <c r="W4" s="1">
        <v>1.1652602350259409</v>
      </c>
      <c r="X4" s="1">
        <v>2.28923714852482</v>
      </c>
      <c r="Y4" s="1"/>
      <c r="Z4" s="1">
        <v>3.3992800130181728</v>
      </c>
      <c r="AA4" s="1">
        <v>3.9973861868053611</v>
      </c>
      <c r="AB4" s="1">
        <v>4.3730697172238244</v>
      </c>
    </row>
    <row r="5" spans="1:28" x14ac:dyDescent="0.35">
      <c r="A5" t="s">
        <v>31</v>
      </c>
      <c r="B5">
        <v>0</v>
      </c>
      <c r="C5">
        <v>0</v>
      </c>
      <c r="D5">
        <v>5.2740139892637359</v>
      </c>
      <c r="E5">
        <v>6.0441161210132011</v>
      </c>
      <c r="F5">
        <v>5.7001073584871849</v>
      </c>
      <c r="G5">
        <v>4.909567098623258</v>
      </c>
      <c r="H5">
        <v>5.250623899683692</v>
      </c>
      <c r="I5">
        <v>5.7305604584233576</v>
      </c>
      <c r="J5">
        <v>5.4983854742151026</v>
      </c>
      <c r="K5">
        <v>5.5410338248266919</v>
      </c>
      <c r="L5">
        <v>6.3775836526438301</v>
      </c>
      <c r="M5">
        <v>5.3167724844566884</v>
      </c>
      <c r="N5">
        <v>4.7133477862898907</v>
      </c>
      <c r="O5">
        <v>4.456834046495052</v>
      </c>
      <c r="P5">
        <v>4.2805856725731486</v>
      </c>
      <c r="Q5">
        <v>3.8856134221847172</v>
      </c>
      <c r="R5" s="1">
        <v>4.6568337325953788</v>
      </c>
      <c r="S5" s="1">
        <v>4.3504901890585366</v>
      </c>
      <c r="T5" s="1">
        <v>3.9599385859615248</v>
      </c>
      <c r="U5" s="1">
        <v>4.4325850765356254</v>
      </c>
      <c r="V5" s="1">
        <v>4.9778418079113731</v>
      </c>
      <c r="W5" s="1">
        <v>5.5671093017894488</v>
      </c>
      <c r="X5" s="1">
        <v>5.8010146112877923</v>
      </c>
      <c r="Y5" s="1"/>
      <c r="Z5" s="1">
        <v>6.4230083396708491</v>
      </c>
      <c r="AA5" s="1">
        <v>6.1696385251318766</v>
      </c>
      <c r="AB5" s="1">
        <v>6.3674505414897773</v>
      </c>
    </row>
    <row r="6" spans="1:28" x14ac:dyDescent="0.35">
      <c r="A6" t="s">
        <v>32</v>
      </c>
      <c r="B6">
        <v>3.0477021726505709</v>
      </c>
      <c r="C6">
        <v>3.312651264036607</v>
      </c>
      <c r="D6">
        <v>2.9733753924605919</v>
      </c>
      <c r="E6">
        <v>2.2654378097176329</v>
      </c>
      <c r="F6">
        <v>2.0308860418274879</v>
      </c>
      <c r="G6">
        <v>2.2986462382422341</v>
      </c>
      <c r="H6">
        <v>2.3219702983601538</v>
      </c>
      <c r="I6">
        <v>2.0589845757021958</v>
      </c>
      <c r="J6">
        <v>1.82854003489896</v>
      </c>
      <c r="K6">
        <v>1.8605635390927939</v>
      </c>
      <c r="L6">
        <v>2.0086779574227349</v>
      </c>
      <c r="M6">
        <v>2.0073477328755551</v>
      </c>
      <c r="N6">
        <v>2.1051037650850568</v>
      </c>
      <c r="O6">
        <v>2.1982916717376888</v>
      </c>
      <c r="P6">
        <v>2.0737623123736948</v>
      </c>
      <c r="Q6">
        <v>2.0963242014466079</v>
      </c>
      <c r="R6" s="1">
        <v>0.94504752238325507</v>
      </c>
      <c r="S6" s="1">
        <v>1.1155418072867409</v>
      </c>
      <c r="T6" s="1">
        <v>1.091532106112449</v>
      </c>
      <c r="U6" s="1">
        <v>1.08792389668725</v>
      </c>
      <c r="V6" s="1">
        <v>1.175085726381635</v>
      </c>
      <c r="W6" s="1">
        <v>1.504650371042688</v>
      </c>
      <c r="X6" s="1">
        <v>1.6723369705476829</v>
      </c>
      <c r="Y6" s="1"/>
      <c r="Z6" s="1">
        <v>1.783094257537565</v>
      </c>
      <c r="AA6" s="1">
        <v>1.8827434561431251</v>
      </c>
      <c r="AB6" s="1">
        <v>2.0486787892731662</v>
      </c>
    </row>
    <row r="7" spans="1:28" x14ac:dyDescent="0.35">
      <c r="A7" t="s">
        <v>33</v>
      </c>
      <c r="B7">
        <v>134.14807059144979</v>
      </c>
      <c r="C7">
        <v>133.54941415503421</v>
      </c>
      <c r="D7">
        <v>142.6239442613934</v>
      </c>
      <c r="E7">
        <v>140.55836225128201</v>
      </c>
      <c r="F7">
        <v>139.46774478639989</v>
      </c>
      <c r="G7">
        <v>139.71147560397949</v>
      </c>
      <c r="H7">
        <v>140.94094448726301</v>
      </c>
      <c r="I7">
        <v>139.16548222866979</v>
      </c>
      <c r="J7">
        <v>135.6071481319326</v>
      </c>
      <c r="K7">
        <v>136.69120906514141</v>
      </c>
      <c r="L7">
        <v>138.1837710336826</v>
      </c>
      <c r="M7">
        <v>136.61650980706199</v>
      </c>
      <c r="N7">
        <v>135.77506908716711</v>
      </c>
      <c r="O7">
        <v>136.3063125555108</v>
      </c>
      <c r="P7">
        <v>138.33538811098521</v>
      </c>
      <c r="Q7">
        <v>135.82340571179921</v>
      </c>
      <c r="R7" s="1">
        <v>139.08655084419789</v>
      </c>
      <c r="S7" s="1">
        <v>138.6304822186874</v>
      </c>
      <c r="T7" s="1">
        <v>138.11187254308581</v>
      </c>
      <c r="U7" s="1">
        <v>139.48269306083711</v>
      </c>
      <c r="V7" s="1">
        <v>139.91737940296611</v>
      </c>
      <c r="W7" s="1">
        <v>141.88306616431319</v>
      </c>
      <c r="X7" s="1">
        <v>144.0504071521508</v>
      </c>
      <c r="Y7" s="1"/>
      <c r="Z7" s="1">
        <v>146.8930650531164</v>
      </c>
      <c r="AA7" s="1">
        <v>147.97832438904749</v>
      </c>
      <c r="AB7" s="1">
        <v>149.6191516521196</v>
      </c>
    </row>
    <row r="8" spans="1:28" x14ac:dyDescent="0.35">
      <c r="A8" t="s">
        <v>34</v>
      </c>
      <c r="B8">
        <v>1462434.43</v>
      </c>
      <c r="C8">
        <v>10919535.779999999</v>
      </c>
      <c r="D8">
        <v>18319871.18</v>
      </c>
      <c r="E8">
        <v>17387363.649999999</v>
      </c>
      <c r="F8">
        <v>23124191.199999999</v>
      </c>
      <c r="G8">
        <v>23510720.640000001</v>
      </c>
      <c r="H8">
        <v>31543002.84</v>
      </c>
      <c r="I8">
        <v>35545767.260000013</v>
      </c>
      <c r="J8">
        <v>50802743.680000007</v>
      </c>
      <c r="K8">
        <v>55019552.159999996</v>
      </c>
      <c r="L8">
        <v>42442574.010000013</v>
      </c>
      <c r="M8">
        <v>40719961.400000013</v>
      </c>
      <c r="N8">
        <v>38242116.390000001</v>
      </c>
      <c r="O8">
        <v>43485809.939999998</v>
      </c>
      <c r="P8">
        <v>43419978.609999999</v>
      </c>
      <c r="Q8">
        <v>44626995.380000003</v>
      </c>
      <c r="R8" s="1">
        <v>31718897.359999999</v>
      </c>
      <c r="S8" s="1">
        <v>46957669.380000003</v>
      </c>
      <c r="T8" s="1">
        <v>48436705.359999999</v>
      </c>
      <c r="U8" s="1">
        <v>41847911.840000004</v>
      </c>
      <c r="V8" s="1">
        <v>51674677.010000013</v>
      </c>
      <c r="W8" s="1">
        <v>107724085.98</v>
      </c>
      <c r="X8" s="1">
        <v>90227374.950000003</v>
      </c>
      <c r="Y8" s="1"/>
      <c r="Z8" s="1">
        <v>72604977.900000006</v>
      </c>
      <c r="AA8" s="1">
        <v>82073268.25</v>
      </c>
      <c r="AB8" s="1">
        <v>58437607.400000013</v>
      </c>
    </row>
    <row r="9" spans="1:28" x14ac:dyDescent="0.35">
      <c r="A9" t="s">
        <v>35</v>
      </c>
      <c r="B9">
        <v>1.94</v>
      </c>
      <c r="C9">
        <v>1.94</v>
      </c>
      <c r="D9">
        <v>1.480649155374359</v>
      </c>
      <c r="E9">
        <v>1.431167931406429</v>
      </c>
      <c r="F9">
        <v>1.452856564912647</v>
      </c>
      <c r="G9">
        <v>1.505278486404799</v>
      </c>
      <c r="H9">
        <v>1.482205629320301</v>
      </c>
      <c r="I9">
        <v>1.450910111095763</v>
      </c>
      <c r="J9">
        <v>1.4658829647041851</v>
      </c>
      <c r="K9">
        <v>1.463109467662296</v>
      </c>
      <c r="L9">
        <v>1.410753159523833</v>
      </c>
      <c r="M9">
        <v>1.4778122608441739</v>
      </c>
      <c r="N9">
        <v>1.518881396116357</v>
      </c>
      <c r="O9">
        <v>1.537039431284936</v>
      </c>
      <c r="P9">
        <v>1.549769377000995</v>
      </c>
      <c r="Q9">
        <v>1.579077393291624</v>
      </c>
      <c r="R9" s="1">
        <v>1.5228449554175729</v>
      </c>
      <c r="S9" s="1">
        <v>1.54469521345703</v>
      </c>
      <c r="T9" s="1">
        <v>1.573477892825947</v>
      </c>
      <c r="U9" s="1">
        <v>1.538778447967365</v>
      </c>
      <c r="V9" s="1">
        <v>1.50060230154756</v>
      </c>
      <c r="W9" s="1">
        <v>1.461418897695721</v>
      </c>
      <c r="X9" s="1">
        <v>1.4464268613587501</v>
      </c>
      <c r="Y9" s="1"/>
      <c r="Z9" s="1">
        <v>1.408017259001815</v>
      </c>
      <c r="AA9" s="1">
        <v>1.423414524323585</v>
      </c>
      <c r="AB9" s="1">
        <v>1.411364921536596</v>
      </c>
    </row>
    <row r="10" spans="1:28" x14ac:dyDescent="0.35">
      <c r="A10" t="s">
        <v>36</v>
      </c>
      <c r="B10">
        <v>0.2064613975335633</v>
      </c>
      <c r="C10">
        <v>0.20267641051376281</v>
      </c>
      <c r="D10">
        <v>0.2075232086791344</v>
      </c>
      <c r="E10">
        <v>0.2176366027183195</v>
      </c>
      <c r="F10">
        <v>0.22098734225960731</v>
      </c>
      <c r="G10">
        <v>0.21716219659653949</v>
      </c>
      <c r="H10">
        <v>0.21682899573771211</v>
      </c>
      <c r="I10">
        <v>0.2205859346328258</v>
      </c>
      <c r="J10">
        <v>0.22387799950144341</v>
      </c>
      <c r="K10">
        <v>0.22342052087010289</v>
      </c>
      <c r="L10">
        <v>0.22130460060824661</v>
      </c>
      <c r="M10">
        <v>0.2213236038160635</v>
      </c>
      <c r="N10">
        <v>0.21992708907021349</v>
      </c>
      <c r="O10">
        <v>0.21859583326089019</v>
      </c>
      <c r="P10">
        <v>0.22037482410894721</v>
      </c>
      <c r="Q10">
        <v>0.2200525114079056</v>
      </c>
      <c r="R10" s="1">
        <v>0.23649932110881061</v>
      </c>
      <c r="S10" s="1">
        <v>0.2340636884673323</v>
      </c>
      <c r="T10" s="1">
        <v>0.23440668419839361</v>
      </c>
      <c r="U10" s="1">
        <v>0.23445823004732499</v>
      </c>
      <c r="V10" s="1">
        <v>0.2332130610516909</v>
      </c>
      <c r="W10" s="1">
        <v>0.2285049946993902</v>
      </c>
      <c r="X10" s="1">
        <v>0.22610947184931879</v>
      </c>
      <c r="Y10" s="1"/>
      <c r="Z10" s="1">
        <v>0.22452722489232049</v>
      </c>
      <c r="AA10" s="1">
        <v>0.22310366491224101</v>
      </c>
      <c r="AB10" s="1">
        <v>0.22073316015324049</v>
      </c>
    </row>
    <row r="15" spans="1:28" x14ac:dyDescent="0.35">
      <c r="C15" s="7" t="s">
        <v>73</v>
      </c>
      <c r="D15" t="s">
        <v>15</v>
      </c>
      <c r="E15" t="s">
        <v>19</v>
      </c>
      <c r="F15" t="s">
        <v>23</v>
      </c>
      <c r="G15" t="s">
        <v>25</v>
      </c>
      <c r="H15" t="s">
        <v>26</v>
      </c>
      <c r="I15" t="s">
        <v>27</v>
      </c>
    </row>
    <row r="16" spans="1:28" x14ac:dyDescent="0.35">
      <c r="C16" s="8"/>
      <c r="E16">
        <f t="shared" ref="E16:F21" si="0">AVERAGE(C2:E2)</f>
        <v>129.4793263301641</v>
      </c>
      <c r="F16">
        <f t="shared" si="0"/>
        <v>129.57118760925752</v>
      </c>
      <c r="G16" s="1">
        <f t="shared" ref="G16:G21" si="1">AVERAGE(U2:W2)</f>
        <v>133.06817643789807</v>
      </c>
      <c r="H16" s="1">
        <f t="shared" ref="H16:H21" si="2">AVERAGE(X2:AA2)</f>
        <v>135.58393864140862</v>
      </c>
      <c r="I16" s="1">
        <v>137.33713790472339</v>
      </c>
    </row>
    <row r="17" spans="3:9" x14ac:dyDescent="0.35">
      <c r="C17" s="8"/>
      <c r="E17">
        <f t="shared" si="0"/>
        <v>0.70423400586306195</v>
      </c>
      <c r="F17">
        <f t="shared" si="0"/>
        <v>0.70938820629447719</v>
      </c>
      <c r="G17" s="1">
        <f t="shared" si="1"/>
        <v>-0.37986375410384693</v>
      </c>
      <c r="H17" s="1">
        <f t="shared" si="2"/>
        <v>-0.41597940342774109</v>
      </c>
      <c r="I17" s="1">
        <v>-0.50856782155958058</v>
      </c>
    </row>
    <row r="18" spans="3:9" x14ac:dyDescent="0.35">
      <c r="C18" s="8"/>
      <c r="E18">
        <f t="shared" si="0"/>
        <v>2.1038150277120859</v>
      </c>
      <c r="F18">
        <f t="shared" si="0"/>
        <v>2.5067957132164511</v>
      </c>
      <c r="G18" s="1">
        <f t="shared" si="1"/>
        <v>1.4899340600548066</v>
      </c>
      <c r="H18" s="1">
        <f t="shared" si="2"/>
        <v>3.2286344494494514</v>
      </c>
      <c r="I18" s="1">
        <v>4.3730697172238244</v>
      </c>
    </row>
    <row r="19" spans="3:9" x14ac:dyDescent="0.35">
      <c r="C19" s="8"/>
      <c r="E19">
        <f t="shared" si="0"/>
        <v>3.7727100367589785</v>
      </c>
      <c r="F19">
        <f t="shared" si="0"/>
        <v>5.6727458229213736</v>
      </c>
      <c r="G19" s="1">
        <f t="shared" si="1"/>
        <v>4.9925120620788155</v>
      </c>
      <c r="H19" s="1">
        <f t="shared" si="2"/>
        <v>6.1312204920301729</v>
      </c>
      <c r="I19" s="1">
        <v>6.3674505414897773</v>
      </c>
    </row>
    <row r="20" spans="3:9" x14ac:dyDescent="0.35">
      <c r="C20" s="8"/>
      <c r="E20">
        <f t="shared" si="0"/>
        <v>2.8504881554049439</v>
      </c>
      <c r="F20">
        <f t="shared" si="0"/>
        <v>2.4232330813352374</v>
      </c>
      <c r="G20" s="1">
        <f t="shared" si="1"/>
        <v>1.2558866647038576</v>
      </c>
      <c r="H20" s="1">
        <f t="shared" si="2"/>
        <v>1.7793915614094578</v>
      </c>
      <c r="I20" s="1">
        <v>2.0486787892731662</v>
      </c>
    </row>
    <row r="21" spans="3:9" x14ac:dyDescent="0.35">
      <c r="C21" s="8"/>
      <c r="E21">
        <f t="shared" si="0"/>
        <v>138.9105735559032</v>
      </c>
      <c r="F21">
        <f t="shared" si="0"/>
        <v>140.88335043302507</v>
      </c>
      <c r="G21" s="1">
        <f t="shared" si="1"/>
        <v>140.42771287603878</v>
      </c>
      <c r="H21" s="1">
        <f t="shared" si="2"/>
        <v>146.30726553143822</v>
      </c>
      <c r="I21" s="1">
        <v>149.6191516521196</v>
      </c>
    </row>
    <row r="22" spans="3:9" x14ac:dyDescent="0.35">
      <c r="C22" s="8"/>
      <c r="E22">
        <f>SUM(C8:E8)</f>
        <v>46626770.609999999</v>
      </c>
      <c r="F22">
        <f>SUM(D8:F8)</f>
        <v>58831426.030000001</v>
      </c>
      <c r="G22" s="1">
        <f>SUM(U8:W8)</f>
        <v>201246674.83000004</v>
      </c>
      <c r="H22" s="1">
        <f>SUM(X8:AA8)</f>
        <v>244905621.10000002</v>
      </c>
      <c r="I22" s="1">
        <v>58437607.400000013</v>
      </c>
    </row>
    <row r="23" spans="3:9" x14ac:dyDescent="0.35">
      <c r="C23" s="8"/>
      <c r="E23">
        <f>AVERAGE(C9:E9)</f>
        <v>1.6172723622602625</v>
      </c>
      <c r="F23">
        <f>AVERAGE(D9:F9)</f>
        <v>1.454891217231145</v>
      </c>
      <c r="G23" s="1">
        <f>AVERAGE(U9:W9)</f>
        <v>1.5002665490702156</v>
      </c>
      <c r="H23" s="1">
        <f>AVERAGE(X9:AA9)</f>
        <v>1.4259528815613833</v>
      </c>
      <c r="I23" s="1">
        <v>1.411364921536596</v>
      </c>
    </row>
    <row r="24" spans="3:9" x14ac:dyDescent="0.35">
      <c r="C24" s="8"/>
      <c r="E24">
        <f>AVERAGE(C10:E10)</f>
        <v>0.20927874063707222</v>
      </c>
      <c r="F24">
        <f>AVERAGE(D10:F10)</f>
        <v>0.21538238455235373</v>
      </c>
      <c r="G24" s="1">
        <f>AVERAGE(U10:W10)</f>
        <v>0.23205876193280203</v>
      </c>
      <c r="H24" s="1">
        <f>AVERAGE(X10:AA10)</f>
        <v>0.22458012055129342</v>
      </c>
      <c r="I24" s="1">
        <v>0.22073316015324049</v>
      </c>
    </row>
    <row r="29" spans="3:9" x14ac:dyDescent="0.35">
      <c r="C29" t="s">
        <v>41</v>
      </c>
      <c r="D29" t="s">
        <v>15</v>
      </c>
      <c r="E29" t="s">
        <v>19</v>
      </c>
      <c r="F29" t="s">
        <v>23</v>
      </c>
      <c r="G29" t="s">
        <v>25</v>
      </c>
      <c r="H29" t="s">
        <v>26</v>
      </c>
      <c r="I29" t="s">
        <v>27</v>
      </c>
    </row>
    <row r="30" spans="3:9" x14ac:dyDescent="0.35">
      <c r="C30" t="s">
        <v>28</v>
      </c>
      <c r="D30" s="3">
        <v>140.4909509444019</v>
      </c>
      <c r="E30" s="3">
        <v>139.8796523785802</v>
      </c>
      <c r="F30" s="3">
        <v>139.9085743711621</v>
      </c>
      <c r="G30" s="3">
        <v>142.1674074161912</v>
      </c>
      <c r="H30" s="3">
        <v>142.94689934988679</v>
      </c>
      <c r="I30" s="3">
        <v>143.54181882626401</v>
      </c>
    </row>
    <row r="31" spans="3:9" x14ac:dyDescent="0.35">
      <c r="C31" t="s">
        <v>29</v>
      </c>
      <c r="D31" s="3">
        <v>1.457770459213009</v>
      </c>
      <c r="E31" s="3">
        <v>1.858122692845001</v>
      </c>
      <c r="F31" s="3">
        <v>1.2723136624678659</v>
      </c>
      <c r="G31" s="3">
        <v>0.33754175735191438</v>
      </c>
      <c r="H31" s="3">
        <v>0.31009057224235897</v>
      </c>
      <c r="I31" s="3">
        <v>0.3189612666179471</v>
      </c>
    </row>
    <row r="32" spans="3:9" x14ac:dyDescent="0.35">
      <c r="C32" t="s">
        <v>30</v>
      </c>
      <c r="D32" s="3">
        <v>-0.30240079339331272</v>
      </c>
      <c r="E32" s="3">
        <v>-0.35849527029085759</v>
      </c>
      <c r="F32" s="3">
        <v>0.64025968117814891</v>
      </c>
      <c r="G32" s="3">
        <v>0.82064237203291091</v>
      </c>
      <c r="H32" s="3">
        <v>0.9402321393873998</v>
      </c>
      <c r="I32" s="3">
        <v>0.74643148857063291</v>
      </c>
    </row>
    <row r="33" spans="3:9" x14ac:dyDescent="0.35">
      <c r="C33" t="s">
        <v>31</v>
      </c>
      <c r="D33" s="3">
        <v>-3.6904467872750248</v>
      </c>
      <c r="E33" s="3">
        <v>-1.5537897919556971</v>
      </c>
      <c r="F33" s="3">
        <v>-0.53154000313664129</v>
      </c>
      <c r="G33" s="3">
        <v>0.47648521966372342</v>
      </c>
      <c r="H33" s="3">
        <v>1.077952305359821</v>
      </c>
      <c r="I33" s="3">
        <v>1.314088692130762</v>
      </c>
    </row>
    <row r="34" spans="3:9" x14ac:dyDescent="0.35">
      <c r="C34" t="s">
        <v>32</v>
      </c>
      <c r="D34" s="3">
        <v>2.1270858727632318E-3</v>
      </c>
      <c r="E34" s="3">
        <v>0.21189420015197499</v>
      </c>
      <c r="F34" s="3">
        <v>3.2567675111481259E-2</v>
      </c>
      <c r="G34" s="3">
        <v>0.47670557087414961</v>
      </c>
      <c r="H34" s="3">
        <v>0.69858391764290872</v>
      </c>
      <c r="I34" s="3">
        <v>0.94607863642555001</v>
      </c>
    </row>
    <row r="35" spans="3:9" x14ac:dyDescent="0.35">
      <c r="C35" t="s">
        <v>33</v>
      </c>
      <c r="D35" s="3">
        <v>137.95800090881929</v>
      </c>
      <c r="E35" s="3">
        <v>140.03738420933061</v>
      </c>
      <c r="F35" s="3">
        <v>141.32217538678299</v>
      </c>
      <c r="G35" s="3">
        <v>144.27878233611389</v>
      </c>
      <c r="H35" s="3">
        <v>145.97375828451931</v>
      </c>
      <c r="I35" s="3">
        <v>146.86737891000891</v>
      </c>
    </row>
    <row r="36" spans="3:9" x14ac:dyDescent="0.35">
      <c r="C36" t="s">
        <v>34</v>
      </c>
      <c r="D36" s="3">
        <v>146137222.72999999</v>
      </c>
      <c r="E36" s="3">
        <v>300359129.88999999</v>
      </c>
      <c r="F36" s="3">
        <v>378587880.93999988</v>
      </c>
      <c r="G36" s="3">
        <v>559646274.66000009</v>
      </c>
      <c r="H36" s="3">
        <v>484195070.24999988</v>
      </c>
      <c r="I36" s="3">
        <v>226805813.58000001</v>
      </c>
    </row>
    <row r="37" spans="3:9" x14ac:dyDescent="0.35">
      <c r="C37" t="s">
        <v>35</v>
      </c>
      <c r="D37" s="3">
        <v>1.8512164924824099</v>
      </c>
      <c r="E37" s="3">
        <v>1.6904276467039649</v>
      </c>
      <c r="F37" s="3">
        <v>1.622984876537503</v>
      </c>
      <c r="G37" s="3">
        <v>1.5615508046580699</v>
      </c>
      <c r="H37" s="3">
        <v>1.527060926472056</v>
      </c>
      <c r="I37" s="3">
        <v>1.513933086626134</v>
      </c>
    </row>
    <row r="38" spans="3:9" x14ac:dyDescent="0.35">
      <c r="C38" t="s">
        <v>36</v>
      </c>
      <c r="D38" s="3">
        <v>0.24998024848832431</v>
      </c>
      <c r="E38" s="3">
        <v>0.2480324109985888</v>
      </c>
      <c r="F38" s="3">
        <v>0.24969758587396479</v>
      </c>
      <c r="G38" s="3">
        <v>0.2455734482704543</v>
      </c>
      <c r="H38" s="3">
        <v>0.24351314933617299</v>
      </c>
      <c r="I38" s="3">
        <v>0.24121498409033421</v>
      </c>
    </row>
    <row r="39" spans="3:9" x14ac:dyDescent="0.35">
      <c r="D39" s="3"/>
      <c r="E39" s="3"/>
      <c r="F39" s="3"/>
      <c r="G39" s="3"/>
      <c r="H39" s="3"/>
      <c r="I39" s="3"/>
    </row>
    <row r="40" spans="3:9" x14ac:dyDescent="0.35">
      <c r="C40" t="s">
        <v>43</v>
      </c>
      <c r="D40" s="3" t="s">
        <v>15</v>
      </c>
      <c r="E40" s="3" t="s">
        <v>19</v>
      </c>
      <c r="F40" s="3" t="s">
        <v>23</v>
      </c>
      <c r="G40" s="3" t="s">
        <v>25</v>
      </c>
      <c r="H40" s="3" t="s">
        <v>26</v>
      </c>
      <c r="I40" s="3" t="s">
        <v>27</v>
      </c>
    </row>
    <row r="41" spans="3:9" x14ac:dyDescent="0.35">
      <c r="C41" t="s">
        <v>28</v>
      </c>
      <c r="D41" s="3">
        <v>136.74075648017779</v>
      </c>
      <c r="E41" s="3">
        <v>139.14619257535159</v>
      </c>
      <c r="F41" s="3">
        <v>138.89574398351391</v>
      </c>
      <c r="G41" s="3">
        <v>141.264883179789</v>
      </c>
      <c r="H41" s="3">
        <v>142.0023003354755</v>
      </c>
      <c r="I41" s="3">
        <v>142.54834640263181</v>
      </c>
    </row>
    <row r="42" spans="3:9" x14ac:dyDescent="0.35">
      <c r="C42" t="s">
        <v>29</v>
      </c>
      <c r="D42" s="3">
        <v>0.4716337735053599</v>
      </c>
      <c r="E42" s="3">
        <v>0.86182839387379051</v>
      </c>
      <c r="F42" s="3">
        <v>1.6634828544725839</v>
      </c>
      <c r="G42" s="3">
        <v>2.3756396528142258</v>
      </c>
      <c r="H42" s="3">
        <v>2.6827230091745342</v>
      </c>
      <c r="I42" s="3">
        <v>2.7622327700302298</v>
      </c>
    </row>
    <row r="43" spans="3:9" x14ac:dyDescent="0.35">
      <c r="C43" t="s">
        <v>30</v>
      </c>
      <c r="D43" s="3">
        <v>-1.376284930485052</v>
      </c>
      <c r="E43" s="3">
        <v>0.18813216141839451</v>
      </c>
      <c r="F43" s="3">
        <v>2.68264900938019</v>
      </c>
      <c r="G43" s="3">
        <v>2.636387362866468</v>
      </c>
      <c r="H43" s="3">
        <v>2.746350230313007</v>
      </c>
      <c r="I43" s="3">
        <v>2.543417899879497</v>
      </c>
    </row>
    <row r="44" spans="3:9" x14ac:dyDescent="0.35">
      <c r="C44" t="s">
        <v>31</v>
      </c>
      <c r="D44" s="3">
        <v>3.637929355105892</v>
      </c>
      <c r="E44" s="3">
        <v>3.928769673673163</v>
      </c>
      <c r="F44" s="3">
        <v>4.2395847752806466</v>
      </c>
      <c r="G44" s="3">
        <v>3.5961696039123701</v>
      </c>
      <c r="H44" s="3">
        <v>3.975328040469067</v>
      </c>
      <c r="I44" s="3">
        <v>3.83524825468464</v>
      </c>
    </row>
    <row r="45" spans="3:9" x14ac:dyDescent="0.35">
      <c r="C45" t="s">
        <v>32</v>
      </c>
      <c r="D45" s="3">
        <v>-0.133504904615831</v>
      </c>
      <c r="E45" s="3">
        <v>-7.9046574678530268E-2</v>
      </c>
      <c r="F45" s="3">
        <v>-0.12682928609536981</v>
      </c>
      <c r="G45" s="3">
        <v>1.045161578932217E-3</v>
      </c>
      <c r="H45" s="3">
        <v>0.2494232469762922</v>
      </c>
      <c r="I45" s="3">
        <v>0.32930649109794752</v>
      </c>
    </row>
    <row r="46" spans="3:9" x14ac:dyDescent="0.35">
      <c r="C46" t="s">
        <v>33</v>
      </c>
      <c r="D46" s="3">
        <v>139.34052977368819</v>
      </c>
      <c r="E46" s="3">
        <v>144.0458762296384</v>
      </c>
      <c r="F46" s="3">
        <v>147.35463133655199</v>
      </c>
      <c r="G46" s="3">
        <v>149.87412496096101</v>
      </c>
      <c r="H46" s="3">
        <v>151.6561248624084</v>
      </c>
      <c r="I46" s="3">
        <v>152.01855181832411</v>
      </c>
    </row>
    <row r="47" spans="3:9" x14ac:dyDescent="0.35">
      <c r="C47" t="s">
        <v>34</v>
      </c>
      <c r="D47" s="3">
        <v>182046272.47999999</v>
      </c>
      <c r="E47" s="3">
        <v>308554811.26999998</v>
      </c>
      <c r="F47" s="3">
        <v>442907326.82999998</v>
      </c>
      <c r="G47" s="3">
        <v>469122344.36000001</v>
      </c>
      <c r="H47" s="3">
        <v>470121689.95999998</v>
      </c>
      <c r="I47" s="3">
        <v>197239883.56999999</v>
      </c>
    </row>
    <row r="48" spans="3:9" x14ac:dyDescent="0.35">
      <c r="C48" t="s">
        <v>35</v>
      </c>
      <c r="D48" s="3">
        <v>1.3971255186673801</v>
      </c>
      <c r="E48" s="3">
        <v>1.438039962055063</v>
      </c>
      <c r="F48" s="3">
        <v>1.415400126316426</v>
      </c>
      <c r="G48" s="3">
        <v>1.462588671426519</v>
      </c>
      <c r="H48" s="3">
        <v>1.4741773213022169</v>
      </c>
      <c r="I48" s="3">
        <v>1.497938123396616</v>
      </c>
    </row>
    <row r="49" spans="3:9" x14ac:dyDescent="0.35">
      <c r="C49" t="s">
        <v>36</v>
      </c>
      <c r="D49" s="3">
        <v>0.2446004373586666</v>
      </c>
      <c r="E49" s="3">
        <v>0.24614125734899031</v>
      </c>
      <c r="F49" s="3">
        <v>0.24668787338920301</v>
      </c>
      <c r="G49" s="3">
        <v>0.2449886965293776</v>
      </c>
      <c r="H49" s="3">
        <v>0.2428207765288872</v>
      </c>
      <c r="I49" s="3">
        <v>0.24218209834134741</v>
      </c>
    </row>
    <row r="50" spans="3:9" x14ac:dyDescent="0.35">
      <c r="D50" s="3"/>
      <c r="E50" s="3"/>
      <c r="F50" s="3"/>
      <c r="G50" s="3"/>
      <c r="H50" s="3"/>
      <c r="I50" s="3"/>
    </row>
    <row r="51" spans="3:9" x14ac:dyDescent="0.35">
      <c r="C51" t="s">
        <v>44</v>
      </c>
      <c r="D51" s="3" t="s">
        <v>15</v>
      </c>
      <c r="E51" s="3" t="s">
        <v>19</v>
      </c>
      <c r="F51" s="3" t="s">
        <v>23</v>
      </c>
      <c r="G51" s="3" t="s">
        <v>25</v>
      </c>
      <c r="H51" s="3" t="s">
        <v>26</v>
      </c>
      <c r="I51" s="3" t="s">
        <v>27</v>
      </c>
    </row>
    <row r="52" spans="3:9" x14ac:dyDescent="0.35">
      <c r="C52" t="s">
        <v>28</v>
      </c>
      <c r="D52" s="3">
        <v>138.41068507713069</v>
      </c>
      <c r="E52" s="3">
        <v>139.50798647333221</v>
      </c>
      <c r="F52" s="3">
        <v>139.36250910470341</v>
      </c>
      <c r="G52" s="3">
        <v>141.75585298325561</v>
      </c>
      <c r="H52" s="3">
        <v>142.48156487866589</v>
      </c>
      <c r="I52" s="3">
        <v>143.07971677810221</v>
      </c>
    </row>
    <row r="53" spans="3:9" x14ac:dyDescent="0.35">
      <c r="C53" t="s">
        <v>29</v>
      </c>
      <c r="D53" s="3">
        <v>0.91075176263296043</v>
      </c>
      <c r="E53" s="3">
        <v>1.3532707283739449</v>
      </c>
      <c r="F53" s="3">
        <v>1.483211668360515</v>
      </c>
      <c r="G53" s="3">
        <v>1.266922033030671</v>
      </c>
      <c r="H53" s="3">
        <v>1.4789120971404599</v>
      </c>
      <c r="I53" s="3">
        <v>1.4554203560553489</v>
      </c>
    </row>
    <row r="54" spans="3:9" x14ac:dyDescent="0.35">
      <c r="C54" t="s">
        <v>30</v>
      </c>
      <c r="D54" s="3">
        <v>-0.89809377334605833</v>
      </c>
      <c r="E54" s="3">
        <v>-8.1502886597454374E-2</v>
      </c>
      <c r="F54" s="3">
        <v>1.741409376446182</v>
      </c>
      <c r="G54" s="3">
        <v>1.6486288901978909</v>
      </c>
      <c r="H54" s="3">
        <v>1.8299737058945511</v>
      </c>
      <c r="I54" s="3">
        <v>1.5822786459067339</v>
      </c>
    </row>
    <row r="55" spans="3:9" x14ac:dyDescent="0.35">
      <c r="C55" t="s">
        <v>31</v>
      </c>
      <c r="D55" s="3">
        <v>0.37466794129514153</v>
      </c>
      <c r="E55" s="3">
        <v>1.224386214280883</v>
      </c>
      <c r="F55" s="3">
        <v>2.040801383147886</v>
      </c>
      <c r="G55" s="3">
        <v>1.8990729861880791</v>
      </c>
      <c r="H55" s="3">
        <v>2.5052762651097451</v>
      </c>
      <c r="I55" s="3">
        <v>2.486776498944224</v>
      </c>
    </row>
    <row r="56" spans="3:9" x14ac:dyDescent="0.35">
      <c r="C56" t="s">
        <v>32</v>
      </c>
      <c r="D56" s="3">
        <v>-7.3109172677325571E-2</v>
      </c>
      <c r="E56" s="3">
        <v>6.4465853056559108E-2</v>
      </c>
      <c r="F56" s="3">
        <v>-5.3370844462594533E-2</v>
      </c>
      <c r="G56" s="3">
        <v>0.25980264226385202</v>
      </c>
      <c r="H56" s="3">
        <v>0.47731548522966011</v>
      </c>
      <c r="I56" s="3">
        <v>0.65919430544128155</v>
      </c>
    </row>
    <row r="57" spans="3:9" x14ac:dyDescent="0.35">
      <c r="C57" t="s">
        <v>33</v>
      </c>
      <c r="D57" s="3">
        <v>138.72490183503541</v>
      </c>
      <c r="E57" s="3">
        <v>142.06860638244621</v>
      </c>
      <c r="F57" s="3">
        <v>144.57456068819539</v>
      </c>
      <c r="G57" s="3">
        <v>146.8302795349361</v>
      </c>
      <c r="H57" s="3">
        <v>148.77304243204031</v>
      </c>
      <c r="I57" s="3">
        <v>149.26338658444971</v>
      </c>
    </row>
    <row r="58" spans="3:9" x14ac:dyDescent="0.35">
      <c r="C58" t="s">
        <v>34</v>
      </c>
      <c r="D58" s="3">
        <v>328183495.20999998</v>
      </c>
      <c r="E58" s="3">
        <v>608913941.15999997</v>
      </c>
      <c r="F58" s="3">
        <v>821495207.76999998</v>
      </c>
      <c r="G58" s="3">
        <v>1028768619.02</v>
      </c>
      <c r="H58" s="3">
        <v>954316760.21000004</v>
      </c>
      <c r="I58" s="3">
        <v>424045697.14999998</v>
      </c>
    </row>
    <row r="59" spans="3:9" x14ac:dyDescent="0.35">
      <c r="C59" t="s">
        <v>35</v>
      </c>
      <c r="D59" s="3">
        <v>1.5993282337601269</v>
      </c>
      <c r="E59" s="2">
        <v>1.562535297490611</v>
      </c>
      <c r="F59" s="3">
        <v>1.5110660169489369</v>
      </c>
      <c r="G59" s="3">
        <v>1.5164237011615851</v>
      </c>
      <c r="H59" s="3">
        <v>1.501009063117847</v>
      </c>
      <c r="I59" s="3">
        <v>1.5064932170406149</v>
      </c>
    </row>
    <row r="60" spans="3:9" x14ac:dyDescent="0.35">
      <c r="C60" t="s">
        <v>36</v>
      </c>
      <c r="D60" s="3">
        <v>0.2469960199177379</v>
      </c>
      <c r="E60" s="3">
        <v>0.24707410717601119</v>
      </c>
      <c r="F60" s="3">
        <v>0.24807490603536739</v>
      </c>
      <c r="G60" s="3">
        <v>0.24530679928586169</v>
      </c>
      <c r="H60" s="3">
        <v>0.24317206816919029</v>
      </c>
      <c r="I60" s="3">
        <v>0.2416648259435844</v>
      </c>
    </row>
    <row r="63" spans="3:9" x14ac:dyDescent="0.35">
      <c r="C63" t="s">
        <v>73</v>
      </c>
      <c r="D63" t="s">
        <v>15</v>
      </c>
      <c r="E63" t="s">
        <v>19</v>
      </c>
      <c r="F63" t="s">
        <v>23</v>
      </c>
      <c r="G63" t="s">
        <v>25</v>
      </c>
      <c r="H63" t="s">
        <v>26</v>
      </c>
      <c r="I63" t="s">
        <v>27</v>
      </c>
    </row>
    <row r="64" spans="3:9" x14ac:dyDescent="0.35">
      <c r="E64">
        <v>129.4793263301641</v>
      </c>
      <c r="F64">
        <v>129.57118760925749</v>
      </c>
      <c r="G64">
        <v>133.0681764378981</v>
      </c>
      <c r="H64">
        <v>135.58393864140859</v>
      </c>
      <c r="I64">
        <v>137.33713790472339</v>
      </c>
    </row>
    <row r="65" spans="3:9" x14ac:dyDescent="0.35">
      <c r="E65">
        <v>0.70423400586306195</v>
      </c>
      <c r="F65">
        <v>0.70938820629447719</v>
      </c>
      <c r="G65">
        <v>-0.37986375410384687</v>
      </c>
      <c r="H65">
        <v>-0.41597940342774109</v>
      </c>
      <c r="I65">
        <v>-0.50856782155958058</v>
      </c>
    </row>
    <row r="66" spans="3:9" x14ac:dyDescent="0.35">
      <c r="E66">
        <v>2.1038150277120859</v>
      </c>
      <c r="F66">
        <v>2.5067957132164511</v>
      </c>
      <c r="G66">
        <v>1.489934060054807</v>
      </c>
      <c r="H66">
        <v>3.228634449449451</v>
      </c>
      <c r="I66">
        <v>4.3730697172238244</v>
      </c>
    </row>
    <row r="67" spans="3:9" x14ac:dyDescent="0.35">
      <c r="E67">
        <v>3.772710036758979</v>
      </c>
      <c r="F67">
        <v>5.6727458229213736</v>
      </c>
      <c r="G67">
        <v>4.9925120620788146</v>
      </c>
      <c r="H67">
        <v>6.1312204920301729</v>
      </c>
      <c r="I67">
        <v>6.3674505414897773</v>
      </c>
    </row>
    <row r="68" spans="3:9" x14ac:dyDescent="0.35">
      <c r="E68">
        <v>2.8504881554049439</v>
      </c>
      <c r="F68">
        <v>2.423233081335237</v>
      </c>
      <c r="G68">
        <v>1.255886664703858</v>
      </c>
      <c r="H68">
        <v>1.779391561409458</v>
      </c>
      <c r="I68">
        <v>2.0486787892731662</v>
      </c>
    </row>
    <row r="69" spans="3:9" x14ac:dyDescent="0.35">
      <c r="E69">
        <v>138.9105735559032</v>
      </c>
      <c r="F69">
        <v>140.8833504330251</v>
      </c>
      <c r="G69">
        <v>140.42771287603881</v>
      </c>
      <c r="H69">
        <v>146.30726553143819</v>
      </c>
      <c r="I69">
        <v>149.6191516521196</v>
      </c>
    </row>
    <row r="70" spans="3:9" x14ac:dyDescent="0.35">
      <c r="E70">
        <v>46626770.609999999</v>
      </c>
      <c r="F70">
        <v>58831426.030000001</v>
      </c>
      <c r="G70">
        <v>201246674.83000001</v>
      </c>
      <c r="H70">
        <v>244905621.09999999</v>
      </c>
      <c r="I70">
        <v>58437607.400000013</v>
      </c>
    </row>
    <row r="71" spans="3:9" x14ac:dyDescent="0.35">
      <c r="E71">
        <v>1.6172723622602621</v>
      </c>
      <c r="F71">
        <v>1.454891217231145</v>
      </c>
      <c r="G71">
        <v>1.5002665490702161</v>
      </c>
      <c r="H71">
        <v>1.4259528815613829</v>
      </c>
      <c r="I71">
        <v>1.411364921536596</v>
      </c>
    </row>
    <row r="72" spans="3:9" x14ac:dyDescent="0.35">
      <c r="E72">
        <v>0.20927874063707219</v>
      </c>
      <c r="F72">
        <v>0.2153823845523537</v>
      </c>
      <c r="G72">
        <v>0.232058761932802</v>
      </c>
      <c r="H72">
        <v>0.22458012055129339</v>
      </c>
      <c r="I72">
        <v>0.22073316015324049</v>
      </c>
    </row>
    <row r="74" spans="3:9" x14ac:dyDescent="0.35">
      <c r="E74" s="3">
        <f>SUM(E70,E58)</f>
        <v>655540711.76999998</v>
      </c>
      <c r="F74" s="3">
        <f>SUM(F70,F58)</f>
        <v>880326633.79999995</v>
      </c>
      <c r="G74" s="3">
        <f>SUM(G70,G58)</f>
        <v>1230015293.8499999</v>
      </c>
      <c r="H74" s="3">
        <f>SUM(H70,H58)</f>
        <v>1199222381.3099999</v>
      </c>
      <c r="I74" s="3">
        <f>SUM(I70,I58)</f>
        <v>482483304.55000001</v>
      </c>
    </row>
    <row r="75" spans="3:9" x14ac:dyDescent="0.35">
      <c r="E75">
        <f>E70/E74</f>
        <v>7.1127192823928306E-2</v>
      </c>
      <c r="F75">
        <f>F70/F74</f>
        <v>6.6829087944379764E-2</v>
      </c>
      <c r="G75">
        <f>G70/G74</f>
        <v>0.16361314841873992</v>
      </c>
      <c r="H75">
        <f>H70/H74</f>
        <v>0.20422035555446466</v>
      </c>
      <c r="I75">
        <f>I70/I74</f>
        <v>0.12111840316320022</v>
      </c>
    </row>
    <row r="76" spans="3:9" x14ac:dyDescent="0.35">
      <c r="C76" s="4" t="s">
        <v>74</v>
      </c>
    </row>
    <row r="77" spans="3:9" x14ac:dyDescent="0.35">
      <c r="C77" t="s">
        <v>28</v>
      </c>
      <c r="D77" s="1">
        <f t="shared" ref="D77:D85" si="3">D52</f>
        <v>138.41068507713069</v>
      </c>
      <c r="E77" s="1">
        <f t="shared" ref="E77:I85" si="4">E52*E$58/E$74+E64*E$70/E$74</f>
        <v>138.79467602956345</v>
      </c>
      <c r="F77" s="1">
        <f t="shared" si="4"/>
        <v>138.70816401939254</v>
      </c>
      <c r="G77" s="1">
        <f t="shared" si="4"/>
        <v>140.33443487122605</v>
      </c>
      <c r="H77" s="1">
        <f t="shared" si="4"/>
        <v>141.07292919601142</v>
      </c>
      <c r="I77" s="1">
        <f t="shared" si="4"/>
        <v>142.38418479491983</v>
      </c>
    </row>
    <row r="78" spans="3:9" x14ac:dyDescent="0.35">
      <c r="C78" t="s">
        <v>29</v>
      </c>
      <c r="D78" s="1">
        <f t="shared" si="3"/>
        <v>0.91075176263296043</v>
      </c>
      <c r="E78" s="1">
        <f t="shared" si="4"/>
        <v>1.3071065682621028</v>
      </c>
      <c r="F78" s="1">
        <f t="shared" si="4"/>
        <v>1.4314977521606793</v>
      </c>
      <c r="G78" s="1">
        <f t="shared" si="4"/>
        <v>0.9974862256263598</v>
      </c>
      <c r="H78" s="1">
        <f t="shared" si="4"/>
        <v>1.091936681157289</v>
      </c>
      <c r="I78" s="1">
        <f t="shared" si="4"/>
        <v>1.2175452441512249</v>
      </c>
    </row>
    <row r="79" spans="3:9" x14ac:dyDescent="0.35">
      <c r="C79" t="s">
        <v>30</v>
      </c>
      <c r="D79" s="1">
        <f t="shared" si="3"/>
        <v>-0.89809377334605833</v>
      </c>
      <c r="E79" s="1">
        <f t="shared" si="4"/>
        <v>7.3932642075225138E-2</v>
      </c>
      <c r="F79" s="1">
        <f t="shared" si="4"/>
        <v>1.7925594472576289</v>
      </c>
      <c r="G79" s="1">
        <f t="shared" si="4"/>
        <v>1.6226643294004039</v>
      </c>
      <c r="H79" s="1">
        <f t="shared" si="4"/>
        <v>2.1156087002434045</v>
      </c>
      <c r="I79" s="1">
        <f t="shared" si="4"/>
        <v>1.9202948040267769</v>
      </c>
    </row>
    <row r="80" spans="3:9" x14ac:dyDescent="0.35">
      <c r="C80" t="s">
        <v>31</v>
      </c>
      <c r="D80" s="1">
        <f t="shared" si="3"/>
        <v>0.37466794129514153</v>
      </c>
      <c r="E80" s="1">
        <f t="shared" si="4"/>
        <v>1.4056413341800926</v>
      </c>
      <c r="F80" s="1">
        <f t="shared" si="4"/>
        <v>2.2835209175226097</v>
      </c>
      <c r="G80" s="1">
        <f t="shared" si="4"/>
        <v>2.4052002928361196</v>
      </c>
      <c r="H80" s="1">
        <f t="shared" si="4"/>
        <v>3.2457678843520936</v>
      </c>
      <c r="I80" s="1">
        <f t="shared" si="4"/>
        <v>2.9567975421742219</v>
      </c>
    </row>
    <row r="81" spans="3:9" x14ac:dyDescent="0.35">
      <c r="C81" t="s">
        <v>32</v>
      </c>
      <c r="D81" s="1">
        <f t="shared" si="3"/>
        <v>-7.3109172677325571E-2</v>
      </c>
      <c r="E81" s="1">
        <f t="shared" si="4"/>
        <v>0.26262779856745738</v>
      </c>
      <c r="F81" s="1">
        <f t="shared" si="4"/>
        <v>0.11213833709794493</v>
      </c>
      <c r="G81" s="1">
        <f t="shared" si="4"/>
        <v>0.42277508526486418</v>
      </c>
      <c r="H81" s="1">
        <f t="shared" si="4"/>
        <v>0.74322592446606062</v>
      </c>
      <c r="I81" s="1">
        <f t="shared" si="4"/>
        <v>0.827486447343043</v>
      </c>
    </row>
    <row r="82" spans="3:9" x14ac:dyDescent="0.35">
      <c r="C82" t="s">
        <v>33</v>
      </c>
      <c r="D82" s="3">
        <f t="shared" si="3"/>
        <v>138.72490183503541</v>
      </c>
      <c r="E82" s="3">
        <f t="shared" si="4"/>
        <v>141.84398437264838</v>
      </c>
      <c r="F82" s="3">
        <f t="shared" si="4"/>
        <v>144.32788047343143</v>
      </c>
      <c r="G82" s="3">
        <f t="shared" si="4"/>
        <v>145.78273544591306</v>
      </c>
      <c r="H82" s="3">
        <f t="shared" si="4"/>
        <v>148.26948059668138</v>
      </c>
      <c r="I82" s="3">
        <f t="shared" si="4"/>
        <v>149.30647628134713</v>
      </c>
    </row>
    <row r="83" spans="3:9" x14ac:dyDescent="0.35">
      <c r="C83" t="s">
        <v>34</v>
      </c>
      <c r="D83" s="1">
        <f t="shared" si="3"/>
        <v>328183495.20999998</v>
      </c>
      <c r="E83" s="1">
        <f t="shared" si="4"/>
        <v>568920033.1578691</v>
      </c>
      <c r="F83" s="1">
        <f t="shared" si="4"/>
        <v>770527082.82810426</v>
      </c>
      <c r="G83" s="1">
        <f t="shared" si="4"/>
        <v>893375148.34547734</v>
      </c>
      <c r="H83" s="1">
        <f t="shared" si="4"/>
        <v>809440565.14665818</v>
      </c>
      <c r="I83" s="1">
        <f t="shared" si="4"/>
        <v>379763829.13593197</v>
      </c>
    </row>
    <row r="84" spans="3:9" x14ac:dyDescent="0.35">
      <c r="C84" t="s">
        <v>35</v>
      </c>
      <c r="D84" s="1">
        <f t="shared" si="3"/>
        <v>1.5993282337601269</v>
      </c>
      <c r="E84" s="1">
        <f t="shared" si="4"/>
        <v>1.5664285912510978</v>
      </c>
      <c r="F84" s="1">
        <f t="shared" si="4"/>
        <v>1.5073119063183387</v>
      </c>
      <c r="G84" s="1">
        <f t="shared" si="4"/>
        <v>1.5137801786384359</v>
      </c>
      <c r="H84" s="1">
        <f t="shared" si="4"/>
        <v>1.4856810630338255</v>
      </c>
      <c r="I84" s="1">
        <f t="shared" si="4"/>
        <v>1.494971429793531</v>
      </c>
    </row>
    <row r="85" spans="3:9" x14ac:dyDescent="0.35">
      <c r="C85" t="s">
        <v>36</v>
      </c>
      <c r="D85" s="1">
        <f t="shared" si="3"/>
        <v>0.2469960199177379</v>
      </c>
      <c r="E85" s="1">
        <f t="shared" si="4"/>
        <v>0.24438582885234506</v>
      </c>
      <c r="F85" s="1">
        <f t="shared" si="4"/>
        <v>0.24589009464205558</v>
      </c>
      <c r="G85" s="1">
        <f t="shared" si="4"/>
        <v>0.24313924618415855</v>
      </c>
      <c r="H85" s="1">
        <f t="shared" si="4"/>
        <v>0.23937521401621342</v>
      </c>
      <c r="I85" s="1">
        <f t="shared" si="4"/>
        <v>0.23912961600751217</v>
      </c>
    </row>
  </sheetData>
  <mergeCells count="1">
    <mergeCell ref="C15:C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8"/>
  <sheetViews>
    <sheetView topLeftCell="E1" zoomScale="175" zoomScaleNormal="175" workbookViewId="0">
      <selection activeCell="O13" sqref="O13:O14"/>
    </sheetView>
  </sheetViews>
  <sheetFormatPr defaultRowHeight="14.5" x14ac:dyDescent="0.35"/>
  <sheetData>
    <row r="1" spans="1:2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35">
      <c r="A2" t="s">
        <v>28</v>
      </c>
      <c r="B2">
        <v>131.7721135565809</v>
      </c>
      <c r="C2">
        <v>133.6762745166736</v>
      </c>
      <c r="D2">
        <v>135.30849007606599</v>
      </c>
      <c r="E2">
        <v>135.8053435104764</v>
      </c>
      <c r="F2">
        <v>134.5779548085435</v>
      </c>
      <c r="G2">
        <v>135.17083101332781</v>
      </c>
      <c r="H2">
        <v>135.3613360699463</v>
      </c>
      <c r="I2">
        <v>134.4036045995351</v>
      </c>
      <c r="J2">
        <v>134.09620938166361</v>
      </c>
      <c r="K2">
        <v>135.85072691788909</v>
      </c>
      <c r="L2">
        <v>136.13007717311399</v>
      </c>
      <c r="M2">
        <v>136.74340071107</v>
      </c>
      <c r="N2">
        <v>136.65782185978489</v>
      </c>
      <c r="O2">
        <v>136.84571607120779</v>
      </c>
      <c r="P2">
        <v>136.43142066895231</v>
      </c>
      <c r="Q2">
        <v>137.01352189725151</v>
      </c>
      <c r="R2">
        <v>136.36704770915631</v>
      </c>
      <c r="S2">
        <v>137.120168453855</v>
      </c>
      <c r="T2">
        <v>138.0843983214483</v>
      </c>
      <c r="U2">
        <v>136.80148153870991</v>
      </c>
      <c r="V2">
        <v>136.78576097101271</v>
      </c>
      <c r="W2">
        <v>138.00562299033371</v>
      </c>
      <c r="X2">
        <v>138.5463277115947</v>
      </c>
      <c r="Y2">
        <v>139.37675359758859</v>
      </c>
      <c r="Z2">
        <v>140.28409247817751</v>
      </c>
      <c r="AA2">
        <v>140.93084011130969</v>
      </c>
      <c r="AB2">
        <v>141.40973120928021</v>
      </c>
    </row>
    <row r="3" spans="1:28" x14ac:dyDescent="0.35">
      <c r="A3" t="s">
        <v>29</v>
      </c>
      <c r="B3">
        <v>1.427715527691134</v>
      </c>
      <c r="C3">
        <v>1.30155061411773</v>
      </c>
      <c r="D3">
        <v>0.58804009877763974</v>
      </c>
      <c r="E3">
        <v>1.0544037533636581</v>
      </c>
      <c r="F3">
        <v>1.310539453300265</v>
      </c>
      <c r="G3">
        <v>1.3476928317091961</v>
      </c>
      <c r="H3">
        <v>1.1497054349041489</v>
      </c>
      <c r="I3">
        <v>0.85646355864636803</v>
      </c>
      <c r="J3">
        <v>1.2497321644444239</v>
      </c>
      <c r="K3">
        <v>1.204508712398052</v>
      </c>
      <c r="L3">
        <v>1.228731089481641</v>
      </c>
      <c r="M3">
        <v>1.179771635739399</v>
      </c>
      <c r="N3">
        <v>0.74888811985982784</v>
      </c>
      <c r="O3">
        <v>1.179464461810682</v>
      </c>
      <c r="P3">
        <v>0.67547545949534538</v>
      </c>
      <c r="Q3">
        <v>0.77321699751595929</v>
      </c>
      <c r="R3">
        <v>0.57116924716817152</v>
      </c>
      <c r="S3">
        <v>1.11768410571662</v>
      </c>
      <c r="T3">
        <v>0.9327963636397385</v>
      </c>
      <c r="U3">
        <v>1.0696154548400609</v>
      </c>
      <c r="V3">
        <v>1.381475128993628</v>
      </c>
      <c r="W3">
        <v>2.4533524909418531</v>
      </c>
      <c r="X3">
        <v>2.8802446618465471</v>
      </c>
      <c r="Y3">
        <v>2.8627939109278491</v>
      </c>
      <c r="Z3">
        <v>2.9723329362028892</v>
      </c>
      <c r="AA3">
        <v>3.3375982436388369</v>
      </c>
      <c r="AB3">
        <v>3.5217776999059249</v>
      </c>
    </row>
    <row r="4" spans="1:28" x14ac:dyDescent="0.35">
      <c r="A4" t="s">
        <v>30</v>
      </c>
      <c r="B4">
        <v>-0.4492567376288652</v>
      </c>
      <c r="C4">
        <v>-0.87015640092309443</v>
      </c>
      <c r="D4">
        <v>-0.1958965874540724</v>
      </c>
      <c r="E4">
        <v>0.71954500196696858</v>
      </c>
      <c r="F4">
        <v>0.46545142802696521</v>
      </c>
      <c r="G4">
        <v>0.26692905899011032</v>
      </c>
      <c r="H4">
        <v>8.1403434086355558E-2</v>
      </c>
      <c r="I4">
        <v>-0.72019522395699509</v>
      </c>
      <c r="J4">
        <v>-1.489458364038851</v>
      </c>
      <c r="K4">
        <v>-1.512829650447552</v>
      </c>
      <c r="L4">
        <v>-1.9972198929346621</v>
      </c>
      <c r="M4">
        <v>-1.363084562836574</v>
      </c>
      <c r="N4">
        <v>-1.4742183035624981</v>
      </c>
      <c r="O4">
        <v>-1.2882683274664439</v>
      </c>
      <c r="P4">
        <v>-1.213035179790539</v>
      </c>
      <c r="Q4">
        <v>-1.156396390709129</v>
      </c>
      <c r="R4">
        <v>-0.78683404162404846</v>
      </c>
      <c r="S4">
        <v>-0.24207237920721031</v>
      </c>
      <c r="T4">
        <v>0.74686457562311492</v>
      </c>
      <c r="U4">
        <v>1.2733114712265421</v>
      </c>
      <c r="V4">
        <v>0.81063019726736674</v>
      </c>
      <c r="W4">
        <v>1.447945501826337</v>
      </c>
      <c r="X4">
        <v>2.676430891979706</v>
      </c>
      <c r="Y4">
        <v>2.814985527132511</v>
      </c>
      <c r="Z4">
        <v>2.1170107624437571</v>
      </c>
      <c r="AA4">
        <v>3.1963828146616802</v>
      </c>
      <c r="AB4">
        <v>3.52634012063664</v>
      </c>
    </row>
    <row r="5" spans="1:28" x14ac:dyDescent="0.35">
      <c r="A5" t="s">
        <v>31</v>
      </c>
      <c r="B5">
        <v>0.35432842247148</v>
      </c>
      <c r="C5">
        <v>3.0654302457673529E-2</v>
      </c>
      <c r="D5">
        <v>2.926493005111884</v>
      </c>
      <c r="E5">
        <v>2.8063486777525619</v>
      </c>
      <c r="F5">
        <v>2.4886397681883179</v>
      </c>
      <c r="G5">
        <v>4.7454806465194332</v>
      </c>
      <c r="H5">
        <v>3.7472404848341081</v>
      </c>
      <c r="I5">
        <v>4.0422012738563868</v>
      </c>
      <c r="J5">
        <v>3.5094670000568882</v>
      </c>
      <c r="K5">
        <v>2.420009280819698</v>
      </c>
      <c r="L5">
        <v>1.873273488494388</v>
      </c>
      <c r="M5">
        <v>1.1659172741830801</v>
      </c>
      <c r="N5">
        <v>1.04710858343552</v>
      </c>
      <c r="O5">
        <v>2.2466139621308892</v>
      </c>
      <c r="P5">
        <v>2.774018300529455</v>
      </c>
      <c r="Q5">
        <v>2.260004932129811</v>
      </c>
      <c r="R5">
        <v>2.0268875980650551</v>
      </c>
      <c r="S5">
        <v>2.5375515013025591</v>
      </c>
      <c r="T5">
        <v>3.71877103298009</v>
      </c>
      <c r="U5">
        <v>3.3908765401126399</v>
      </c>
      <c r="V5">
        <v>3.4875807592969381</v>
      </c>
      <c r="W5">
        <v>4.0814780670373167</v>
      </c>
      <c r="X5">
        <v>3.9480042999769629</v>
      </c>
      <c r="Y5">
        <v>4.2455034109636873</v>
      </c>
      <c r="Z5">
        <v>4.2137597442608978</v>
      </c>
      <c r="AA5">
        <v>4.1450228273434444</v>
      </c>
      <c r="AB5">
        <v>4.1932112260899999</v>
      </c>
    </row>
    <row r="6" spans="1:28" x14ac:dyDescent="0.35">
      <c r="A6" t="s">
        <v>32</v>
      </c>
      <c r="B6">
        <v>0.47807686853007009</v>
      </c>
      <c r="C6">
        <v>7.4081151269965173E-2</v>
      </c>
      <c r="D6">
        <v>0.29122095799748482</v>
      </c>
      <c r="E6">
        <v>0.70565086184291759</v>
      </c>
      <c r="F6">
        <v>0.13307926452584631</v>
      </c>
      <c r="G6">
        <v>0.2541439870522505</v>
      </c>
      <c r="H6">
        <v>0.1391004365559759</v>
      </c>
      <c r="I6">
        <v>0.1200504105858682</v>
      </c>
      <c r="J6">
        <v>-0.10323072180527031</v>
      </c>
      <c r="K6">
        <v>-0.30031517263059082</v>
      </c>
      <c r="L6">
        <v>-0.31858022924733442</v>
      </c>
      <c r="M6">
        <v>-0.47618068421922338</v>
      </c>
      <c r="N6">
        <v>-0.58859279008307619</v>
      </c>
      <c r="O6">
        <v>-0.75220205278682561</v>
      </c>
      <c r="P6">
        <v>-0.52264251608503121</v>
      </c>
      <c r="Q6">
        <v>-0.49266040773684838</v>
      </c>
      <c r="R6">
        <v>-0.56801724257980524</v>
      </c>
      <c r="S6">
        <v>-0.1976354930988922</v>
      </c>
      <c r="T6">
        <v>-0.16603309240381839</v>
      </c>
      <c r="U6">
        <v>-2.6250852472268219E-2</v>
      </c>
      <c r="V6">
        <v>-8.4813670935715013E-2</v>
      </c>
      <c r="W6">
        <v>0.38209808825929342</v>
      </c>
      <c r="X6">
        <v>0.69830467506577287</v>
      </c>
      <c r="Y6">
        <v>0.54774548156697433</v>
      </c>
      <c r="Z6">
        <v>0.56620519573881645</v>
      </c>
      <c r="AA6">
        <v>1.2983471581851149</v>
      </c>
      <c r="AB6">
        <v>1.4419864576550869</v>
      </c>
    </row>
    <row r="7" spans="1:28" x14ac:dyDescent="0.35">
      <c r="A7" t="s">
        <v>33</v>
      </c>
      <c r="B7">
        <v>133.58297763764469</v>
      </c>
      <c r="C7">
        <v>134.21240418359591</v>
      </c>
      <c r="D7">
        <v>138.91834755049891</v>
      </c>
      <c r="E7">
        <v>141.09129180540251</v>
      </c>
      <c r="F7">
        <v>138.97566472258481</v>
      </c>
      <c r="G7">
        <v>141.7850775375988</v>
      </c>
      <c r="H7">
        <v>140.47878586032681</v>
      </c>
      <c r="I7">
        <v>138.70212461866669</v>
      </c>
      <c r="J7">
        <v>137.26271946032091</v>
      </c>
      <c r="K7">
        <v>137.66210008802869</v>
      </c>
      <c r="L7">
        <v>136.91628162890811</v>
      </c>
      <c r="M7">
        <v>137.24982437393669</v>
      </c>
      <c r="N7">
        <v>136.3910074694347</v>
      </c>
      <c r="O7">
        <v>138.2313241148961</v>
      </c>
      <c r="P7">
        <v>138.14523673310151</v>
      </c>
      <c r="Q7">
        <v>138.39768702845129</v>
      </c>
      <c r="R7">
        <v>137.61025327018569</v>
      </c>
      <c r="S7">
        <v>140.33569618856811</v>
      </c>
      <c r="T7">
        <v>143.31679720128739</v>
      </c>
      <c r="U7">
        <v>142.5090341524168</v>
      </c>
      <c r="V7">
        <v>142.38063338563489</v>
      </c>
      <c r="W7">
        <v>146.37049713839849</v>
      </c>
      <c r="X7">
        <v>148.74931224046369</v>
      </c>
      <c r="Y7">
        <v>149.84778192817959</v>
      </c>
      <c r="Z7">
        <v>150.1534011168238</v>
      </c>
      <c r="AA7">
        <v>152.90819115513881</v>
      </c>
      <c r="AB7">
        <v>154.09304671356779</v>
      </c>
    </row>
    <row r="8" spans="1:28" x14ac:dyDescent="0.35">
      <c r="A8" t="s">
        <v>34</v>
      </c>
      <c r="B8">
        <v>31827755.100000001</v>
      </c>
      <c r="C8">
        <v>27582484.550000001</v>
      </c>
      <c r="D8">
        <v>26537861.57</v>
      </c>
      <c r="E8">
        <v>21744919.07</v>
      </c>
      <c r="F8">
        <v>32432692.210000001</v>
      </c>
      <c r="G8">
        <v>38979895.490000002</v>
      </c>
      <c r="H8">
        <v>26390281.350000001</v>
      </c>
      <c r="I8">
        <v>22864958.82</v>
      </c>
      <c r="J8">
        <v>23372868.48</v>
      </c>
      <c r="K8">
        <v>23592239.390000001</v>
      </c>
      <c r="L8">
        <v>23608163.829999998</v>
      </c>
      <c r="M8">
        <v>16038656.35</v>
      </c>
      <c r="N8">
        <v>16339996.310000001</v>
      </c>
      <c r="O8">
        <v>16389001.32</v>
      </c>
      <c r="P8">
        <v>23498193.48</v>
      </c>
      <c r="Q8">
        <v>26954132.98</v>
      </c>
      <c r="R8">
        <v>45083785.539999999</v>
      </c>
      <c r="S8">
        <v>43529789.18</v>
      </c>
      <c r="T8">
        <v>30850536.109999999</v>
      </c>
      <c r="U8">
        <v>32083492.920000002</v>
      </c>
      <c r="V8">
        <v>55640102.170000002</v>
      </c>
      <c r="W8">
        <v>57827132.43</v>
      </c>
      <c r="X8">
        <v>51238052.810000002</v>
      </c>
      <c r="Y8">
        <v>39321771.86999999</v>
      </c>
      <c r="Z8">
        <v>52913480.430000007</v>
      </c>
      <c r="AA8">
        <v>66262932</v>
      </c>
      <c r="AB8">
        <v>54160040.989999987</v>
      </c>
    </row>
    <row r="9" spans="1:28" x14ac:dyDescent="0.35">
      <c r="A9" t="s">
        <v>35</v>
      </c>
      <c r="B9">
        <v>1.9003904499868409</v>
      </c>
      <c r="C9">
        <v>1.936508099705875</v>
      </c>
      <c r="D9">
        <v>1.655083008913782</v>
      </c>
      <c r="E9">
        <v>1.665122660243012</v>
      </c>
      <c r="F9">
        <v>1.692267925944934</v>
      </c>
      <c r="G9">
        <v>1.5166369755675539</v>
      </c>
      <c r="H9">
        <v>1.589608990367072</v>
      </c>
      <c r="I9">
        <v>1.5673265154523339</v>
      </c>
      <c r="J9">
        <v>1.608037888059622</v>
      </c>
      <c r="K9">
        <v>1.698248416007345</v>
      </c>
      <c r="L9">
        <v>1.7474446083826121</v>
      </c>
      <c r="M9">
        <v>1.8154877346529761</v>
      </c>
      <c r="N9">
        <v>1.8274395506364149</v>
      </c>
      <c r="O9">
        <v>1.713548163063412</v>
      </c>
      <c r="P9">
        <v>1.6678451237762311</v>
      </c>
      <c r="Q9">
        <v>1.7123567785272109</v>
      </c>
      <c r="R9">
        <v>1.7333365654272279</v>
      </c>
      <c r="S9">
        <v>1.6880313788450529</v>
      </c>
      <c r="T9">
        <v>1.591793255859747</v>
      </c>
      <c r="U9">
        <v>1.6173900094545819</v>
      </c>
      <c r="V9">
        <v>1.6097557045642981</v>
      </c>
      <c r="W9">
        <v>1.564406437495814</v>
      </c>
      <c r="X9">
        <v>1.5743743188002051</v>
      </c>
      <c r="Y9">
        <v>1.55232847921037</v>
      </c>
      <c r="Z9">
        <v>1.554651339394107</v>
      </c>
      <c r="AA9">
        <v>1.5597051026756179</v>
      </c>
      <c r="AB9">
        <v>1.5561586985647471</v>
      </c>
    </row>
    <row r="10" spans="1:28" x14ac:dyDescent="0.35">
      <c r="A10" t="s">
        <v>36</v>
      </c>
      <c r="B10">
        <v>0.2431703304495704</v>
      </c>
      <c r="C10">
        <v>0.2489416978390005</v>
      </c>
      <c r="D10">
        <v>0.2458397006000359</v>
      </c>
      <c r="E10">
        <v>0.239919273402244</v>
      </c>
      <c r="F10">
        <v>0.24809886764963079</v>
      </c>
      <c r="G10">
        <v>0.24636937161353931</v>
      </c>
      <c r="H10">
        <v>0.2480128509063432</v>
      </c>
      <c r="I10">
        <v>0.2482849941344876</v>
      </c>
      <c r="J10">
        <v>0.25147472459721809</v>
      </c>
      <c r="K10">
        <v>0.25429021675186558</v>
      </c>
      <c r="L10">
        <v>0.25455114613210478</v>
      </c>
      <c r="M10">
        <v>0.25680258120313182</v>
      </c>
      <c r="N10">
        <v>0.25840846842975818</v>
      </c>
      <c r="O10">
        <v>0.26074574361124042</v>
      </c>
      <c r="P10">
        <v>0.25746632165835759</v>
      </c>
      <c r="Q10">
        <v>0.25703800582481212</v>
      </c>
      <c r="R10">
        <v>0.25811453203685442</v>
      </c>
      <c r="S10">
        <v>0.25282336418712698</v>
      </c>
      <c r="T10">
        <v>0.25237190132005449</v>
      </c>
      <c r="U10">
        <v>0.25037501217817532</v>
      </c>
      <c r="V10">
        <v>0.25121162387051021</v>
      </c>
      <c r="W10">
        <v>0.24454145588201009</v>
      </c>
      <c r="X10">
        <v>0.24002421892763179</v>
      </c>
      <c r="Y10">
        <v>0.2421750645490432</v>
      </c>
      <c r="Z10">
        <v>0.24191135434658831</v>
      </c>
      <c r="AA10">
        <v>0.23145218345449839</v>
      </c>
      <c r="AB10">
        <v>0.22940019346207019</v>
      </c>
    </row>
    <row r="12" spans="1:28" x14ac:dyDescent="0.35">
      <c r="A12" t="s">
        <v>37</v>
      </c>
      <c r="B12" t="s">
        <v>1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7</v>
      </c>
      <c r="I12" t="s">
        <v>8</v>
      </c>
      <c r="J12" t="s">
        <v>9</v>
      </c>
      <c r="K12" t="s">
        <v>10</v>
      </c>
      <c r="L12" t="s">
        <v>11</v>
      </c>
      <c r="M12" t="s">
        <v>12</v>
      </c>
      <c r="N12" t="s">
        <v>13</v>
      </c>
      <c r="O12" t="s">
        <v>14</v>
      </c>
      <c r="P12" t="s">
        <v>15</v>
      </c>
      <c r="Q12" t="s">
        <v>16</v>
      </c>
      <c r="R12" t="s">
        <v>17</v>
      </c>
      <c r="S12" t="s">
        <v>18</v>
      </c>
      <c r="T12" t="s">
        <v>19</v>
      </c>
      <c r="U12" t="s">
        <v>20</v>
      </c>
      <c r="V12" t="s">
        <v>21</v>
      </c>
      <c r="W12" t="s">
        <v>22</v>
      </c>
      <c r="X12" t="s">
        <v>23</v>
      </c>
      <c r="Y12" t="s">
        <v>24</v>
      </c>
      <c r="Z12" t="s">
        <v>25</v>
      </c>
      <c r="AA12" t="s">
        <v>26</v>
      </c>
      <c r="AB12" t="s">
        <v>27</v>
      </c>
    </row>
    <row r="13" spans="1:28" x14ac:dyDescent="0.35">
      <c r="A13" t="s">
        <v>28</v>
      </c>
      <c r="B13">
        <v>131.02374056102511</v>
      </c>
      <c r="C13">
        <v>132.8617911649242</v>
      </c>
      <c r="D13">
        <v>133.9770238880532</v>
      </c>
      <c r="E13">
        <v>132.88551358739431</v>
      </c>
      <c r="F13">
        <v>135.44222542653091</v>
      </c>
      <c r="G13">
        <v>135.14214550215371</v>
      </c>
      <c r="H13">
        <v>134.9174650654553</v>
      </c>
      <c r="I13">
        <v>132.88314373931999</v>
      </c>
      <c r="J13">
        <v>134.0458546506193</v>
      </c>
      <c r="K13">
        <v>136.6950372810056</v>
      </c>
      <c r="L13">
        <v>137.8900692946446</v>
      </c>
      <c r="M13">
        <v>139.67200216083279</v>
      </c>
      <c r="N13">
        <v>141.2421874476621</v>
      </c>
      <c r="O13">
        <v>140.5302037091206</v>
      </c>
      <c r="P13">
        <v>140.67071063224569</v>
      </c>
      <c r="Q13">
        <v>138.93388026616839</v>
      </c>
      <c r="R13">
        <v>138.0819849378812</v>
      </c>
      <c r="S13">
        <v>140.12232480417529</v>
      </c>
      <c r="T13">
        <v>141.49868733794321</v>
      </c>
      <c r="U13">
        <v>139.9036608221617</v>
      </c>
      <c r="V13">
        <v>139.8092542662713</v>
      </c>
      <c r="W13">
        <v>140.5871571982706</v>
      </c>
      <c r="X13">
        <v>140.91667876689459</v>
      </c>
      <c r="Y13">
        <v>141.74721555375601</v>
      </c>
      <c r="Z13">
        <v>142.78323108127509</v>
      </c>
      <c r="AA13">
        <v>143.0878158692305</v>
      </c>
      <c r="AB13">
        <v>143.65699370422249</v>
      </c>
    </row>
    <row r="14" spans="1:28" x14ac:dyDescent="0.35">
      <c r="A14" t="s">
        <v>29</v>
      </c>
      <c r="B14">
        <v>1.336831704351795</v>
      </c>
      <c r="C14">
        <v>1.506017936309064</v>
      </c>
      <c r="D14">
        <v>0.55582995204611052</v>
      </c>
      <c r="E14">
        <v>-1.1881790235463541E-2</v>
      </c>
      <c r="F14">
        <v>0.53105484434939854</v>
      </c>
      <c r="G14">
        <v>0.89833147072994279</v>
      </c>
      <c r="H14">
        <v>0.46258495758340251</v>
      </c>
      <c r="I14">
        <v>-0.73759370696691917</v>
      </c>
      <c r="J14">
        <v>-0.66981314503826184</v>
      </c>
      <c r="K14">
        <v>0.54326176650354796</v>
      </c>
      <c r="L14">
        <v>0.46682594673353611</v>
      </c>
      <c r="M14">
        <v>0.25226377373650172</v>
      </c>
      <c r="N14">
        <v>0.85678874320637988</v>
      </c>
      <c r="O14">
        <v>1.501239227761118</v>
      </c>
      <c r="P14">
        <v>1.5183373224643899</v>
      </c>
      <c r="Q14">
        <v>0.84936119531352006</v>
      </c>
      <c r="R14">
        <v>-0.30501727874650442</v>
      </c>
      <c r="S14">
        <v>0.24937298784891479</v>
      </c>
      <c r="T14">
        <v>0.6607040430745883</v>
      </c>
      <c r="U14">
        <v>0.42563464185465699</v>
      </c>
      <c r="V14">
        <v>0.54778390084499051</v>
      </c>
      <c r="W14">
        <v>1.2304972389681841</v>
      </c>
      <c r="X14">
        <v>1.7201005825756679</v>
      </c>
      <c r="Y14">
        <v>2.750962401011265</v>
      </c>
      <c r="Z14">
        <v>2.6834198963163369</v>
      </c>
      <c r="AA14">
        <v>2.9338003406875539</v>
      </c>
      <c r="AB14">
        <v>3.119935825160951</v>
      </c>
    </row>
    <row r="15" spans="1:28" x14ac:dyDescent="0.35">
      <c r="A15" t="s">
        <v>30</v>
      </c>
      <c r="B15">
        <v>-0.19154780876226271</v>
      </c>
      <c r="C15">
        <v>3.8207324258426399E-2</v>
      </c>
      <c r="D15">
        <v>5.9795509114979307E-2</v>
      </c>
      <c r="E15">
        <v>1.0145080087216409</v>
      </c>
      <c r="F15">
        <v>0.74461000329061189</v>
      </c>
      <c r="G15">
        <v>0.45473381444244709</v>
      </c>
      <c r="H15">
        <v>0.18042851538435889</v>
      </c>
      <c r="I15">
        <v>-0.73488498292144078</v>
      </c>
      <c r="J15">
        <v>-1.441366013975852</v>
      </c>
      <c r="K15">
        <v>-1.418019562010447</v>
      </c>
      <c r="L15">
        <v>-1.512381032982216</v>
      </c>
      <c r="M15">
        <v>-1.31129098129363</v>
      </c>
      <c r="N15">
        <v>-1.6584378017770489</v>
      </c>
      <c r="O15">
        <v>-1.116199905775072</v>
      </c>
      <c r="P15">
        <v>-1.1512670050307481</v>
      </c>
      <c r="Q15">
        <v>-1.261027805791104</v>
      </c>
      <c r="R15">
        <v>-1.3544996194185821</v>
      </c>
      <c r="S15">
        <v>-0.87014120029205666</v>
      </c>
      <c r="T15">
        <v>-0.26649571416090012</v>
      </c>
      <c r="U15">
        <v>1.3010901526643099</v>
      </c>
      <c r="V15">
        <v>1.453561798875401</v>
      </c>
      <c r="W15">
        <v>1.737303907004065</v>
      </c>
      <c r="X15">
        <v>2.4466867474777092</v>
      </c>
      <c r="Y15">
        <v>3.865908185101298</v>
      </c>
      <c r="Z15">
        <v>2.7025856738390028</v>
      </c>
      <c r="AA15">
        <v>2.820742312195426</v>
      </c>
      <c r="AB15">
        <v>2.889815457439334</v>
      </c>
    </row>
    <row r="16" spans="1:28" x14ac:dyDescent="0.35">
      <c r="A16" t="s">
        <v>31</v>
      </c>
      <c r="B16">
        <v>0.2409728303402181</v>
      </c>
      <c r="C16">
        <v>1.0524689533844439E-2</v>
      </c>
      <c r="D16">
        <v>0.46217495072953302</v>
      </c>
      <c r="E16">
        <v>-0.74043521019468039</v>
      </c>
      <c r="F16">
        <v>2.0200519780838482</v>
      </c>
      <c r="G16">
        <v>4.8456567599222407</v>
      </c>
      <c r="H16">
        <v>3.4447568366295931</v>
      </c>
      <c r="I16">
        <v>2.6168776036219228</v>
      </c>
      <c r="J16">
        <v>2.882825199402403</v>
      </c>
      <c r="K16">
        <v>2.8714827446931239</v>
      </c>
      <c r="L16">
        <v>2.8003185866299192</v>
      </c>
      <c r="M16">
        <v>2.5790085206211759</v>
      </c>
      <c r="N16">
        <v>2.453989215019587</v>
      </c>
      <c r="O16">
        <v>4.5121443221488162</v>
      </c>
      <c r="P16">
        <v>4.9509007856742553</v>
      </c>
      <c r="Q16">
        <v>5.4861084406821927</v>
      </c>
      <c r="R16">
        <v>5.186021760485291</v>
      </c>
      <c r="S16">
        <v>5.242989714757595</v>
      </c>
      <c r="T16">
        <v>5.1281288190821464</v>
      </c>
      <c r="U16">
        <v>5.1516888543235124</v>
      </c>
      <c r="V16">
        <v>5.1203807269911783</v>
      </c>
      <c r="W16">
        <v>6.0355446578086562</v>
      </c>
      <c r="X16">
        <v>6.1276201334712779</v>
      </c>
      <c r="Y16">
        <v>6.0349345969497952</v>
      </c>
      <c r="Z16">
        <v>5.048251969434121</v>
      </c>
      <c r="AA16">
        <v>5.0103683841171289</v>
      </c>
      <c r="AB16">
        <v>4.843879160734387</v>
      </c>
    </row>
    <row r="17" spans="1:28" x14ac:dyDescent="0.35">
      <c r="A17" t="s">
        <v>32</v>
      </c>
      <c r="B17">
        <v>0.2463952033390942</v>
      </c>
      <c r="C17">
        <v>4.2433934853835509E-2</v>
      </c>
      <c r="D17">
        <v>-0.42833663953044548</v>
      </c>
      <c r="E17">
        <v>-0.49416833541183142</v>
      </c>
      <c r="F17">
        <v>-0.44667039918732548</v>
      </c>
      <c r="G17">
        <v>-0.34828596609464579</v>
      </c>
      <c r="H17">
        <v>-0.20990277300038879</v>
      </c>
      <c r="I17">
        <v>-0.35059352094287949</v>
      </c>
      <c r="J17">
        <v>-0.4917551534339803</v>
      </c>
      <c r="K17">
        <v>-0.32834048912731778</v>
      </c>
      <c r="L17">
        <v>-0.2490787066149957</v>
      </c>
      <c r="M17">
        <v>-0.27396855641460222</v>
      </c>
      <c r="N17">
        <v>-0.37680450627752993</v>
      </c>
      <c r="O17">
        <v>-0.44934993971425691</v>
      </c>
      <c r="P17">
        <v>-0.26344444400537181</v>
      </c>
      <c r="Q17">
        <v>5.5828252132169291E-2</v>
      </c>
      <c r="R17">
        <v>8.9201310752681784E-2</v>
      </c>
      <c r="S17">
        <v>5.592602178938421E-2</v>
      </c>
      <c r="T17">
        <v>-0.17192803872194409</v>
      </c>
      <c r="U17">
        <v>-0.46966974096685588</v>
      </c>
      <c r="V17">
        <v>-0.48639512660955109</v>
      </c>
      <c r="W17">
        <v>-0.39519631455619603</v>
      </c>
      <c r="X17">
        <v>-0.47424667775170681</v>
      </c>
      <c r="Y17">
        <v>-0.54748755855741182</v>
      </c>
      <c r="Z17">
        <v>-0.37847597832349872</v>
      </c>
      <c r="AA17">
        <v>-0.33311733517304432</v>
      </c>
      <c r="AB17">
        <v>-0.42684345107211252</v>
      </c>
    </row>
    <row r="18" spans="1:28" x14ac:dyDescent="0.35">
      <c r="A18" t="s">
        <v>33</v>
      </c>
      <c r="B18">
        <v>132.65639249029391</v>
      </c>
      <c r="C18">
        <v>134.45897504987931</v>
      </c>
      <c r="D18">
        <v>134.6264876604134</v>
      </c>
      <c r="E18">
        <v>132.65353626027391</v>
      </c>
      <c r="F18">
        <v>138.2912718530674</v>
      </c>
      <c r="G18">
        <v>140.9925815811537</v>
      </c>
      <c r="H18">
        <v>138.7953326020523</v>
      </c>
      <c r="I18">
        <v>133.67694913211071</v>
      </c>
      <c r="J18">
        <v>134.3257455375736</v>
      </c>
      <c r="K18">
        <v>138.36342174106451</v>
      </c>
      <c r="L18">
        <v>139.39575408841091</v>
      </c>
      <c r="M18">
        <v>140.91801491748231</v>
      </c>
      <c r="N18">
        <v>142.51772309783351</v>
      </c>
      <c r="O18">
        <v>144.97803741354119</v>
      </c>
      <c r="P18">
        <v>145.72523729134829</v>
      </c>
      <c r="Q18">
        <v>144.06415034850519</v>
      </c>
      <c r="R18">
        <v>141.69769111095411</v>
      </c>
      <c r="S18">
        <v>144.80047232827911</v>
      </c>
      <c r="T18">
        <v>146.84909644721711</v>
      </c>
      <c r="U18">
        <v>146.31240473003729</v>
      </c>
      <c r="V18">
        <v>146.44458556637329</v>
      </c>
      <c r="W18">
        <v>149.1953066874953</v>
      </c>
      <c r="X18">
        <v>150.7368395526675</v>
      </c>
      <c r="Y18">
        <v>153.85153317826101</v>
      </c>
      <c r="Z18">
        <v>152.83901264254109</v>
      </c>
      <c r="AA18">
        <v>153.51960957105749</v>
      </c>
      <c r="AB18">
        <v>154.08378069648501</v>
      </c>
    </row>
    <row r="19" spans="1:28" x14ac:dyDescent="0.35">
      <c r="A19" t="s">
        <v>34</v>
      </c>
      <c r="B19">
        <v>25212796.640000001</v>
      </c>
      <c r="C19">
        <v>31375887.140000001</v>
      </c>
      <c r="D19">
        <v>39634686.670000002</v>
      </c>
      <c r="E19">
        <v>35072959.490000002</v>
      </c>
      <c r="F19">
        <v>47725912.369999997</v>
      </c>
      <c r="G19">
        <v>74789466.969999999</v>
      </c>
      <c r="H19">
        <v>64657580.560000002</v>
      </c>
      <c r="I19">
        <v>62434037.880000003</v>
      </c>
      <c r="J19">
        <v>60657084.020000003</v>
      </c>
      <c r="K19">
        <v>62092993.119999997</v>
      </c>
      <c r="L19">
        <v>56076647.310000002</v>
      </c>
      <c r="M19">
        <v>31568560.059999999</v>
      </c>
      <c r="N19">
        <v>19413221.91</v>
      </c>
      <c r="O19">
        <v>25391666.530000001</v>
      </c>
      <c r="P19">
        <v>42981891.979999997</v>
      </c>
      <c r="Q19">
        <v>74244761.469999999</v>
      </c>
      <c r="R19">
        <v>130742357.83</v>
      </c>
      <c r="S19">
        <v>144731896.75999999</v>
      </c>
      <c r="T19">
        <v>107320569.33</v>
      </c>
      <c r="U19">
        <v>118177351.86</v>
      </c>
      <c r="V19">
        <v>174151089.91</v>
      </c>
      <c r="W19">
        <v>177914735.13999999</v>
      </c>
      <c r="X19">
        <v>151174809.49000001</v>
      </c>
      <c r="Y19">
        <v>116301254.58</v>
      </c>
      <c r="Z19">
        <v>162402487.02000001</v>
      </c>
      <c r="AA19">
        <v>172624933.59999999</v>
      </c>
      <c r="AB19">
        <v>104667506.52</v>
      </c>
    </row>
    <row r="20" spans="1:28" x14ac:dyDescent="0.35">
      <c r="A20" t="s">
        <v>35</v>
      </c>
      <c r="B20">
        <v>1.912885097873517</v>
      </c>
      <c r="C20">
        <v>1.9387996903053659</v>
      </c>
      <c r="D20">
        <v>1.888653623792846</v>
      </c>
      <c r="E20">
        <v>2.0283445729542731</v>
      </c>
      <c r="F20">
        <v>1.7339595095745119</v>
      </c>
      <c r="G20">
        <v>1.509682238553921</v>
      </c>
      <c r="H20">
        <v>1.613127525239713</v>
      </c>
      <c r="I20">
        <v>1.6812053715373541</v>
      </c>
      <c r="J20">
        <v>1.6587179975304129</v>
      </c>
      <c r="K20">
        <v>1.6596647781005489</v>
      </c>
      <c r="L20">
        <v>1.665629765284161</v>
      </c>
      <c r="M20">
        <v>1.684457104416933</v>
      </c>
      <c r="N20">
        <v>1.695282115944506</v>
      </c>
      <c r="O20">
        <v>1.533087520524113</v>
      </c>
      <c r="P20">
        <v>1.5024440373546599</v>
      </c>
      <c r="Q20">
        <v>1.4666833119212439</v>
      </c>
      <c r="R20">
        <v>1.486521574532099</v>
      </c>
      <c r="S20">
        <v>1.4827143483377461</v>
      </c>
      <c r="T20">
        <v>1.490410701674864</v>
      </c>
      <c r="U20">
        <v>1.488825534562483</v>
      </c>
      <c r="V20">
        <v>1.4909327469105429</v>
      </c>
      <c r="W20">
        <v>1.4317004650819201</v>
      </c>
      <c r="X20">
        <v>1.426000591918662</v>
      </c>
      <c r="Y20">
        <v>1.43173838246396</v>
      </c>
      <c r="Z20">
        <v>1.4958101914709949</v>
      </c>
      <c r="AA20">
        <v>1.498384735068707</v>
      </c>
      <c r="AB20">
        <v>1.5098050926450559</v>
      </c>
    </row>
    <row r="21" spans="1:28" x14ac:dyDescent="0.35">
      <c r="A21" t="s">
        <v>36</v>
      </c>
      <c r="B21">
        <v>0.2464800685237272</v>
      </c>
      <c r="C21">
        <v>0.24939380093065949</v>
      </c>
      <c r="D21">
        <v>0.25611909485043488</v>
      </c>
      <c r="E21">
        <v>0.25705954764874039</v>
      </c>
      <c r="F21">
        <v>0.25638100570267608</v>
      </c>
      <c r="G21">
        <v>0.25497551380135208</v>
      </c>
      <c r="H21">
        <v>0.2529986110428627</v>
      </c>
      <c r="I21">
        <v>0.25500847887061262</v>
      </c>
      <c r="J21">
        <v>0.25702507362048538</v>
      </c>
      <c r="K21">
        <v>0.25469057841610449</v>
      </c>
      <c r="L21">
        <v>0.25355826723735708</v>
      </c>
      <c r="M21">
        <v>0.2539138365202086</v>
      </c>
      <c r="N21">
        <v>0.25538292151825043</v>
      </c>
      <c r="O21">
        <v>0.25641928485306081</v>
      </c>
      <c r="P21">
        <v>0.2537634920572196</v>
      </c>
      <c r="Q21">
        <v>0.24920245354096901</v>
      </c>
      <c r="R21">
        <v>0.248725695560676</v>
      </c>
      <c r="S21">
        <v>0.2492010568315802</v>
      </c>
      <c r="T21">
        <v>0.25245611483888492</v>
      </c>
      <c r="U21">
        <v>0.25670956772809789</v>
      </c>
      <c r="V21">
        <v>0.25694850180870787</v>
      </c>
      <c r="W21">
        <v>0.25564566163651709</v>
      </c>
      <c r="X21">
        <v>0.2567749525393101</v>
      </c>
      <c r="Y21">
        <v>0.25782125083653451</v>
      </c>
      <c r="Z21">
        <v>0.2554067996903357</v>
      </c>
      <c r="AA21">
        <v>0.25475881907390058</v>
      </c>
      <c r="AB21">
        <v>0.25609776358674452</v>
      </c>
    </row>
    <row r="23" spans="1:28" x14ac:dyDescent="0.35">
      <c r="A23" t="s">
        <v>38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6</v>
      </c>
      <c r="H23" t="s">
        <v>7</v>
      </c>
      <c r="I23" t="s">
        <v>8</v>
      </c>
      <c r="J23" t="s">
        <v>9</v>
      </c>
      <c r="K23" t="s">
        <v>10</v>
      </c>
      <c r="L23" t="s">
        <v>11</v>
      </c>
      <c r="M23" t="s">
        <v>12</v>
      </c>
      <c r="N23" t="s">
        <v>13</v>
      </c>
      <c r="O23" t="s">
        <v>14</v>
      </c>
      <c r="P23" t="s">
        <v>15</v>
      </c>
      <c r="Q23" t="s">
        <v>16</v>
      </c>
      <c r="R23" t="s">
        <v>17</v>
      </c>
      <c r="S23" t="s">
        <v>18</v>
      </c>
      <c r="T23" t="s">
        <v>19</v>
      </c>
      <c r="U23" t="s">
        <v>20</v>
      </c>
      <c r="V23" t="s">
        <v>21</v>
      </c>
      <c r="W23" t="s">
        <v>22</v>
      </c>
      <c r="X23" t="s">
        <v>23</v>
      </c>
      <c r="Y23" t="s">
        <v>24</v>
      </c>
      <c r="Z23" t="s">
        <v>25</v>
      </c>
      <c r="AA23" t="s">
        <v>26</v>
      </c>
      <c r="AB23" t="s">
        <v>27</v>
      </c>
    </row>
    <row r="24" spans="1:28" x14ac:dyDescent="0.35">
      <c r="A24" t="s">
        <v>28</v>
      </c>
      <c r="B24">
        <v>130.04845931024329</v>
      </c>
      <c r="C24">
        <v>133.1207717529023</v>
      </c>
      <c r="D24">
        <v>135.5091346012222</v>
      </c>
      <c r="E24">
        <v>135.29709634106169</v>
      </c>
      <c r="F24">
        <v>135.25602005308559</v>
      </c>
      <c r="G24">
        <v>135.44450557465149</v>
      </c>
      <c r="H24">
        <v>135.0243677977891</v>
      </c>
      <c r="I24">
        <v>133.6390065764549</v>
      </c>
      <c r="J24">
        <v>134.37539887083719</v>
      </c>
      <c r="K24">
        <v>136.6500572548444</v>
      </c>
      <c r="L24">
        <v>137.11574532115</v>
      </c>
      <c r="M24">
        <v>138.231604818877</v>
      </c>
      <c r="N24">
        <v>139.1940251931957</v>
      </c>
      <c r="O24">
        <v>137.68558312597429</v>
      </c>
      <c r="P24">
        <v>138.35109734434531</v>
      </c>
      <c r="Q24">
        <v>137.37258557901589</v>
      </c>
      <c r="R24">
        <v>136.67446160484809</v>
      </c>
      <c r="S24">
        <v>137.44875840564859</v>
      </c>
      <c r="T24">
        <v>138.500078902578</v>
      </c>
      <c r="U24">
        <v>137.16343504559109</v>
      </c>
      <c r="V24">
        <v>136.6331898006496</v>
      </c>
      <c r="W24">
        <v>137.87344269246219</v>
      </c>
      <c r="X24">
        <v>138.51807770536089</v>
      </c>
      <c r="Y24">
        <v>139.95691043845491</v>
      </c>
      <c r="Z24">
        <v>140.97371811871949</v>
      </c>
      <c r="AA24">
        <v>141.15235144889439</v>
      </c>
      <c r="AB24">
        <v>141.34809473374841</v>
      </c>
    </row>
    <row r="25" spans="1:28" x14ac:dyDescent="0.35">
      <c r="A25" t="s">
        <v>29</v>
      </c>
      <c r="B25">
        <v>0.62511253896400376</v>
      </c>
      <c r="C25">
        <v>0.56901951172517329</v>
      </c>
      <c r="D25">
        <v>0.89644862995623953</v>
      </c>
      <c r="E25">
        <v>0.84659996370086787</v>
      </c>
      <c r="F25">
        <v>1.6581125069031371</v>
      </c>
      <c r="G25">
        <v>1.8106411354901299</v>
      </c>
      <c r="H25">
        <v>1.3855099901475969</v>
      </c>
      <c r="I25">
        <v>0.90534320985463523</v>
      </c>
      <c r="J25">
        <v>0.25497998545043288</v>
      </c>
      <c r="K25">
        <v>0.57385524347634487</v>
      </c>
      <c r="L25">
        <v>0.1017661896201503</v>
      </c>
      <c r="M25">
        <v>0.75685327849689088</v>
      </c>
      <c r="N25">
        <v>0.34487024912834841</v>
      </c>
      <c r="O25">
        <v>0.24207051809315769</v>
      </c>
      <c r="P25">
        <v>1.459450914690422</v>
      </c>
      <c r="Q25">
        <v>1.1206233162161821</v>
      </c>
      <c r="R25">
        <v>0.92221534478642297</v>
      </c>
      <c r="S25">
        <v>1.926987652677326</v>
      </c>
      <c r="T25">
        <v>2.191696993195194</v>
      </c>
      <c r="U25">
        <v>1.935386043901218</v>
      </c>
      <c r="V25">
        <v>1.720195152740047</v>
      </c>
      <c r="W25">
        <v>2.0112741668395131</v>
      </c>
      <c r="X25">
        <v>2.1835771555711569</v>
      </c>
      <c r="Y25">
        <v>2.7134905020642748</v>
      </c>
      <c r="Z25">
        <v>3.0042440944501152</v>
      </c>
      <c r="AA25">
        <v>3.1691032748476862</v>
      </c>
      <c r="AB25">
        <v>3.101387214685758</v>
      </c>
    </row>
    <row r="26" spans="1:28" x14ac:dyDescent="0.35">
      <c r="A26" t="s">
        <v>30</v>
      </c>
      <c r="B26">
        <v>-1.1247386797508121</v>
      </c>
      <c r="C26">
        <v>-1.09769502803656</v>
      </c>
      <c r="D26">
        <v>-0.7747845243329945</v>
      </c>
      <c r="E26">
        <v>-0.31676369155641321</v>
      </c>
      <c r="F26">
        <v>-0.54363800617283808</v>
      </c>
      <c r="G26">
        <v>-0.43037150920949552</v>
      </c>
      <c r="H26">
        <v>-0.62490826432718483</v>
      </c>
      <c r="I26">
        <v>-0.77740964668152357</v>
      </c>
      <c r="J26">
        <v>-1.1406955242365</v>
      </c>
      <c r="K26">
        <v>-1.2502627035789191</v>
      </c>
      <c r="L26">
        <v>-1.453309714499019</v>
      </c>
      <c r="M26">
        <v>-1.2395708437805819</v>
      </c>
      <c r="N26">
        <v>-1.112502159077879</v>
      </c>
      <c r="O26">
        <v>-1.130064674442709</v>
      </c>
      <c r="P26">
        <v>-1.1651485818203471</v>
      </c>
      <c r="Q26">
        <v>-0.60494606584506283</v>
      </c>
      <c r="R26">
        <v>-0.87906451295497456</v>
      </c>
      <c r="S26">
        <v>0.33576172900497891</v>
      </c>
      <c r="T26">
        <v>1.199657119835873</v>
      </c>
      <c r="U26">
        <v>2.4057725935493641</v>
      </c>
      <c r="V26">
        <v>2.0775046545537079</v>
      </c>
      <c r="W26">
        <v>2.7048245620671492</v>
      </c>
      <c r="X26">
        <v>2.8583909487173278</v>
      </c>
      <c r="Y26">
        <v>4.0100317439131548</v>
      </c>
      <c r="Z26">
        <v>3.30827800933998</v>
      </c>
      <c r="AA26">
        <v>4.1525430869277136</v>
      </c>
      <c r="AB26">
        <v>4.1236629144989978</v>
      </c>
    </row>
    <row r="27" spans="1:28" x14ac:dyDescent="0.35">
      <c r="A27" t="s">
        <v>31</v>
      </c>
      <c r="B27">
        <v>-1.107794009986667</v>
      </c>
      <c r="C27">
        <v>-1.2960169381338491</v>
      </c>
      <c r="D27">
        <v>1.161937602320821</v>
      </c>
      <c r="E27">
        <v>1.407060289585796</v>
      </c>
      <c r="F27">
        <v>2.4583552298514251</v>
      </c>
      <c r="G27">
        <v>4.1570391114786513</v>
      </c>
      <c r="H27">
        <v>3.892792240437164</v>
      </c>
      <c r="I27">
        <v>3.5718716331785432</v>
      </c>
      <c r="J27">
        <v>4.1077994906211863</v>
      </c>
      <c r="K27">
        <v>4.5808663338167959</v>
      </c>
      <c r="L27">
        <v>4.3214816678019572</v>
      </c>
      <c r="M27">
        <v>5.3583339529486871</v>
      </c>
      <c r="N27">
        <v>5.1726820239868054</v>
      </c>
      <c r="O27">
        <v>4.9024514561359123</v>
      </c>
      <c r="P27">
        <v>5.9192403142994943</v>
      </c>
      <c r="Q27">
        <v>5.9785711588250701</v>
      </c>
      <c r="R27">
        <v>4.5022295810198916</v>
      </c>
      <c r="S27">
        <v>5.0560512218771567</v>
      </c>
      <c r="T27">
        <v>5.6199342271416333</v>
      </c>
      <c r="U27">
        <v>5.4918359972587938</v>
      </c>
      <c r="V27">
        <v>5.1929355194915408</v>
      </c>
      <c r="W27">
        <v>6.0584800178179909</v>
      </c>
      <c r="X27">
        <v>5.9602192660542253</v>
      </c>
      <c r="Y27">
        <v>6.2250317876217736</v>
      </c>
      <c r="Z27">
        <v>5.2313873091162071</v>
      </c>
      <c r="AA27">
        <v>5.4433465393047618</v>
      </c>
      <c r="AB27">
        <v>5.1185901907552847</v>
      </c>
    </row>
    <row r="28" spans="1:28" x14ac:dyDescent="0.35">
      <c r="A28" t="s">
        <v>32</v>
      </c>
      <c r="B28">
        <v>2.0631717527692661E-2</v>
      </c>
      <c r="C28">
        <v>-0.33363346902230862</v>
      </c>
      <c r="D28">
        <v>-0.43725249969005903</v>
      </c>
      <c r="E28">
        <v>-0.37617120885142352</v>
      </c>
      <c r="F28">
        <v>-0.44668165581091429</v>
      </c>
      <c r="G28">
        <v>-0.24388466627744021</v>
      </c>
      <c r="H28">
        <v>-0.28516209748226989</v>
      </c>
      <c r="I28">
        <v>-0.14408273592585619</v>
      </c>
      <c r="J28">
        <v>-0.31713829664732301</v>
      </c>
      <c r="K28">
        <v>-8.5832953517042676E-2</v>
      </c>
      <c r="L28">
        <v>-0.30323554469025238</v>
      </c>
      <c r="M28">
        <v>-3.4413941772142853E-2</v>
      </c>
      <c r="N28">
        <v>-0.60664372968818714</v>
      </c>
      <c r="O28">
        <v>-0.77839170968334759</v>
      </c>
      <c r="P28">
        <v>-0.28043385388270609</v>
      </c>
      <c r="Q28">
        <v>-6.2925259103287501E-2</v>
      </c>
      <c r="R28">
        <v>-0.28553571917799497</v>
      </c>
      <c r="S28">
        <v>0.1436058015469899</v>
      </c>
      <c r="T28">
        <v>0.163461444177562</v>
      </c>
      <c r="U28">
        <v>4.5801605731753132E-2</v>
      </c>
      <c r="V28">
        <v>5.6171561909290624E-4</v>
      </c>
      <c r="W28">
        <v>0.31124821037917749</v>
      </c>
      <c r="X28">
        <v>0.25251892314979651</v>
      </c>
      <c r="Y28">
        <v>0.4592045832723598</v>
      </c>
      <c r="Z28">
        <v>0.72178513396060584</v>
      </c>
      <c r="AA28">
        <v>0.93483514358508168</v>
      </c>
      <c r="AB28">
        <v>0.93619971369076971</v>
      </c>
    </row>
    <row r="29" spans="1:28" x14ac:dyDescent="0.35">
      <c r="A29" t="s">
        <v>33</v>
      </c>
      <c r="B29">
        <v>128.46167087699749</v>
      </c>
      <c r="C29">
        <v>130.96244582943481</v>
      </c>
      <c r="D29">
        <v>136.3554838094762</v>
      </c>
      <c r="E29">
        <v>136.85782169394051</v>
      </c>
      <c r="F29">
        <v>138.38216812785649</v>
      </c>
      <c r="G29">
        <v>140.7379296461333</v>
      </c>
      <c r="H29">
        <v>139.39259966656451</v>
      </c>
      <c r="I29">
        <v>137.19472903688069</v>
      </c>
      <c r="J29">
        <v>137.280344526025</v>
      </c>
      <c r="K29">
        <v>140.4686831750416</v>
      </c>
      <c r="L29">
        <v>139.78244791938289</v>
      </c>
      <c r="M29">
        <v>143.07280726476989</v>
      </c>
      <c r="N29">
        <v>142.99243157754481</v>
      </c>
      <c r="O29">
        <v>140.9216487160773</v>
      </c>
      <c r="P29">
        <v>144.2842061376322</v>
      </c>
      <c r="Q29">
        <v>143.8039087291088</v>
      </c>
      <c r="R29">
        <v>140.93430629852151</v>
      </c>
      <c r="S29">
        <v>144.91116481075511</v>
      </c>
      <c r="T29">
        <v>147.67482868692829</v>
      </c>
      <c r="U29">
        <v>147.04223128603221</v>
      </c>
      <c r="V29">
        <v>145.62438684305391</v>
      </c>
      <c r="W29">
        <v>148.9592696495661</v>
      </c>
      <c r="X29">
        <v>149.77278399885341</v>
      </c>
      <c r="Y29">
        <v>153.36466905532649</v>
      </c>
      <c r="Z29">
        <v>153.23941266558651</v>
      </c>
      <c r="AA29">
        <v>154.8521794935597</v>
      </c>
      <c r="AB29">
        <v>154.6279347673792</v>
      </c>
    </row>
    <row r="30" spans="1:28" x14ac:dyDescent="0.35">
      <c r="A30" t="s">
        <v>34</v>
      </c>
      <c r="B30">
        <v>72850719.969999999</v>
      </c>
      <c r="C30">
        <v>59017119.580000013</v>
      </c>
      <c r="D30">
        <v>58537979.340000004</v>
      </c>
      <c r="E30">
        <v>43581089.049999997</v>
      </c>
      <c r="F30">
        <v>62542582.119999997</v>
      </c>
      <c r="G30">
        <v>81523278.36999999</v>
      </c>
      <c r="H30">
        <v>65584234.630000003</v>
      </c>
      <c r="I30">
        <v>58095435.57</v>
      </c>
      <c r="J30">
        <v>53554007.109999999</v>
      </c>
      <c r="K30">
        <v>52853713.669999987</v>
      </c>
      <c r="L30">
        <v>36877550.840000004</v>
      </c>
      <c r="M30">
        <v>20023418.77</v>
      </c>
      <c r="N30">
        <v>12210324.34</v>
      </c>
      <c r="O30">
        <v>15940434.550000001</v>
      </c>
      <c r="P30">
        <v>27866314.010000002</v>
      </c>
      <c r="Q30">
        <v>44009112.609999999</v>
      </c>
      <c r="R30">
        <v>67941995.760000005</v>
      </c>
      <c r="S30">
        <v>93730988.510000005</v>
      </c>
      <c r="T30">
        <v>68176210.460000008</v>
      </c>
      <c r="U30">
        <v>70063531.770000011</v>
      </c>
      <c r="V30">
        <v>108775574.3</v>
      </c>
      <c r="W30">
        <v>115276033.48</v>
      </c>
      <c r="X30">
        <v>89281322.370000005</v>
      </c>
      <c r="Y30">
        <v>70835857.610000014</v>
      </c>
      <c r="Z30">
        <v>107055912.16</v>
      </c>
      <c r="AA30">
        <v>118529123.43000001</v>
      </c>
      <c r="AB30">
        <v>92075899.899999991</v>
      </c>
    </row>
    <row r="31" spans="1:28" x14ac:dyDescent="0.35">
      <c r="A31" t="s">
        <v>35</v>
      </c>
      <c r="B31">
        <v>2.075231092569819</v>
      </c>
      <c r="C31">
        <v>2.1001041500156128</v>
      </c>
      <c r="D31">
        <v>1.8158855471337849</v>
      </c>
      <c r="E31">
        <v>1.791703807188548</v>
      </c>
      <c r="F31">
        <v>1.6949017329791971</v>
      </c>
      <c r="G31">
        <v>1.5588192575636379</v>
      </c>
      <c r="H31">
        <v>1.5785348181545851</v>
      </c>
      <c r="I31">
        <v>1.603159916028714</v>
      </c>
      <c r="J31">
        <v>1.5624556228447199</v>
      </c>
      <c r="K31">
        <v>1.528205563662705</v>
      </c>
      <c r="L31">
        <v>1.5467968180562151</v>
      </c>
      <c r="M31">
        <v>1.4750651846154439</v>
      </c>
      <c r="N31">
        <v>1.4874159095558059</v>
      </c>
      <c r="O31">
        <v>1.5057675194965781</v>
      </c>
      <c r="P31">
        <v>1.438965670228761</v>
      </c>
      <c r="Q31">
        <v>1.435250249984922</v>
      </c>
      <c r="R31">
        <v>1.533794431676591</v>
      </c>
      <c r="S31">
        <v>1.495281257203805</v>
      </c>
      <c r="T31">
        <v>1.458006007834777</v>
      </c>
      <c r="U31">
        <v>1.4663098203285609</v>
      </c>
      <c r="V31">
        <v>1.4860584788810129</v>
      </c>
      <c r="W31">
        <v>1.4302764091351789</v>
      </c>
      <c r="X31">
        <v>1.4363974323520341</v>
      </c>
      <c r="Y31">
        <v>1.420019584971131</v>
      </c>
      <c r="Z31">
        <v>1.483488166592114</v>
      </c>
      <c r="AA31">
        <v>1.4694778224024001</v>
      </c>
      <c r="AB31">
        <v>1.4910534403672959</v>
      </c>
    </row>
    <row r="32" spans="1:28" x14ac:dyDescent="0.35">
      <c r="A32" t="s">
        <v>36</v>
      </c>
      <c r="B32">
        <v>0.24970526117817579</v>
      </c>
      <c r="C32">
        <v>0.25476619241460441</v>
      </c>
      <c r="D32">
        <v>0.25624646428128661</v>
      </c>
      <c r="E32">
        <v>0.25537387441216319</v>
      </c>
      <c r="F32">
        <v>0.25638116651158449</v>
      </c>
      <c r="G32">
        <v>0.25348406666110629</v>
      </c>
      <c r="H32">
        <v>0.25407374424974671</v>
      </c>
      <c r="I32">
        <v>0.2520583247989408</v>
      </c>
      <c r="J32">
        <v>0.25453054709496181</v>
      </c>
      <c r="K32">
        <v>0.25122618505024352</v>
      </c>
      <c r="L32">
        <v>0.25433193635271789</v>
      </c>
      <c r="M32">
        <v>0.25049162773960199</v>
      </c>
      <c r="N32">
        <v>0.25866633899554548</v>
      </c>
      <c r="O32">
        <v>0.26111988156690502</v>
      </c>
      <c r="P32">
        <v>0.25400619791261009</v>
      </c>
      <c r="Q32">
        <v>0.25089893227290411</v>
      </c>
      <c r="R32">
        <v>0.25407908170254279</v>
      </c>
      <c r="S32">
        <v>0.24794848854932869</v>
      </c>
      <c r="T32">
        <v>0.24766483651174909</v>
      </c>
      <c r="U32">
        <v>0.24934569134668921</v>
      </c>
      <c r="V32">
        <v>0.24999197549115579</v>
      </c>
      <c r="W32">
        <v>0.24555359699458321</v>
      </c>
      <c r="X32">
        <v>0.24639258681214579</v>
      </c>
      <c r="Y32">
        <v>0.2434399345246806</v>
      </c>
      <c r="Z32">
        <v>0.2396887838005628</v>
      </c>
      <c r="AA32">
        <v>0.2366452122344988</v>
      </c>
      <c r="AB32">
        <v>0.23662571837584609</v>
      </c>
    </row>
    <row r="34" spans="1:28" x14ac:dyDescent="0.35">
      <c r="A34" t="s">
        <v>39</v>
      </c>
      <c r="B34" t="s">
        <v>1</v>
      </c>
      <c r="C34" t="s">
        <v>2</v>
      </c>
      <c r="D34" t="s">
        <v>3</v>
      </c>
      <c r="E34" t="s">
        <v>4</v>
      </c>
      <c r="F34" t="s">
        <v>5</v>
      </c>
      <c r="G34" t="s">
        <v>6</v>
      </c>
      <c r="H34" t="s">
        <v>7</v>
      </c>
      <c r="I34" t="s">
        <v>8</v>
      </c>
      <c r="J34" t="s">
        <v>9</v>
      </c>
      <c r="K34" t="s">
        <v>10</v>
      </c>
      <c r="L34" t="s">
        <v>11</v>
      </c>
      <c r="M34" t="s">
        <v>12</v>
      </c>
      <c r="N34" t="s">
        <v>13</v>
      </c>
      <c r="O34" t="s">
        <v>14</v>
      </c>
      <c r="P34" t="s">
        <v>15</v>
      </c>
      <c r="Q34" t="s">
        <v>16</v>
      </c>
      <c r="R34" t="s">
        <v>17</v>
      </c>
      <c r="S34" t="s">
        <v>18</v>
      </c>
      <c r="T34" t="s">
        <v>19</v>
      </c>
      <c r="U34" t="s">
        <v>20</v>
      </c>
      <c r="V34" t="s">
        <v>21</v>
      </c>
      <c r="W34" t="s">
        <v>22</v>
      </c>
      <c r="X34" t="s">
        <v>23</v>
      </c>
      <c r="Y34" t="s">
        <v>24</v>
      </c>
      <c r="Z34" t="s">
        <v>25</v>
      </c>
      <c r="AA34" t="s">
        <v>26</v>
      </c>
      <c r="AB34" t="s">
        <v>27</v>
      </c>
    </row>
    <row r="35" spans="1:28" x14ac:dyDescent="0.35">
      <c r="A35" t="s">
        <v>28</v>
      </c>
      <c r="B35">
        <v>131.93220934195591</v>
      </c>
      <c r="C35">
        <v>135.6651454248871</v>
      </c>
      <c r="D35">
        <v>137.77440959079931</v>
      </c>
      <c r="E35">
        <v>140.3148155816894</v>
      </c>
      <c r="F35">
        <v>136.74657379357421</v>
      </c>
      <c r="G35">
        <v>136.0120971139637</v>
      </c>
      <c r="H35">
        <v>135.61507416479881</v>
      </c>
      <c r="I35">
        <v>134.55233977781279</v>
      </c>
      <c r="J35">
        <v>133.82649272373871</v>
      </c>
      <c r="K35">
        <v>135.75426225236899</v>
      </c>
      <c r="L35">
        <v>136.83145607664599</v>
      </c>
      <c r="M35">
        <v>138.5584785780058</v>
      </c>
      <c r="N35">
        <v>140.88245124915099</v>
      </c>
      <c r="O35">
        <v>138.8885094056663</v>
      </c>
      <c r="P35">
        <v>137.92337249578631</v>
      </c>
      <c r="Q35">
        <v>139.5688854426416</v>
      </c>
      <c r="R35">
        <v>138.48991069262789</v>
      </c>
      <c r="S35">
        <v>138.28883998490889</v>
      </c>
      <c r="T35">
        <v>140.29665672585401</v>
      </c>
      <c r="U35">
        <v>138.38799070396539</v>
      </c>
      <c r="V35">
        <v>136.66958762421561</v>
      </c>
      <c r="W35">
        <v>138.30926395406871</v>
      </c>
      <c r="X35">
        <v>138.01719419654799</v>
      </c>
      <c r="Y35">
        <v>138.8338184570147</v>
      </c>
      <c r="Z35">
        <v>140.99693145242259</v>
      </c>
      <c r="AA35">
        <v>141.8201970181436</v>
      </c>
      <c r="AB35">
        <v>142.55182480925151</v>
      </c>
    </row>
    <row r="36" spans="1:28" x14ac:dyDescent="0.35">
      <c r="A36" t="s">
        <v>29</v>
      </c>
      <c r="B36">
        <v>-1.7058008101233499</v>
      </c>
      <c r="C36">
        <v>-1.3683140705545329</v>
      </c>
      <c r="D36">
        <v>-0.80503551413164587</v>
      </c>
      <c r="E36">
        <v>0.66171358493497223</v>
      </c>
      <c r="F36">
        <v>1.8580399428944929</v>
      </c>
      <c r="G36">
        <v>-0.25335463503569139</v>
      </c>
      <c r="H36">
        <v>-0.49054060548937167</v>
      </c>
      <c r="I36">
        <v>0.51224571016811637</v>
      </c>
      <c r="J36">
        <v>2.8247073057400481E-2</v>
      </c>
      <c r="K36">
        <v>0.58732796767125706</v>
      </c>
      <c r="L36">
        <v>0.88892534924141842</v>
      </c>
      <c r="M36">
        <v>1.232102505253835</v>
      </c>
      <c r="N36">
        <v>1.7259942092163101</v>
      </c>
      <c r="O36">
        <v>1.045959906292069</v>
      </c>
      <c r="P36">
        <v>1.728756669528281</v>
      </c>
      <c r="Q36">
        <v>2.0258093613378492</v>
      </c>
      <c r="R36">
        <v>1.610884670077553</v>
      </c>
      <c r="S36">
        <v>2.5792316243741031</v>
      </c>
      <c r="T36">
        <v>3.3016547214246259</v>
      </c>
      <c r="U36">
        <v>2.915677113240974</v>
      </c>
      <c r="V36">
        <v>2.287285748875775</v>
      </c>
      <c r="W36">
        <v>2.4350812264610511</v>
      </c>
      <c r="X36">
        <v>2.967129027988221</v>
      </c>
      <c r="Y36">
        <v>1.816808566977983</v>
      </c>
      <c r="Z36">
        <v>2.3047031149081652</v>
      </c>
      <c r="AA36">
        <v>2.4485100458079221</v>
      </c>
      <c r="AB36">
        <v>2.7004503033340939</v>
      </c>
    </row>
    <row r="37" spans="1:28" x14ac:dyDescent="0.35">
      <c r="A37" t="s">
        <v>30</v>
      </c>
      <c r="B37">
        <v>-0.60834091951219083</v>
      </c>
      <c r="C37">
        <v>-0.75276898312517748</v>
      </c>
      <c r="D37">
        <v>-0.1557658055319063</v>
      </c>
      <c r="E37">
        <v>0.41492014633826851</v>
      </c>
      <c r="F37">
        <v>0.60714566661613889</v>
      </c>
      <c r="G37">
        <v>0.17268779776991411</v>
      </c>
      <c r="H37">
        <v>2.4983302883392299E-2</v>
      </c>
      <c r="I37">
        <v>-9.3802955723114964E-2</v>
      </c>
      <c r="J37">
        <v>-0.71717048929482163</v>
      </c>
      <c r="K37">
        <v>-1.681499887796577</v>
      </c>
      <c r="L37">
        <v>-1.33359699392371</v>
      </c>
      <c r="M37">
        <v>-0.81682265910154273</v>
      </c>
      <c r="N37">
        <v>-0.55179890461452741</v>
      </c>
      <c r="O37">
        <v>-0.75632405936485836</v>
      </c>
      <c r="P37">
        <v>-0.31732318608496329</v>
      </c>
      <c r="Q37">
        <v>0.43031822513537799</v>
      </c>
      <c r="R37">
        <v>-0.2093763762170307</v>
      </c>
      <c r="S37">
        <v>-0.1809998962762851</v>
      </c>
      <c r="T37">
        <v>2.1700247278920819E-2</v>
      </c>
      <c r="U37">
        <v>2.155077682930453</v>
      </c>
      <c r="V37">
        <v>2.401619238124006</v>
      </c>
      <c r="W37">
        <v>1.6786145101416781</v>
      </c>
      <c r="X37">
        <v>2.3782281283847082</v>
      </c>
      <c r="Y37">
        <v>2.7827969034079438</v>
      </c>
      <c r="Z37">
        <v>1.11501114356477</v>
      </c>
      <c r="AA37">
        <v>0.41144247723625371</v>
      </c>
      <c r="AB37">
        <v>-8.2613075941553205E-2</v>
      </c>
    </row>
    <row r="38" spans="1:28" x14ac:dyDescent="0.35">
      <c r="A38" t="s">
        <v>31</v>
      </c>
      <c r="B38">
        <v>0.33381411464386201</v>
      </c>
      <c r="C38">
        <v>0.95458909872551589</v>
      </c>
      <c r="D38">
        <v>3.1444345689196371</v>
      </c>
      <c r="E38">
        <v>2.4194641462641289</v>
      </c>
      <c r="F38">
        <v>1.450171335313152</v>
      </c>
      <c r="G38">
        <v>2.9737849705719301</v>
      </c>
      <c r="H38">
        <v>2.219381334446028</v>
      </c>
      <c r="I38">
        <v>1.4223754411658289</v>
      </c>
      <c r="J38">
        <v>1.190193185834775</v>
      </c>
      <c r="K38">
        <v>1.195058979448</v>
      </c>
      <c r="L38">
        <v>1.628067262467477</v>
      </c>
      <c r="M38">
        <v>1.455119442081148</v>
      </c>
      <c r="N38">
        <v>2.0793738551378649</v>
      </c>
      <c r="O38">
        <v>1.667931300740036</v>
      </c>
      <c r="P38">
        <v>2.318255726507628</v>
      </c>
      <c r="Q38">
        <v>1.9616276034523521</v>
      </c>
      <c r="R38">
        <v>0.7561778276619302</v>
      </c>
      <c r="S38">
        <v>0.95264702000137214</v>
      </c>
      <c r="T38">
        <v>1.2577992758458041</v>
      </c>
      <c r="U38">
        <v>1.350943419743093</v>
      </c>
      <c r="V38">
        <v>0.83771113675074949</v>
      </c>
      <c r="W38">
        <v>0.39253287159783667</v>
      </c>
      <c r="X38">
        <v>0.40194820881265619</v>
      </c>
      <c r="Y38">
        <v>0.44403074887875782</v>
      </c>
      <c r="Z38">
        <v>-0.2111533778391248</v>
      </c>
      <c r="AA38">
        <v>-0.36711310230664118</v>
      </c>
      <c r="AB38">
        <v>-0.75074389960547194</v>
      </c>
    </row>
    <row r="39" spans="1:28" x14ac:dyDescent="0.35">
      <c r="A39" t="s">
        <v>32</v>
      </c>
      <c r="B39">
        <v>0.59445747032923102</v>
      </c>
      <c r="C39">
        <v>-5.7681459698840913E-2</v>
      </c>
      <c r="D39">
        <v>-0.3568747826678112</v>
      </c>
      <c r="E39">
        <v>0.45735241192942189</v>
      </c>
      <c r="F39">
        <v>1.9607806889452021E-2</v>
      </c>
      <c r="G39">
        <v>0.1382005336004197</v>
      </c>
      <c r="H39">
        <v>0.31627353939742447</v>
      </c>
      <c r="I39">
        <v>0.21240471433033059</v>
      </c>
      <c r="J39">
        <v>-0.75288849242510614</v>
      </c>
      <c r="K39">
        <v>-0.52325076173835861</v>
      </c>
      <c r="L39">
        <v>-0.2375238705407034</v>
      </c>
      <c r="M39">
        <v>-0.1034533824332914</v>
      </c>
      <c r="N39">
        <v>-0.46485567047687298</v>
      </c>
      <c r="O39">
        <v>-0.47615512333845078</v>
      </c>
      <c r="P39">
        <v>0.1958718110920202</v>
      </c>
      <c r="Q39">
        <v>0.18643553018127171</v>
      </c>
      <c r="R39">
        <v>-1.9416128646254079E-2</v>
      </c>
      <c r="S39">
        <v>0.17186536721975559</v>
      </c>
      <c r="T39">
        <v>0.12577920536076401</v>
      </c>
      <c r="U39">
        <v>-0.255129678320202</v>
      </c>
      <c r="V39">
        <v>-0.44319499537969481</v>
      </c>
      <c r="W39">
        <v>-0.51262696881437497</v>
      </c>
      <c r="X39">
        <v>-0.5155161313654274</v>
      </c>
      <c r="Y39">
        <v>-0.48717516543051143</v>
      </c>
      <c r="Z39">
        <v>-0.40921249640577279</v>
      </c>
      <c r="AA39">
        <v>-0.29515717886622411</v>
      </c>
      <c r="AB39">
        <v>-0.61496161831282592</v>
      </c>
    </row>
    <row r="40" spans="1:28" x14ac:dyDescent="0.35">
      <c r="A40" t="s">
        <v>33</v>
      </c>
      <c r="B40">
        <v>130.54633919729349</v>
      </c>
      <c r="C40">
        <v>134.440970010234</v>
      </c>
      <c r="D40">
        <v>139.60116805738761</v>
      </c>
      <c r="E40">
        <v>144.26826587115619</v>
      </c>
      <c r="F40">
        <v>140.6815385452874</v>
      </c>
      <c r="G40">
        <v>139.0434157808703</v>
      </c>
      <c r="H40">
        <v>137.6851717360363</v>
      </c>
      <c r="I40">
        <v>136.605562687754</v>
      </c>
      <c r="J40">
        <v>133.57487400091091</v>
      </c>
      <c r="K40">
        <v>135.33189854995331</v>
      </c>
      <c r="L40">
        <v>137.77732782389049</v>
      </c>
      <c r="M40">
        <v>140.32542448380599</v>
      </c>
      <c r="N40">
        <v>143.67116473841381</v>
      </c>
      <c r="O40">
        <v>140.36992142999509</v>
      </c>
      <c r="P40">
        <v>141.84893351682931</v>
      </c>
      <c r="Q40">
        <v>144.1730761627484</v>
      </c>
      <c r="R40">
        <v>140.62818068550399</v>
      </c>
      <c r="S40">
        <v>141.8115841002278</v>
      </c>
      <c r="T40">
        <v>145.00359017576409</v>
      </c>
      <c r="U40">
        <v>144.55455924155979</v>
      </c>
      <c r="V40">
        <v>141.7530087525864</v>
      </c>
      <c r="W40">
        <v>142.30286559345481</v>
      </c>
      <c r="X40">
        <v>143.24898343036821</v>
      </c>
      <c r="Y40">
        <v>143.3902795108489</v>
      </c>
      <c r="Z40">
        <v>143.7962798366506</v>
      </c>
      <c r="AA40">
        <v>144.01787926001501</v>
      </c>
      <c r="AB40">
        <v>143.8039565187257</v>
      </c>
    </row>
    <row r="41" spans="1:28" x14ac:dyDescent="0.35">
      <c r="A41" t="s">
        <v>34</v>
      </c>
      <c r="B41">
        <v>29116380.579999998</v>
      </c>
      <c r="C41">
        <v>20196226.699999999</v>
      </c>
      <c r="D41">
        <v>18468001.75</v>
      </c>
      <c r="E41">
        <v>8849757.9100000001</v>
      </c>
      <c r="F41">
        <v>14981770.49</v>
      </c>
      <c r="G41">
        <v>30257693.559999999</v>
      </c>
      <c r="H41">
        <v>25342462.219999999</v>
      </c>
      <c r="I41">
        <v>18466016.989999998</v>
      </c>
      <c r="J41">
        <v>18858390.670000002</v>
      </c>
      <c r="K41">
        <v>17261432.260000002</v>
      </c>
      <c r="L41">
        <v>15397719.289999999</v>
      </c>
      <c r="M41">
        <v>9035777.1699999999</v>
      </c>
      <c r="N41">
        <v>6133241.8399999999</v>
      </c>
      <c r="O41">
        <v>8837185.2599999998</v>
      </c>
      <c r="P41">
        <v>14439332.460000001</v>
      </c>
      <c r="Q41">
        <v>14034729.859999999</v>
      </c>
      <c r="R41">
        <v>26985263.190000001</v>
      </c>
      <c r="S41">
        <v>34910163.420000002</v>
      </c>
      <c r="T41">
        <v>21546276.469999999</v>
      </c>
      <c r="U41">
        <v>21050328.010000002</v>
      </c>
      <c r="V41">
        <v>43456924.329999998</v>
      </c>
      <c r="W41">
        <v>39963234.909999996</v>
      </c>
      <c r="X41">
        <v>42633922.900000013</v>
      </c>
      <c r="Y41">
        <v>43011132.950000003</v>
      </c>
      <c r="Z41">
        <v>61884416.689999998</v>
      </c>
      <c r="AA41">
        <v>53172410.329999998</v>
      </c>
      <c r="AB41">
        <v>29879240.449999999</v>
      </c>
    </row>
    <row r="42" spans="1:28" x14ac:dyDescent="0.35">
      <c r="A42" t="s">
        <v>35</v>
      </c>
      <c r="B42">
        <v>1.422075939949957</v>
      </c>
      <c r="C42">
        <v>1.372908055119443</v>
      </c>
      <c r="D42">
        <v>1.223663037831396</v>
      </c>
      <c r="E42">
        <v>1.2693450145864149</v>
      </c>
      <c r="F42">
        <v>1.3360309534264609</v>
      </c>
      <c r="G42">
        <v>1.234117621488251</v>
      </c>
      <c r="H42">
        <v>1.282559494036414</v>
      </c>
      <c r="I42">
        <v>1.3380467724546641</v>
      </c>
      <c r="J42">
        <v>1.355125794881368</v>
      </c>
      <c r="K42">
        <v>1.354763401857785</v>
      </c>
      <c r="L42">
        <v>1.323272009526492</v>
      </c>
      <c r="M42">
        <v>1.3356727425883439</v>
      </c>
      <c r="N42">
        <v>1.2919711195533821</v>
      </c>
      <c r="O42">
        <v>1.3204462563574371</v>
      </c>
      <c r="P42">
        <v>1.2759951182433309</v>
      </c>
      <c r="Q42">
        <v>1.29999388847358</v>
      </c>
      <c r="R42">
        <v>1.388249218905566</v>
      </c>
      <c r="S42">
        <v>1.373056573358624</v>
      </c>
      <c r="T42">
        <v>1.3501079526386719</v>
      </c>
      <c r="U42">
        <v>1.34325519054677</v>
      </c>
      <c r="V42">
        <v>1.3819037549730251</v>
      </c>
      <c r="W42">
        <v>1.417274883536582</v>
      </c>
      <c r="X42">
        <v>1.416508065890967</v>
      </c>
      <c r="Y42">
        <v>1.4130908363357719</v>
      </c>
      <c r="Z42">
        <v>1.468236654652773</v>
      </c>
      <c r="AA42">
        <v>1.4820037045654679</v>
      </c>
      <c r="AB42">
        <v>1.51699252247009</v>
      </c>
    </row>
    <row r="43" spans="1:28" x14ac:dyDescent="0.35">
      <c r="A43" t="s">
        <v>36</v>
      </c>
      <c r="B43">
        <v>0.22650775042386809</v>
      </c>
      <c r="C43">
        <v>0.2358240208528406</v>
      </c>
      <c r="D43">
        <v>0.24009821118096869</v>
      </c>
      <c r="E43">
        <v>0.22846639411529401</v>
      </c>
      <c r="F43">
        <v>0.23471988847300779</v>
      </c>
      <c r="G43">
        <v>0.23302570666285111</v>
      </c>
      <c r="H43">
        <v>0.23048180658003681</v>
      </c>
      <c r="I43">
        <v>0.23196564693813809</v>
      </c>
      <c r="J43">
        <v>0.24575554989178719</v>
      </c>
      <c r="K43">
        <v>0.24247501088197651</v>
      </c>
      <c r="L43">
        <v>0.23839319815058149</v>
      </c>
      <c r="M43">
        <v>0.23647790546333269</v>
      </c>
      <c r="N43">
        <v>0.24164079529252669</v>
      </c>
      <c r="O43">
        <v>0.24180221604769209</v>
      </c>
      <c r="P43">
        <v>0.23220183127011401</v>
      </c>
      <c r="Q43">
        <v>0.2323366352831247</v>
      </c>
      <c r="R43">
        <v>0.23527737326637499</v>
      </c>
      <c r="S43">
        <v>0.23254478046828919</v>
      </c>
      <c r="T43">
        <v>0.2332031542091319</v>
      </c>
      <c r="U43">
        <v>0.23864470969028859</v>
      </c>
      <c r="V43">
        <v>0.2413313570768528</v>
      </c>
      <c r="W43">
        <v>0.24232324241163389</v>
      </c>
      <c r="X43">
        <v>0.24236451616236321</v>
      </c>
      <c r="Y43">
        <v>0.24195964522043589</v>
      </c>
      <c r="Z43">
        <v>0.24084589280579671</v>
      </c>
      <c r="AA43">
        <v>0.2392165311266603</v>
      </c>
      <c r="AB43">
        <v>0.2437851659758975</v>
      </c>
    </row>
    <row r="45" spans="1:28" x14ac:dyDescent="0.35">
      <c r="A45" t="s">
        <v>40</v>
      </c>
      <c r="B45" t="s">
        <v>1</v>
      </c>
      <c r="C45" t="s">
        <v>2</v>
      </c>
      <c r="D45" t="s">
        <v>3</v>
      </c>
      <c r="E45" t="s">
        <v>4</v>
      </c>
      <c r="F45" t="s">
        <v>5</v>
      </c>
      <c r="G45" t="s">
        <v>6</v>
      </c>
      <c r="H45" t="s">
        <v>7</v>
      </c>
      <c r="I45" t="s">
        <v>8</v>
      </c>
      <c r="J45" t="s">
        <v>9</v>
      </c>
      <c r="K45" t="s">
        <v>10</v>
      </c>
      <c r="L45" t="s">
        <v>11</v>
      </c>
      <c r="M45" t="s">
        <v>12</v>
      </c>
      <c r="N45" t="s">
        <v>13</v>
      </c>
      <c r="O45" t="s">
        <v>14</v>
      </c>
      <c r="P45" t="s">
        <v>15</v>
      </c>
      <c r="Q45" t="s">
        <v>16</v>
      </c>
      <c r="R45" t="s">
        <v>17</v>
      </c>
      <c r="S45" t="s">
        <v>18</v>
      </c>
      <c r="T45" t="s">
        <v>19</v>
      </c>
      <c r="U45" t="s">
        <v>20</v>
      </c>
      <c r="V45" t="s">
        <v>21</v>
      </c>
      <c r="W45" t="s">
        <v>22</v>
      </c>
      <c r="X45" t="s">
        <v>23</v>
      </c>
      <c r="Y45" t="s">
        <v>24</v>
      </c>
      <c r="Z45" t="s">
        <v>25</v>
      </c>
      <c r="AA45" t="s">
        <v>26</v>
      </c>
      <c r="AB45" t="s">
        <v>27</v>
      </c>
    </row>
    <row r="46" spans="1:28" x14ac:dyDescent="0.35">
      <c r="A46" t="s">
        <v>28</v>
      </c>
      <c r="B46">
        <v>132.4052406085342</v>
      </c>
      <c r="C46">
        <v>133.2043204352899</v>
      </c>
      <c r="D46">
        <v>136.3321953766237</v>
      </c>
      <c r="E46">
        <v>135.35901515591621</v>
      </c>
      <c r="F46">
        <v>133.8573758467584</v>
      </c>
      <c r="G46">
        <v>131.8711109882932</v>
      </c>
      <c r="H46">
        <v>131.13601025157351</v>
      </c>
      <c r="I46">
        <v>129.49575375995741</v>
      </c>
      <c r="J46">
        <v>129.33986697515539</v>
      </c>
      <c r="K46">
        <v>131.44923485313231</v>
      </c>
      <c r="L46">
        <v>131.7012569159462</v>
      </c>
      <c r="M46">
        <v>131.26736776136539</v>
      </c>
      <c r="N46">
        <v>132.73238468866589</v>
      </c>
      <c r="O46">
        <v>133.43984857456081</v>
      </c>
      <c r="P46">
        <v>133.7641248714985</v>
      </c>
      <c r="Q46">
        <v>135.32148251240551</v>
      </c>
      <c r="R46">
        <v>136.1747601474695</v>
      </c>
      <c r="S46">
        <v>136.81386756213129</v>
      </c>
      <c r="T46">
        <v>136.68106466802021</v>
      </c>
      <c r="U46">
        <v>134.94483011490269</v>
      </c>
      <c r="V46">
        <v>134.57630517869961</v>
      </c>
      <c r="W46">
        <v>136.4071451745674</v>
      </c>
      <c r="X46">
        <v>136.9974296820788</v>
      </c>
      <c r="Y46">
        <v>137.19855549872301</v>
      </c>
      <c r="Z46">
        <v>139.84290004307289</v>
      </c>
      <c r="AA46">
        <v>141.88836123600581</v>
      </c>
      <c r="AB46">
        <v>145.26486543186439</v>
      </c>
    </row>
    <row r="47" spans="1:28" x14ac:dyDescent="0.35">
      <c r="A47" t="s">
        <v>29</v>
      </c>
      <c r="B47">
        <v>0.53560736594900504</v>
      </c>
      <c r="C47">
        <v>0.61701572241395297</v>
      </c>
      <c r="D47">
        <v>0.32056815199288741</v>
      </c>
      <c r="E47">
        <v>-0.89602170034081041</v>
      </c>
      <c r="F47">
        <v>-0.3883974260230616</v>
      </c>
      <c r="G47">
        <v>-0.59475081045818001</v>
      </c>
      <c r="H47">
        <v>-1.1191396419241639</v>
      </c>
      <c r="I47">
        <v>-1.2437495044894431</v>
      </c>
      <c r="J47">
        <v>-0.9791471004173502</v>
      </c>
      <c r="K47">
        <v>-0.96238273685452214</v>
      </c>
      <c r="L47">
        <v>-1.6577712970424441</v>
      </c>
      <c r="M47">
        <v>-1.497522573987055</v>
      </c>
      <c r="N47">
        <v>-1.847485188041361</v>
      </c>
      <c r="O47">
        <v>-1.1462817340713229</v>
      </c>
      <c r="P47">
        <v>-0.80727380151930106</v>
      </c>
      <c r="Q47">
        <v>0.33969038938673179</v>
      </c>
      <c r="R47">
        <v>-0.70239818562143341</v>
      </c>
      <c r="S47">
        <v>-0.44588208242961969</v>
      </c>
      <c r="T47">
        <v>-0.65640100471517826</v>
      </c>
      <c r="U47">
        <v>-0.43753292801432048</v>
      </c>
      <c r="V47">
        <v>-1.1195672916499859</v>
      </c>
      <c r="W47">
        <v>0.15932713116066571</v>
      </c>
      <c r="X47">
        <v>6.9846285399677299E-2</v>
      </c>
      <c r="Y47">
        <v>1.0133051104375279</v>
      </c>
      <c r="Z47">
        <v>1.0083424138996411</v>
      </c>
      <c r="AA47">
        <v>0.50739360304191905</v>
      </c>
      <c r="AB47">
        <v>0.46118193558604048</v>
      </c>
    </row>
    <row r="48" spans="1:28" x14ac:dyDescent="0.35">
      <c r="A48" t="s">
        <v>30</v>
      </c>
      <c r="B48">
        <v>-0.99109896840182998</v>
      </c>
      <c r="C48">
        <v>-0.72580628730079433</v>
      </c>
      <c r="D48">
        <v>-0.35158840341341369</v>
      </c>
      <c r="E48">
        <v>-0.5243121967427975</v>
      </c>
      <c r="F48">
        <v>-0.47281596847851992</v>
      </c>
      <c r="G48">
        <v>1.854454706857089E-2</v>
      </c>
      <c r="H48">
        <v>-0.6502741121495218</v>
      </c>
      <c r="I48">
        <v>-0.6071892845870076</v>
      </c>
      <c r="J48">
        <v>-1.5930942268793229</v>
      </c>
      <c r="K48">
        <v>-1.901192663424333</v>
      </c>
      <c r="L48">
        <v>-2.6230809939039741</v>
      </c>
      <c r="M48">
        <v>-2.7856781145762342</v>
      </c>
      <c r="N48">
        <v>-2.5316255830914001</v>
      </c>
      <c r="O48">
        <v>-2.0186016604313459</v>
      </c>
      <c r="P48">
        <v>-1.815891924616619</v>
      </c>
      <c r="Q48">
        <v>-1.133560991728171</v>
      </c>
      <c r="R48">
        <v>-1.6630639870376429</v>
      </c>
      <c r="S48">
        <v>-1.170486985791781</v>
      </c>
      <c r="T48">
        <v>-0.2111396278835467</v>
      </c>
      <c r="U48">
        <v>2.4389400259800431</v>
      </c>
      <c r="V48">
        <v>3.8887890421336508</v>
      </c>
      <c r="W48">
        <v>2.785421835547389</v>
      </c>
      <c r="X48">
        <v>2.9939126056123828</v>
      </c>
      <c r="Y48">
        <v>3.9988951055284998</v>
      </c>
      <c r="Z48">
        <v>3.031593852856509</v>
      </c>
      <c r="AA48">
        <v>1.429060835965783</v>
      </c>
      <c r="AB48">
        <v>-0.90174318757964667</v>
      </c>
    </row>
    <row r="49" spans="1:28" x14ac:dyDescent="0.35">
      <c r="A49" t="s">
        <v>31</v>
      </c>
      <c r="B49">
        <v>-0.24827190300610891</v>
      </c>
      <c r="C49">
        <v>1.4239974051365459E-2</v>
      </c>
      <c r="D49">
        <v>2.439946764322968</v>
      </c>
      <c r="E49">
        <v>1.0060475352558429</v>
      </c>
      <c r="F49">
        <v>1.1420688340191969</v>
      </c>
      <c r="G49">
        <v>2.5243149280632688</v>
      </c>
      <c r="H49">
        <v>1.4074118614365549</v>
      </c>
      <c r="I49">
        <v>0.93854923825515879</v>
      </c>
      <c r="J49">
        <v>0.69467367867077567</v>
      </c>
      <c r="K49">
        <v>1.315767911651466</v>
      </c>
      <c r="L49">
        <v>2.0774250728031549</v>
      </c>
      <c r="M49">
        <v>1.288970328504212</v>
      </c>
      <c r="N49">
        <v>0.85873450432513598</v>
      </c>
      <c r="O49">
        <v>1.497262234611666</v>
      </c>
      <c r="P49">
        <v>2.6273237049140641</v>
      </c>
      <c r="Q49">
        <v>1.844673573436161</v>
      </c>
      <c r="R49">
        <v>1.7175371434172191</v>
      </c>
      <c r="S49">
        <v>1.962679108753403</v>
      </c>
      <c r="T49">
        <v>1.752633665079951</v>
      </c>
      <c r="U49">
        <v>1.324508055683711</v>
      </c>
      <c r="V49">
        <v>1.5183332083761061</v>
      </c>
      <c r="W49">
        <v>1.9210283069723579</v>
      </c>
      <c r="X49">
        <v>1.8497019829779571</v>
      </c>
      <c r="Y49">
        <v>1.69482101487862</v>
      </c>
      <c r="Z49">
        <v>1.5093261795813739</v>
      </c>
      <c r="AA49">
        <v>1.7837796267643311</v>
      </c>
      <c r="AB49">
        <v>1.5750881614445029</v>
      </c>
    </row>
    <row r="50" spans="1:28" x14ac:dyDescent="0.35">
      <c r="A50" t="s">
        <v>32</v>
      </c>
      <c r="B50">
        <v>0.88321383606706172</v>
      </c>
      <c r="C50">
        <v>0.2581226076060289</v>
      </c>
      <c r="D50">
        <v>0.2502934045852212</v>
      </c>
      <c r="E50">
        <v>5.8937046197509439E-2</v>
      </c>
      <c r="F50">
        <v>0.18326672865203919</v>
      </c>
      <c r="G50">
        <v>0.37175606196682309</v>
      </c>
      <c r="H50">
        <v>0.34228089865827949</v>
      </c>
      <c r="I50">
        <v>0.40698479361996642</v>
      </c>
      <c r="J50">
        <v>7.2263304428182842E-3</v>
      </c>
      <c r="K50">
        <v>-5.751642640086374E-3</v>
      </c>
      <c r="L50">
        <v>-1.583423072094303E-3</v>
      </c>
      <c r="M50">
        <v>-0.79986615104001191</v>
      </c>
      <c r="N50">
        <v>-0.17738898163398409</v>
      </c>
      <c r="O50">
        <v>-0.1075973700452371</v>
      </c>
      <c r="P50">
        <v>5.3699143195184429E-2</v>
      </c>
      <c r="Q50">
        <v>-5.6138531283421438E-2</v>
      </c>
      <c r="R50">
        <v>-0.23196863829796299</v>
      </c>
      <c r="S50">
        <v>-0.22155644103522501</v>
      </c>
      <c r="T50">
        <v>-0.18060027941858209</v>
      </c>
      <c r="U50">
        <v>-0.22359189119586231</v>
      </c>
      <c r="V50">
        <v>-0.23139796019750661</v>
      </c>
      <c r="W50">
        <v>-0.179665979258051</v>
      </c>
      <c r="X50">
        <v>-0.1928650324319259</v>
      </c>
      <c r="Y50">
        <v>-0.1802049672130307</v>
      </c>
      <c r="Z50">
        <v>-0.15791766952491459</v>
      </c>
      <c r="AA50">
        <v>-9.581626715057856E-2</v>
      </c>
      <c r="AB50">
        <v>-0.34489829300358271</v>
      </c>
    </row>
    <row r="51" spans="1:28" x14ac:dyDescent="0.35">
      <c r="A51" t="s">
        <v>33</v>
      </c>
      <c r="B51">
        <v>132.58469093914229</v>
      </c>
      <c r="C51">
        <v>133.36789245206049</v>
      </c>
      <c r="D51">
        <v>138.99141529411131</v>
      </c>
      <c r="E51">
        <v>135.00366584028589</v>
      </c>
      <c r="F51">
        <v>134.3214980149281</v>
      </c>
      <c r="G51">
        <v>134.1909757149337</v>
      </c>
      <c r="H51">
        <v>131.11628925759459</v>
      </c>
      <c r="I51">
        <v>128.99034900275609</v>
      </c>
      <c r="J51">
        <v>127.46952565697229</v>
      </c>
      <c r="K51">
        <v>129.89567572186479</v>
      </c>
      <c r="L51">
        <v>129.49624627473091</v>
      </c>
      <c r="M51">
        <v>127.47327125026629</v>
      </c>
      <c r="N51">
        <v>129.0346194402243</v>
      </c>
      <c r="O51">
        <v>131.66463004462449</v>
      </c>
      <c r="P51">
        <v>133.82198199347181</v>
      </c>
      <c r="Q51">
        <v>136.3161469522168</v>
      </c>
      <c r="R51">
        <v>135.29486647992971</v>
      </c>
      <c r="S51">
        <v>136.93862116162799</v>
      </c>
      <c r="T51">
        <v>137.38555742108281</v>
      </c>
      <c r="U51">
        <v>138.04715337735621</v>
      </c>
      <c r="V51">
        <v>138.6324621773619</v>
      </c>
      <c r="W51">
        <v>141.09325646898981</v>
      </c>
      <c r="X51">
        <v>141.7180255236369</v>
      </c>
      <c r="Y51">
        <v>143.7253717623546</v>
      </c>
      <c r="Z51">
        <v>145.2342448198855</v>
      </c>
      <c r="AA51">
        <v>145.5127790346273</v>
      </c>
      <c r="AB51">
        <v>146.05449404831171</v>
      </c>
    </row>
    <row r="52" spans="1:28" x14ac:dyDescent="0.35">
      <c r="A52" t="s">
        <v>34</v>
      </c>
      <c r="B52">
        <v>42763529.489999987</v>
      </c>
      <c r="C52">
        <v>47051820.820000008</v>
      </c>
      <c r="D52">
        <v>47380129.760000013</v>
      </c>
      <c r="E52">
        <v>49692226.780000001</v>
      </c>
      <c r="F52">
        <v>90574261.99000001</v>
      </c>
      <c r="G52">
        <v>127990911.70999999</v>
      </c>
      <c r="H52">
        <v>96621445.349999994</v>
      </c>
      <c r="I52">
        <v>73781258.74000001</v>
      </c>
      <c r="J52">
        <v>75825407.030000001</v>
      </c>
      <c r="K52">
        <v>68466017.659999996</v>
      </c>
      <c r="L52">
        <v>57316529.770000003</v>
      </c>
      <c r="M52">
        <v>65031742.950000003</v>
      </c>
      <c r="N52">
        <v>68489108.180000007</v>
      </c>
      <c r="O52">
        <v>60652735.25</v>
      </c>
      <c r="P52">
        <v>74303546.479999989</v>
      </c>
      <c r="Q52">
        <v>77783906.450000003</v>
      </c>
      <c r="R52">
        <v>115658996.94</v>
      </c>
      <c r="S52">
        <v>101935592.2</v>
      </c>
      <c r="T52">
        <v>81146600.519999996</v>
      </c>
      <c r="U52">
        <v>92090442.789999992</v>
      </c>
      <c r="V52">
        <v>151122573.03</v>
      </c>
      <c r="W52">
        <v>130170499.84999999</v>
      </c>
      <c r="X52">
        <v>108686040.5</v>
      </c>
      <c r="Y52">
        <v>91413081.209999993</v>
      </c>
      <c r="Z52">
        <v>96549690.280000001</v>
      </c>
      <c r="AA52">
        <v>60482342.950000003</v>
      </c>
      <c r="AB52">
        <v>37549583.159999996</v>
      </c>
    </row>
    <row r="53" spans="1:28" x14ac:dyDescent="0.35">
      <c r="A53" t="s">
        <v>35</v>
      </c>
      <c r="B53">
        <v>1.4714899774682619</v>
      </c>
      <c r="C53">
        <v>1.4487864305190259</v>
      </c>
      <c r="D53">
        <v>1.26800758761535</v>
      </c>
      <c r="E53">
        <v>1.3689845009980841</v>
      </c>
      <c r="F53">
        <v>1.3587204538535</v>
      </c>
      <c r="G53">
        <v>1.262528293096181</v>
      </c>
      <c r="H53">
        <v>1.339134484823564</v>
      </c>
      <c r="I53">
        <v>1.3741356490207259</v>
      </c>
      <c r="J53">
        <v>1.393074574170486</v>
      </c>
      <c r="K53">
        <v>1.34583491770056</v>
      </c>
      <c r="L53">
        <v>1.2921030959854809</v>
      </c>
      <c r="M53">
        <v>1.347806877983821</v>
      </c>
      <c r="N53">
        <v>1.3802769728185449</v>
      </c>
      <c r="O53">
        <v>1.332629644719826</v>
      </c>
      <c r="P53">
        <v>1.2559022498736501</v>
      </c>
      <c r="Q53">
        <v>1.30806192550595</v>
      </c>
      <c r="R53">
        <v>1.316946765545443</v>
      </c>
      <c r="S53">
        <v>1.2999218021160981</v>
      </c>
      <c r="T53">
        <v>1.3144820317106589</v>
      </c>
      <c r="U53">
        <v>1.3451930019127749</v>
      </c>
      <c r="V53">
        <v>1.3311133201151411</v>
      </c>
      <c r="W53">
        <v>1.3027833160059561</v>
      </c>
      <c r="X53">
        <v>1.3077129825320291</v>
      </c>
      <c r="Y53">
        <v>1.3185469911897969</v>
      </c>
      <c r="Z53">
        <v>1.331761067952475</v>
      </c>
      <c r="AA53">
        <v>1.3123024486976571</v>
      </c>
      <c r="AB53">
        <v>1.3270461914234639</v>
      </c>
    </row>
    <row r="54" spans="1:28" x14ac:dyDescent="0.35">
      <c r="A54" t="s">
        <v>36</v>
      </c>
      <c r="B54">
        <v>0.22238265948475619</v>
      </c>
      <c r="C54">
        <v>0.23131253417705669</v>
      </c>
      <c r="D54">
        <v>0.2314243799344968</v>
      </c>
      <c r="E54">
        <v>0.2341580421971784</v>
      </c>
      <c r="F54">
        <v>0.2323819038763994</v>
      </c>
      <c r="G54">
        <v>0.22968919911475971</v>
      </c>
      <c r="H54">
        <v>0.23011027287631031</v>
      </c>
      <c r="I54">
        <v>0.22918593151971481</v>
      </c>
      <c r="J54">
        <v>0.2348967667079597</v>
      </c>
      <c r="K54">
        <v>0.23508216632342979</v>
      </c>
      <c r="L54">
        <v>0.23502262032960131</v>
      </c>
      <c r="M54">
        <v>0.24642665930057159</v>
      </c>
      <c r="N54">
        <v>0.2375341283090569</v>
      </c>
      <c r="O54">
        <v>0.23653710528636049</v>
      </c>
      <c r="P54">
        <v>0.2342328693829259</v>
      </c>
      <c r="Q54">
        <v>0.23580197901833461</v>
      </c>
      <c r="R54">
        <v>0.23831383768997089</v>
      </c>
      <c r="S54">
        <v>0.23816509201478889</v>
      </c>
      <c r="T54">
        <v>0.23758000399169399</v>
      </c>
      <c r="U54">
        <v>0.23819416987422659</v>
      </c>
      <c r="V54">
        <v>0.23830568514567871</v>
      </c>
      <c r="W54">
        <v>0.2375666568465436</v>
      </c>
      <c r="X54">
        <v>0.2377552147490275</v>
      </c>
      <c r="Y54">
        <v>0.23757435667447191</v>
      </c>
      <c r="Z54">
        <v>0.23725596670749879</v>
      </c>
      <c r="AA54">
        <v>0.2363688038164368</v>
      </c>
      <c r="AB54">
        <v>0.23992711847147971</v>
      </c>
    </row>
    <row r="56" spans="1:28" x14ac:dyDescent="0.35">
      <c r="A56" t="s">
        <v>41</v>
      </c>
      <c r="B56" t="s">
        <v>1</v>
      </c>
      <c r="C56" t="s">
        <v>2</v>
      </c>
      <c r="D56" t="s">
        <v>3</v>
      </c>
      <c r="E56" t="s">
        <v>4</v>
      </c>
      <c r="F56" t="s">
        <v>5</v>
      </c>
      <c r="G56" t="s">
        <v>6</v>
      </c>
      <c r="H56" t="s">
        <v>7</v>
      </c>
      <c r="I56" t="s">
        <v>8</v>
      </c>
      <c r="J56" t="s">
        <v>9</v>
      </c>
      <c r="K56" t="s">
        <v>10</v>
      </c>
      <c r="L56" t="s">
        <v>11</v>
      </c>
      <c r="M56" t="s">
        <v>12</v>
      </c>
      <c r="N56" t="s">
        <v>13</v>
      </c>
      <c r="O56" t="s">
        <v>14</v>
      </c>
      <c r="P56" t="s">
        <v>15</v>
      </c>
      <c r="Q56" t="s">
        <v>16</v>
      </c>
      <c r="R56" t="s">
        <v>17</v>
      </c>
      <c r="S56" t="s">
        <v>18</v>
      </c>
      <c r="T56" t="s">
        <v>19</v>
      </c>
      <c r="U56" t="s">
        <v>20</v>
      </c>
      <c r="V56" t="s">
        <v>21</v>
      </c>
      <c r="W56" t="s">
        <v>22</v>
      </c>
      <c r="X56" t="s">
        <v>23</v>
      </c>
      <c r="Y56" t="s">
        <v>24</v>
      </c>
      <c r="Z56" t="s">
        <v>25</v>
      </c>
      <c r="AA56" t="s">
        <v>26</v>
      </c>
      <c r="AB56" t="s">
        <v>27</v>
      </c>
    </row>
    <row r="57" spans="1:28" x14ac:dyDescent="0.35">
      <c r="A57" t="s">
        <v>28</v>
      </c>
      <c r="B57">
        <v>135.86324289430269</v>
      </c>
      <c r="C57">
        <v>138.37284583722101</v>
      </c>
      <c r="D57">
        <v>138.78964442001589</v>
      </c>
      <c r="E57">
        <v>136.9585665063712</v>
      </c>
      <c r="F57">
        <v>135.4627964450253</v>
      </c>
      <c r="G57">
        <v>135.7381869246675</v>
      </c>
      <c r="H57">
        <v>134.50367994627931</v>
      </c>
      <c r="I57">
        <v>133.1929960194291</v>
      </c>
      <c r="J57">
        <v>133.27106309129621</v>
      </c>
      <c r="K57">
        <v>134.6984177446825</v>
      </c>
      <c r="L57">
        <v>136.05970601075171</v>
      </c>
      <c r="M57">
        <v>138.33746958394619</v>
      </c>
      <c r="N57">
        <v>140.10362550790441</v>
      </c>
      <c r="O57">
        <v>140.658173557749</v>
      </c>
      <c r="P57">
        <v>140.4909509444019</v>
      </c>
      <c r="Q57">
        <v>140.56978862069019</v>
      </c>
      <c r="R57">
        <v>139.5638528438501</v>
      </c>
      <c r="S57">
        <v>140.4397962854847</v>
      </c>
      <c r="T57">
        <v>139.8796523785802</v>
      </c>
      <c r="U57">
        <v>139.7890692521284</v>
      </c>
      <c r="V57">
        <v>139.72586108665999</v>
      </c>
      <c r="W57">
        <v>139.86619407297789</v>
      </c>
      <c r="X57">
        <v>139.9085743711621</v>
      </c>
      <c r="Y57">
        <v>140.93445670251879</v>
      </c>
      <c r="Z57">
        <v>142.1674074161912</v>
      </c>
      <c r="AA57">
        <v>142.94689934988679</v>
      </c>
      <c r="AB57">
        <v>143.70690493662349</v>
      </c>
    </row>
    <row r="58" spans="1:28" x14ac:dyDescent="0.35">
      <c r="A58" t="s">
        <v>29</v>
      </c>
      <c r="B58">
        <v>4.461709451618475</v>
      </c>
      <c r="C58">
        <v>4.5387025385204538</v>
      </c>
      <c r="D58">
        <v>4.3939415822652848</v>
      </c>
      <c r="E58">
        <v>4.0737722204981139</v>
      </c>
      <c r="F58">
        <v>3.8578575172197418</v>
      </c>
      <c r="G58">
        <v>3.607865380511726</v>
      </c>
      <c r="H58">
        <v>3.0289494003195609</v>
      </c>
      <c r="I58">
        <v>2.3931106257379038</v>
      </c>
      <c r="J58">
        <v>1.507414981758558</v>
      </c>
      <c r="K58">
        <v>1.401266643210306</v>
      </c>
      <c r="L58">
        <v>1.194553798619125</v>
      </c>
      <c r="M58">
        <v>1.3727649549729219</v>
      </c>
      <c r="N58">
        <v>1.11450536781507</v>
      </c>
      <c r="O58">
        <v>1.2982358221661059</v>
      </c>
      <c r="P58">
        <v>1.4597208551249989</v>
      </c>
      <c r="Q58">
        <v>1.7461821980158729</v>
      </c>
      <c r="R58">
        <v>1.2381887986019251</v>
      </c>
      <c r="S58">
        <v>2.178607969837032</v>
      </c>
      <c r="T58">
        <v>1.858122692845001</v>
      </c>
      <c r="U58">
        <v>1.271306875138748</v>
      </c>
      <c r="V58">
        <v>0.56501702948264665</v>
      </c>
      <c r="W58">
        <v>1.789620335193689</v>
      </c>
      <c r="X58">
        <v>1.273136663179002</v>
      </c>
      <c r="Y58">
        <v>1.337339311185701</v>
      </c>
      <c r="Z58">
        <v>0.33738365088680672</v>
      </c>
      <c r="AA58">
        <v>0.30826742767044379</v>
      </c>
      <c r="AB58">
        <v>0.36410221571367168</v>
      </c>
    </row>
    <row r="59" spans="1:28" x14ac:dyDescent="0.35">
      <c r="A59" t="s">
        <v>30</v>
      </c>
      <c r="B59">
        <v>0.28211564599451311</v>
      </c>
      <c r="C59">
        <v>0.67236008559424498</v>
      </c>
      <c r="D59">
        <v>0.26383913968924277</v>
      </c>
      <c r="E59">
        <v>0.6323515605195672</v>
      </c>
      <c r="F59">
        <v>0.76357150167410337</v>
      </c>
      <c r="G59">
        <v>1.191528292787706</v>
      </c>
      <c r="H59">
        <v>1.95968366806259</v>
      </c>
      <c r="I59">
        <v>1.0004682165466829</v>
      </c>
      <c r="J59">
        <v>0.81705595594959224</v>
      </c>
      <c r="K59">
        <v>9.4713262442361029E-2</v>
      </c>
      <c r="L59">
        <v>-0.3431162110793447</v>
      </c>
      <c r="M59">
        <v>-0.49201442538608242</v>
      </c>
      <c r="N59">
        <v>-0.87788534918842609</v>
      </c>
      <c r="O59">
        <v>-0.25842248465423212</v>
      </c>
      <c r="P59">
        <v>-0.30054956841385599</v>
      </c>
      <c r="Q59">
        <v>0.30900749443646969</v>
      </c>
      <c r="R59">
        <v>-5.80115311445615E-2</v>
      </c>
      <c r="S59">
        <v>0.27975149697697721</v>
      </c>
      <c r="T59">
        <v>-0.35849527029086647</v>
      </c>
      <c r="U59">
        <v>-0.48915211137687481</v>
      </c>
      <c r="V59">
        <v>-0.5407737555035117</v>
      </c>
      <c r="W59">
        <v>0.1293164517022819</v>
      </c>
      <c r="X59">
        <v>0.64011830107104128</v>
      </c>
      <c r="Y59">
        <v>0.95427272601482305</v>
      </c>
      <c r="Z59">
        <v>0.82064146154619477</v>
      </c>
      <c r="AA59">
        <v>0.94022017362487609</v>
      </c>
      <c r="AB59">
        <v>0.77210166069240216</v>
      </c>
    </row>
    <row r="60" spans="1:28" x14ac:dyDescent="0.35">
      <c r="A60" t="s">
        <v>31</v>
      </c>
      <c r="B60">
        <v>-1.8193238033958179</v>
      </c>
      <c r="C60">
        <v>-2.24402071253059</v>
      </c>
      <c r="D60">
        <v>2.0163682148037421E-2</v>
      </c>
      <c r="E60">
        <v>-2.0464842600927891</v>
      </c>
      <c r="F60">
        <v>0.17483477781244741</v>
      </c>
      <c r="G60">
        <v>2.8753062062223012</v>
      </c>
      <c r="H60">
        <v>1.8573642993639701</v>
      </c>
      <c r="I60">
        <v>1.6748723231114071</v>
      </c>
      <c r="J60">
        <v>-0.23728353275419059</v>
      </c>
      <c r="K60">
        <v>0.60209569040022615</v>
      </c>
      <c r="L60">
        <v>-0.61832794181840689</v>
      </c>
      <c r="M60">
        <v>-2.3417558744497402</v>
      </c>
      <c r="N60">
        <v>-2.6757786127857521</v>
      </c>
      <c r="O60">
        <v>-1.3967382393737231</v>
      </c>
      <c r="P60">
        <v>-3.6910621679388051</v>
      </c>
      <c r="Q60">
        <v>-4.7718948362993334</v>
      </c>
      <c r="R60">
        <v>-4.0808084344827211</v>
      </c>
      <c r="S60">
        <v>-0.95028807566346252</v>
      </c>
      <c r="T60">
        <v>-1.5537897919556971</v>
      </c>
      <c r="U60">
        <v>-1.482701466032031</v>
      </c>
      <c r="V60">
        <v>-0.72748389559624183</v>
      </c>
      <c r="W60">
        <v>-0.31340187908812328</v>
      </c>
      <c r="X60">
        <v>-0.53202931332391556</v>
      </c>
      <c r="Y60">
        <v>-0.22912653772026881</v>
      </c>
      <c r="Z60">
        <v>0.47648521966371771</v>
      </c>
      <c r="AA60">
        <v>1.077952305359821</v>
      </c>
      <c r="AB60">
        <v>1.162913188841826</v>
      </c>
    </row>
    <row r="61" spans="1:28" x14ac:dyDescent="0.35">
      <c r="A61" t="s">
        <v>32</v>
      </c>
      <c r="B61">
        <v>0.42455963410495101</v>
      </c>
      <c r="C61">
        <v>0.34532175011504201</v>
      </c>
      <c r="D61">
        <v>0.1404522052927267</v>
      </c>
      <c r="E61">
        <v>0.2747550731060725</v>
      </c>
      <c r="F61">
        <v>0.24707588638883371</v>
      </c>
      <c r="G61">
        <v>0.26791359930949982</v>
      </c>
      <c r="H61">
        <v>0.93730475654638656</v>
      </c>
      <c r="I61">
        <v>0.83934748964651829</v>
      </c>
      <c r="J61">
        <v>0.35047695942491852</v>
      </c>
      <c r="K61">
        <v>0.17141378981496869</v>
      </c>
      <c r="L61">
        <v>0.14048118404705071</v>
      </c>
      <c r="M61">
        <v>0.28991933094614869</v>
      </c>
      <c r="N61">
        <v>-0.24643092065564229</v>
      </c>
      <c r="O61">
        <v>-0.16775674018240441</v>
      </c>
      <c r="P61">
        <v>3.691103725876289E-3</v>
      </c>
      <c r="Q61">
        <v>-3.4039753997525341E-3</v>
      </c>
      <c r="R61">
        <v>-0.1979081231808455</v>
      </c>
      <c r="S61">
        <v>0.33508148593173059</v>
      </c>
      <c r="T61">
        <v>0.211894200151969</v>
      </c>
      <c r="U61">
        <v>0.2513900306059913</v>
      </c>
      <c r="V61">
        <v>-8.7742305636093407E-2</v>
      </c>
      <c r="W61">
        <v>-5.4187095341844231E-2</v>
      </c>
      <c r="X61">
        <v>3.2507920669354852E-2</v>
      </c>
      <c r="Y61">
        <v>0.6960479094903903</v>
      </c>
      <c r="Z61">
        <v>0.47670557087414361</v>
      </c>
      <c r="AA61">
        <v>0.69858391764291761</v>
      </c>
      <c r="AB61">
        <v>0.97872440317503695</v>
      </c>
    </row>
    <row r="62" spans="1:28" x14ac:dyDescent="0.35">
      <c r="A62" t="s">
        <v>33</v>
      </c>
      <c r="B62">
        <v>139.21230382262479</v>
      </c>
      <c r="C62">
        <v>141.68520949892019</v>
      </c>
      <c r="D62">
        <v>143.6080410294112</v>
      </c>
      <c r="E62">
        <v>139.8929611004022</v>
      </c>
      <c r="F62">
        <v>140.50613612812049</v>
      </c>
      <c r="G62">
        <v>143.68080040349881</v>
      </c>
      <c r="H62">
        <v>142.28698207057181</v>
      </c>
      <c r="I62">
        <v>139.10079467447159</v>
      </c>
      <c r="J62">
        <v>135.7087274556751</v>
      </c>
      <c r="K62">
        <v>136.96790713055029</v>
      </c>
      <c r="L62">
        <v>136.43329684052009</v>
      </c>
      <c r="M62">
        <v>137.1663835700295</v>
      </c>
      <c r="N62">
        <v>137.41803599308969</v>
      </c>
      <c r="O62">
        <v>140.1334919157047</v>
      </c>
      <c r="P62">
        <v>137.96275116690009</v>
      </c>
      <c r="Q62">
        <v>137.84967950144349</v>
      </c>
      <c r="R62">
        <v>136.46531355364391</v>
      </c>
      <c r="S62">
        <v>142.28294916256701</v>
      </c>
      <c r="T62">
        <v>140.03738420933061</v>
      </c>
      <c r="U62">
        <v>139.33991258046419</v>
      </c>
      <c r="V62">
        <v>138.93487815940679</v>
      </c>
      <c r="W62">
        <v>141.41754188544391</v>
      </c>
      <c r="X62">
        <v>141.32230794275759</v>
      </c>
      <c r="Y62">
        <v>143.69299011148951</v>
      </c>
      <c r="Z62">
        <v>144.27862331916211</v>
      </c>
      <c r="AA62">
        <v>145.97192317418481</v>
      </c>
      <c r="AB62">
        <v>146.98474640504651</v>
      </c>
    </row>
    <row r="63" spans="1:28" x14ac:dyDescent="0.35">
      <c r="A63" t="s">
        <v>34</v>
      </c>
      <c r="B63">
        <v>240841223.41999999</v>
      </c>
      <c r="C63">
        <v>210614367.91999999</v>
      </c>
      <c r="D63">
        <v>273412872.02999997</v>
      </c>
      <c r="E63">
        <v>231150995.94999999</v>
      </c>
      <c r="F63">
        <v>368402462.64999998</v>
      </c>
      <c r="G63">
        <v>372970745.81999987</v>
      </c>
      <c r="H63">
        <v>340282013.88</v>
      </c>
      <c r="I63">
        <v>287445547.94</v>
      </c>
      <c r="J63">
        <v>221578611.58000001</v>
      </c>
      <c r="K63">
        <v>355505092.49000001</v>
      </c>
      <c r="L63">
        <v>294016808.01999998</v>
      </c>
      <c r="M63">
        <v>222708125.90000001</v>
      </c>
      <c r="N63">
        <v>259877186.58000001</v>
      </c>
      <c r="O63">
        <v>257747454.94999999</v>
      </c>
      <c r="P63">
        <v>146199550.77000001</v>
      </c>
      <c r="Q63">
        <v>125006627.5</v>
      </c>
      <c r="R63">
        <v>389748768.83999997</v>
      </c>
      <c r="S63">
        <v>325640028.30000001</v>
      </c>
      <c r="T63">
        <v>300359129.88999999</v>
      </c>
      <c r="U63">
        <v>287647686.19</v>
      </c>
      <c r="V63">
        <v>440786430.79000002</v>
      </c>
      <c r="W63">
        <v>384948759.32999998</v>
      </c>
      <c r="X63">
        <v>378608271.85000002</v>
      </c>
      <c r="Y63">
        <v>341169741.93000001</v>
      </c>
      <c r="Z63">
        <v>559646274.65999997</v>
      </c>
      <c r="AA63">
        <v>484195070.25</v>
      </c>
      <c r="AB63">
        <v>403670769.31</v>
      </c>
    </row>
    <row r="64" spans="1:28" x14ac:dyDescent="0.35">
      <c r="A64" t="s">
        <v>35</v>
      </c>
      <c r="B64">
        <v>1.7088732947267331</v>
      </c>
      <c r="C64">
        <v>1.7392270590465391</v>
      </c>
      <c r="D64">
        <v>1.588775111080944</v>
      </c>
      <c r="E64">
        <v>1.7249757799251639</v>
      </c>
      <c r="F64">
        <v>1.579441654998085</v>
      </c>
      <c r="G64">
        <v>1.4325122162994259</v>
      </c>
      <c r="H64">
        <v>1.484570452750632</v>
      </c>
      <c r="I64">
        <v>1.4943057984882719</v>
      </c>
      <c r="J64">
        <v>1.604557517622808</v>
      </c>
      <c r="K64">
        <v>1.5542198299985379</v>
      </c>
      <c r="L64">
        <v>1.628500938940342</v>
      </c>
      <c r="M64">
        <v>1.7463656023762339</v>
      </c>
      <c r="N64">
        <v>1.7712111659909291</v>
      </c>
      <c r="O64">
        <v>1.6797040885501</v>
      </c>
      <c r="P64">
        <v>1.851267207604572</v>
      </c>
      <c r="Q64">
        <v>1.9448466029613261</v>
      </c>
      <c r="R64">
        <v>1.883955254067071</v>
      </c>
      <c r="S64">
        <v>1.6499501878114919</v>
      </c>
      <c r="T64">
        <v>1.6904276467039649</v>
      </c>
      <c r="U64">
        <v>1.6855567875273889</v>
      </c>
      <c r="V64">
        <v>1.635492130657531</v>
      </c>
      <c r="W64">
        <v>1.609284071993951</v>
      </c>
      <c r="X64">
        <v>1.6230158713353671</v>
      </c>
      <c r="Y64">
        <v>1.6040526570921381</v>
      </c>
      <c r="Z64">
        <v>1.5615508046580699</v>
      </c>
      <c r="AA64">
        <v>1.527060926472056</v>
      </c>
      <c r="AB64">
        <v>1.522311444887644</v>
      </c>
    </row>
    <row r="65" spans="1:28" x14ac:dyDescent="0.35">
      <c r="A65" t="s">
        <v>36</v>
      </c>
      <c r="B65">
        <v>0.246057660540454</v>
      </c>
      <c r="C65">
        <v>0.2467934408917889</v>
      </c>
      <c r="D65">
        <v>0.24869580095085331</v>
      </c>
      <c r="E65">
        <v>0.2474487028925865</v>
      </c>
      <c r="F65">
        <v>0.24770572391210369</v>
      </c>
      <c r="G65">
        <v>0.24751223086355459</v>
      </c>
      <c r="H65">
        <v>0.2412964558320693</v>
      </c>
      <c r="I65">
        <v>0.2422060590247109</v>
      </c>
      <c r="J65">
        <v>0.2467455710910543</v>
      </c>
      <c r="K65">
        <v>0.24840830052314669</v>
      </c>
      <c r="L65">
        <v>0.24869553186242019</v>
      </c>
      <c r="M65">
        <v>0.24730789192692859</v>
      </c>
      <c r="N65">
        <v>0.25228828712037382</v>
      </c>
      <c r="O65">
        <v>0.25155774115883661</v>
      </c>
      <c r="P65">
        <v>0.24996572546540261</v>
      </c>
      <c r="Q65">
        <v>0.2500316083429977</v>
      </c>
      <c r="R65">
        <v>0.25183771828667928</v>
      </c>
      <c r="S65">
        <v>0.24688852905920541</v>
      </c>
      <c r="T65">
        <v>0.24803241099858889</v>
      </c>
      <c r="U65">
        <v>0.2476656640015158</v>
      </c>
      <c r="V65">
        <v>0.25081474998090658</v>
      </c>
      <c r="W65">
        <v>0.25050316588531713</v>
      </c>
      <c r="X65">
        <v>0.2496981407366417</v>
      </c>
      <c r="Y65">
        <v>0.24353669798330349</v>
      </c>
      <c r="Z65">
        <v>0.24557344827045441</v>
      </c>
      <c r="AA65">
        <v>0.24351314933617291</v>
      </c>
      <c r="AB65">
        <v>0.2409118448276604</v>
      </c>
    </row>
    <row r="67" spans="1:28" x14ac:dyDescent="0.35">
      <c r="A67" t="s">
        <v>42</v>
      </c>
      <c r="B67" t="s">
        <v>1</v>
      </c>
      <c r="C67" t="s">
        <v>2</v>
      </c>
      <c r="D67" t="s">
        <v>3</v>
      </c>
      <c r="E67" t="s">
        <v>4</v>
      </c>
      <c r="F67" t="s">
        <v>5</v>
      </c>
      <c r="G67" t="s">
        <v>6</v>
      </c>
      <c r="H67" t="s">
        <v>7</v>
      </c>
      <c r="I67" t="s">
        <v>8</v>
      </c>
      <c r="J67" t="s">
        <v>9</v>
      </c>
      <c r="K67" t="s">
        <v>10</v>
      </c>
      <c r="L67" t="s">
        <v>11</v>
      </c>
      <c r="M67" t="s">
        <v>12</v>
      </c>
      <c r="N67" t="s">
        <v>13</v>
      </c>
      <c r="O67" t="s">
        <v>14</v>
      </c>
      <c r="P67" t="s">
        <v>15</v>
      </c>
      <c r="Q67" t="s">
        <v>16</v>
      </c>
      <c r="R67" t="s">
        <v>17</v>
      </c>
      <c r="S67" t="s">
        <v>18</v>
      </c>
      <c r="T67" t="s">
        <v>19</v>
      </c>
      <c r="U67" t="s">
        <v>20</v>
      </c>
      <c r="V67" t="s">
        <v>21</v>
      </c>
      <c r="W67" t="s">
        <v>22</v>
      </c>
      <c r="X67" t="s">
        <v>23</v>
      </c>
      <c r="Y67" t="s">
        <v>24</v>
      </c>
      <c r="Z67" t="s">
        <v>25</v>
      </c>
      <c r="AA67" t="s">
        <v>26</v>
      </c>
      <c r="AB67" t="s">
        <v>27</v>
      </c>
    </row>
    <row r="68" spans="1:28" x14ac:dyDescent="0.35">
      <c r="A68" t="s">
        <v>28</v>
      </c>
      <c r="B68">
        <v>130.89305762975229</v>
      </c>
      <c r="C68">
        <v>133.54475973719431</v>
      </c>
      <c r="D68">
        <v>135.3400149550354</v>
      </c>
      <c r="E68">
        <v>135.03051245204011</v>
      </c>
      <c r="F68">
        <v>135.3145328699986</v>
      </c>
      <c r="G68">
        <v>135.3730929401564</v>
      </c>
      <c r="H68">
        <v>135.1175158146595</v>
      </c>
      <c r="I68">
        <v>133.55965772786899</v>
      </c>
      <c r="J68">
        <v>134.1397456914859</v>
      </c>
      <c r="K68">
        <v>136.4476973294326</v>
      </c>
      <c r="L68">
        <v>137.23528352625439</v>
      </c>
      <c r="M68">
        <v>138.55190197943961</v>
      </c>
      <c r="N68">
        <v>139.35439333098159</v>
      </c>
      <c r="O68">
        <v>138.72370414439879</v>
      </c>
      <c r="P68">
        <v>138.79615913406499</v>
      </c>
      <c r="Q68">
        <v>138.23331040285419</v>
      </c>
      <c r="R68">
        <v>137.48388415200739</v>
      </c>
      <c r="S68">
        <v>138.7172048246338</v>
      </c>
      <c r="T68">
        <v>140.02578199307311</v>
      </c>
      <c r="U68">
        <v>138.56373584301579</v>
      </c>
      <c r="V68">
        <v>138.107407015392</v>
      </c>
      <c r="W68">
        <v>139.17240621239131</v>
      </c>
      <c r="X68">
        <v>139.5431213591099</v>
      </c>
      <c r="Y68">
        <v>140.46567382162289</v>
      </c>
      <c r="Z68">
        <v>141.64726715015209</v>
      </c>
      <c r="AA68">
        <v>142.01682185544789</v>
      </c>
      <c r="AB68">
        <v>142.34876708499519</v>
      </c>
    </row>
    <row r="69" spans="1:28" x14ac:dyDescent="0.35">
      <c r="A69" t="s">
        <v>29</v>
      </c>
      <c r="B69">
        <v>0.47179741311634771</v>
      </c>
      <c r="C69">
        <v>0.644848028348741</v>
      </c>
      <c r="D69">
        <v>0.52552828401141616</v>
      </c>
      <c r="E69">
        <v>0.59737949221805187</v>
      </c>
      <c r="F69">
        <v>1.2644915395369309</v>
      </c>
      <c r="G69">
        <v>1.151238071541723</v>
      </c>
      <c r="H69">
        <v>0.76212180711758448</v>
      </c>
      <c r="I69">
        <v>0.21986530264202239</v>
      </c>
      <c r="J69">
        <v>1.7698580891069651E-2</v>
      </c>
      <c r="K69">
        <v>0.65865250587119872</v>
      </c>
      <c r="L69">
        <v>0.5503666636422121</v>
      </c>
      <c r="M69">
        <v>0.69356773233862812</v>
      </c>
      <c r="N69">
        <v>0.80719726870872577</v>
      </c>
      <c r="O69">
        <v>1.059992131281299</v>
      </c>
      <c r="P69">
        <v>1.3491206151991051</v>
      </c>
      <c r="Q69">
        <v>1.0151253432271981</v>
      </c>
      <c r="R69">
        <v>0.33978923511918557</v>
      </c>
      <c r="S69">
        <v>1.1214940088561141</v>
      </c>
      <c r="T69">
        <v>1.4052363628992479</v>
      </c>
      <c r="U69">
        <v>1.166623140561148</v>
      </c>
      <c r="V69">
        <v>1.2009103393418781</v>
      </c>
      <c r="W69">
        <v>1.764687084788978</v>
      </c>
      <c r="X69">
        <v>2.180693144297472</v>
      </c>
      <c r="Y69">
        <v>2.6083270304598201</v>
      </c>
      <c r="Z69">
        <v>2.75159536878175</v>
      </c>
      <c r="AA69">
        <v>3.0040482059952391</v>
      </c>
      <c r="AB69">
        <v>3.1467251678076051</v>
      </c>
    </row>
    <row r="70" spans="1:28" x14ac:dyDescent="0.35">
      <c r="A70" t="s">
        <v>30</v>
      </c>
      <c r="B70">
        <v>-0.7470017700007574</v>
      </c>
      <c r="C70">
        <v>-0.74391619405744247</v>
      </c>
      <c r="D70">
        <v>-0.35661564718040262</v>
      </c>
      <c r="E70">
        <v>0.37616257882289728</v>
      </c>
      <c r="F70">
        <v>0.1631668223116734</v>
      </c>
      <c r="G70">
        <v>6.4526636930492265E-2</v>
      </c>
      <c r="H70">
        <v>-0.14582621441178911</v>
      </c>
      <c r="I70">
        <v>-0.67493442970860029</v>
      </c>
      <c r="J70">
        <v>-1.2583259647372591</v>
      </c>
      <c r="K70">
        <v>-1.404657958629457</v>
      </c>
      <c r="L70">
        <v>-1.561751139280291</v>
      </c>
      <c r="M70">
        <v>-1.245117433926453</v>
      </c>
      <c r="N70">
        <v>-1.3541039794320071</v>
      </c>
      <c r="O70">
        <v>-1.114107762144362</v>
      </c>
      <c r="P70">
        <v>-1.0574741612954981</v>
      </c>
      <c r="Q70">
        <v>-0.91293400907157674</v>
      </c>
      <c r="R70">
        <v>-1.026540766465488</v>
      </c>
      <c r="S70">
        <v>-0.35128118114453311</v>
      </c>
      <c r="T70">
        <v>0.33654450659750651</v>
      </c>
      <c r="U70">
        <v>1.6925289903182421</v>
      </c>
      <c r="V70">
        <v>1.6454258759872</v>
      </c>
      <c r="W70">
        <v>1.973769940663598</v>
      </c>
      <c r="X70">
        <v>2.583111049233247</v>
      </c>
      <c r="Y70">
        <v>3.5775611945227741</v>
      </c>
      <c r="Z70">
        <v>2.5350204692426268</v>
      </c>
      <c r="AA70">
        <v>2.9538191527970081</v>
      </c>
      <c r="AB70">
        <v>3.1008965265052102</v>
      </c>
    </row>
    <row r="71" spans="1:28" x14ac:dyDescent="0.35">
      <c r="A71" t="s">
        <v>31</v>
      </c>
      <c r="B71">
        <v>-0.33728600105797379</v>
      </c>
      <c r="C71">
        <v>-0.40552687844252022</v>
      </c>
      <c r="D71">
        <v>1.55100020326989</v>
      </c>
      <c r="E71">
        <v>1.07815868727695</v>
      </c>
      <c r="F71">
        <v>2.2361334132463</v>
      </c>
      <c r="G71">
        <v>4.328336552985137</v>
      </c>
      <c r="H71">
        <v>3.4794466048003132</v>
      </c>
      <c r="I71">
        <v>3.0247169752177561</v>
      </c>
      <c r="J71">
        <v>3.1917465524334752</v>
      </c>
      <c r="K71">
        <v>3.1972747997523472</v>
      </c>
      <c r="L71">
        <v>2.9227869825641428</v>
      </c>
      <c r="M71">
        <v>2.8768221284247111</v>
      </c>
      <c r="N71">
        <v>2.600210291525717</v>
      </c>
      <c r="O71">
        <v>3.6701311920560959</v>
      </c>
      <c r="P71">
        <v>4.379296508151123</v>
      </c>
      <c r="Q71">
        <v>4.7655160015890132</v>
      </c>
      <c r="R71">
        <v>4.0468876472897684</v>
      </c>
      <c r="S71">
        <v>4.3434532785513991</v>
      </c>
      <c r="T71">
        <v>4.7185464185210337</v>
      </c>
      <c r="U71">
        <v>4.6849123644393629</v>
      </c>
      <c r="V71">
        <v>4.4160563024597144</v>
      </c>
      <c r="W71">
        <v>5.1765078785000407</v>
      </c>
      <c r="X71">
        <v>5.0187307251826203</v>
      </c>
      <c r="Y71">
        <v>4.9314017462025364</v>
      </c>
      <c r="Z71">
        <v>4.1373354727886369</v>
      </c>
      <c r="AA71">
        <v>4.2993089530177162</v>
      </c>
      <c r="AB71">
        <v>4.2131101282614676</v>
      </c>
    </row>
    <row r="72" spans="1:28" x14ac:dyDescent="0.35">
      <c r="A72" t="s">
        <v>32</v>
      </c>
      <c r="B72">
        <v>0.25306902206731541</v>
      </c>
      <c r="C72">
        <v>-0.126511343053647</v>
      </c>
      <c r="D72">
        <v>-0.289395687505697</v>
      </c>
      <c r="E72">
        <v>-0.13120627160026541</v>
      </c>
      <c r="F72">
        <v>-0.28312823894857941</v>
      </c>
      <c r="G72">
        <v>-0.1411758662755212</v>
      </c>
      <c r="H72">
        <v>-0.1131361088286406</v>
      </c>
      <c r="I72">
        <v>-0.14575705071047609</v>
      </c>
      <c r="J72">
        <v>-0.40541147294228053</v>
      </c>
      <c r="K72">
        <v>-0.2634229744232342</v>
      </c>
      <c r="L72">
        <v>-0.27529918728292718</v>
      </c>
      <c r="M72">
        <v>-0.23360891832844299</v>
      </c>
      <c r="N72">
        <v>-0.50263583617280239</v>
      </c>
      <c r="O72">
        <v>-0.60628599110868486</v>
      </c>
      <c r="P72">
        <v>-0.26281842961388868</v>
      </c>
      <c r="Q72">
        <v>-5.8319717259291151E-2</v>
      </c>
      <c r="R72">
        <v>-0.12509461942604741</v>
      </c>
      <c r="S72">
        <v>5.9801956273938542E-2</v>
      </c>
      <c r="T72">
        <v>-4.2648718016974028E-2</v>
      </c>
      <c r="U72">
        <v>-0.24239526895641131</v>
      </c>
      <c r="V72">
        <v>-0.28433857852886379</v>
      </c>
      <c r="W72">
        <v>-8.3948765601258246E-2</v>
      </c>
      <c r="X72">
        <v>-0.10572736828765281</v>
      </c>
      <c r="Y72">
        <v>-0.113411401880618</v>
      </c>
      <c r="Z72">
        <v>5.3198703160396002E-2</v>
      </c>
      <c r="AA72">
        <v>0.30112541453056479</v>
      </c>
      <c r="AB72">
        <v>0.36059292611768029</v>
      </c>
    </row>
    <row r="73" spans="1:28" x14ac:dyDescent="0.35">
      <c r="A73" t="s">
        <v>33</v>
      </c>
      <c r="B73">
        <v>130.53363629387721</v>
      </c>
      <c r="C73">
        <v>132.91365334998949</v>
      </c>
      <c r="D73">
        <v>136.7705321076306</v>
      </c>
      <c r="E73">
        <v>136.9510069387577</v>
      </c>
      <c r="F73">
        <v>138.6951964061449</v>
      </c>
      <c r="G73">
        <v>140.77601833533831</v>
      </c>
      <c r="H73">
        <v>139.100121903337</v>
      </c>
      <c r="I73">
        <v>135.98354852530969</v>
      </c>
      <c r="J73">
        <v>135.68545338713091</v>
      </c>
      <c r="K73">
        <v>138.63554370200339</v>
      </c>
      <c r="L73">
        <v>138.8713868458976</v>
      </c>
      <c r="M73">
        <v>140.64356548794811</v>
      </c>
      <c r="N73">
        <v>140.9050610756112</v>
      </c>
      <c r="O73">
        <v>141.7334337144832</v>
      </c>
      <c r="P73">
        <v>143.20428366650589</v>
      </c>
      <c r="Q73">
        <v>143.0426980213395</v>
      </c>
      <c r="R73">
        <v>140.71892564852479</v>
      </c>
      <c r="S73">
        <v>143.89067288717061</v>
      </c>
      <c r="T73">
        <v>146.4434605630739</v>
      </c>
      <c r="U73">
        <v>145.86540506937811</v>
      </c>
      <c r="V73">
        <v>145.08546095465189</v>
      </c>
      <c r="W73">
        <v>148.00342235074271</v>
      </c>
      <c r="X73">
        <v>149.21992890953561</v>
      </c>
      <c r="Y73">
        <v>151.46955239092739</v>
      </c>
      <c r="Z73">
        <v>151.12441716412559</v>
      </c>
      <c r="AA73">
        <v>152.57512358178829</v>
      </c>
      <c r="AB73">
        <v>153.17009183368711</v>
      </c>
    </row>
    <row r="74" spans="1:28" x14ac:dyDescent="0.35">
      <c r="A74" t="s">
        <v>34</v>
      </c>
      <c r="B74">
        <v>159007652.28999999</v>
      </c>
      <c r="C74">
        <v>138171717.97</v>
      </c>
      <c r="D74">
        <v>143178529.33000001</v>
      </c>
      <c r="E74">
        <v>109248725.52</v>
      </c>
      <c r="F74">
        <v>157682957.19</v>
      </c>
      <c r="G74">
        <v>225550334.38999999</v>
      </c>
      <c r="H74">
        <v>181974558.75999999</v>
      </c>
      <c r="I74">
        <v>161860449.25999999</v>
      </c>
      <c r="J74">
        <v>156442350.28</v>
      </c>
      <c r="K74">
        <v>155800378.44</v>
      </c>
      <c r="L74">
        <v>131960081.27</v>
      </c>
      <c r="M74">
        <v>76666412.350000009</v>
      </c>
      <c r="N74">
        <v>54096784.399999991</v>
      </c>
      <c r="O74">
        <v>66558287.659999996</v>
      </c>
      <c r="P74">
        <v>108785731.93000001</v>
      </c>
      <c r="Q74">
        <v>159242736.91999999</v>
      </c>
      <c r="R74">
        <v>270753402.31999999</v>
      </c>
      <c r="S74">
        <v>316902837.87</v>
      </c>
      <c r="T74">
        <v>227893592.37</v>
      </c>
      <c r="U74">
        <v>241374704.56</v>
      </c>
      <c r="V74">
        <v>382023690.70999998</v>
      </c>
      <c r="W74">
        <v>390981135.95999992</v>
      </c>
      <c r="X74">
        <v>334328107.57000011</v>
      </c>
      <c r="Y74">
        <v>269470017.00999999</v>
      </c>
      <c r="Z74">
        <v>384256296.30000001</v>
      </c>
      <c r="AA74">
        <v>410589399.36000001</v>
      </c>
      <c r="AB74">
        <v>280782687.86000001</v>
      </c>
    </row>
    <row r="75" spans="1:28" x14ac:dyDescent="0.35">
      <c r="A75" t="s">
        <v>35</v>
      </c>
      <c r="B75">
        <v>1.894890742330428</v>
      </c>
      <c r="C75">
        <v>1.924524996789033</v>
      </c>
      <c r="D75">
        <v>1.7298364587874699</v>
      </c>
      <c r="E75">
        <v>1.8001656572849809</v>
      </c>
      <c r="F75">
        <v>1.672084599481257</v>
      </c>
      <c r="G75">
        <v>1.4916771934752611</v>
      </c>
      <c r="H75">
        <v>1.551213349495205</v>
      </c>
      <c r="I75">
        <v>1.597956544109679</v>
      </c>
      <c r="J75">
        <v>1.5815967079826441</v>
      </c>
      <c r="K75">
        <v>1.587130501725257</v>
      </c>
      <c r="L75">
        <v>1.6071098069841789</v>
      </c>
      <c r="M75">
        <v>1.616073512949405</v>
      </c>
      <c r="N75">
        <v>1.6425568807321029</v>
      </c>
      <c r="O75">
        <v>1.5427471256272669</v>
      </c>
      <c r="P75">
        <v>1.4918539297325171</v>
      </c>
      <c r="Q75">
        <v>1.4848890596594999</v>
      </c>
      <c r="R75">
        <v>1.529687277700442</v>
      </c>
      <c r="S75">
        <v>1.5025536941796469</v>
      </c>
      <c r="T75">
        <v>1.48117601948535</v>
      </c>
      <c r="U75">
        <v>1.486683485209837</v>
      </c>
      <c r="V75">
        <v>1.494448381097762</v>
      </c>
      <c r="W75">
        <v>1.449433682309915</v>
      </c>
      <c r="X75">
        <v>1.4503058199540939</v>
      </c>
      <c r="Y75">
        <v>1.4432782678741241</v>
      </c>
      <c r="Z75">
        <v>1.4960391326095339</v>
      </c>
      <c r="AA75">
        <v>1.4978146703121289</v>
      </c>
      <c r="AB75">
        <v>1.5133619105177301</v>
      </c>
    </row>
    <row r="76" spans="1:28" x14ac:dyDescent="0.35">
      <c r="A76" t="s">
        <v>36</v>
      </c>
      <c r="B76">
        <v>0.2436380320914994</v>
      </c>
      <c r="C76">
        <v>0.24961479108570489</v>
      </c>
      <c r="D76">
        <v>0.25219943662514638</v>
      </c>
      <c r="E76">
        <v>0.25065929139781878</v>
      </c>
      <c r="F76">
        <v>0.25261950937883437</v>
      </c>
      <c r="G76">
        <v>0.25000454036177999</v>
      </c>
      <c r="H76">
        <v>0.24952727364841409</v>
      </c>
      <c r="I76">
        <v>0.25037095304632789</v>
      </c>
      <c r="J76">
        <v>0.25398341291088938</v>
      </c>
      <c r="K76">
        <v>0.25210130566354871</v>
      </c>
      <c r="L76">
        <v>0.25218257539692401</v>
      </c>
      <c r="M76">
        <v>0.25156939495118058</v>
      </c>
      <c r="N76">
        <v>0.25547988170232011</v>
      </c>
      <c r="O76">
        <v>0.25666962403930332</v>
      </c>
      <c r="P76">
        <v>0.25176357110558811</v>
      </c>
      <c r="Q76">
        <v>0.24951112594649699</v>
      </c>
      <c r="R76">
        <v>0.2502920563469298</v>
      </c>
      <c r="S76">
        <v>0.24749327939043031</v>
      </c>
      <c r="T76">
        <v>0.24919108734660911</v>
      </c>
      <c r="U76">
        <v>0.25215463706918478</v>
      </c>
      <c r="V76">
        <v>0.25235566178471652</v>
      </c>
      <c r="W76">
        <v>0.24966607768151419</v>
      </c>
      <c r="X76">
        <v>0.2495975729114267</v>
      </c>
      <c r="Y76">
        <v>0.24922595590911539</v>
      </c>
      <c r="Z76">
        <v>0.24682427086179601</v>
      </c>
      <c r="AA76">
        <v>0.24375566879465119</v>
      </c>
      <c r="AB76">
        <v>0.24325246080101989</v>
      </c>
    </row>
    <row r="78" spans="1:28" x14ac:dyDescent="0.35">
      <c r="A78" t="s">
        <v>43</v>
      </c>
      <c r="B78" t="s">
        <v>1</v>
      </c>
      <c r="C78" t="s">
        <v>2</v>
      </c>
      <c r="D78" t="s">
        <v>3</v>
      </c>
      <c r="E78" t="s">
        <v>4</v>
      </c>
      <c r="F78" t="s">
        <v>5</v>
      </c>
      <c r="G78" t="s">
        <v>6</v>
      </c>
      <c r="H78" t="s">
        <v>7</v>
      </c>
      <c r="I78" t="s">
        <v>8</v>
      </c>
      <c r="J78" t="s">
        <v>9</v>
      </c>
      <c r="K78" t="s">
        <v>10</v>
      </c>
      <c r="L78" t="s">
        <v>11</v>
      </c>
      <c r="M78" t="s">
        <v>12</v>
      </c>
      <c r="N78" t="s">
        <v>13</v>
      </c>
      <c r="O78" t="s">
        <v>14</v>
      </c>
      <c r="P78" t="s">
        <v>15</v>
      </c>
      <c r="Q78" t="s">
        <v>16</v>
      </c>
      <c r="R78" t="s">
        <v>17</v>
      </c>
      <c r="S78" t="s">
        <v>18</v>
      </c>
      <c r="T78" t="s">
        <v>19</v>
      </c>
      <c r="U78" t="s">
        <v>20</v>
      </c>
      <c r="V78" t="s">
        <v>21</v>
      </c>
      <c r="W78" t="s">
        <v>22</v>
      </c>
      <c r="X78" t="s">
        <v>23</v>
      </c>
      <c r="Y78" t="s">
        <v>24</v>
      </c>
      <c r="Z78" t="s">
        <v>25</v>
      </c>
      <c r="AA78" t="s">
        <v>26</v>
      </c>
      <c r="AB78" t="s">
        <v>27</v>
      </c>
    </row>
    <row r="79" spans="1:28" x14ac:dyDescent="0.35">
      <c r="A79" t="s">
        <v>28</v>
      </c>
      <c r="B79">
        <v>131.2135507786596</v>
      </c>
      <c r="C79">
        <v>133.45827888741721</v>
      </c>
      <c r="D79">
        <v>135.5867087413198</v>
      </c>
      <c r="E79">
        <v>135.13321745426029</v>
      </c>
      <c r="F79">
        <v>134.78290312557681</v>
      </c>
      <c r="G79">
        <v>134.10528651656259</v>
      </c>
      <c r="H79">
        <v>133.73666750205209</v>
      </c>
      <c r="I79">
        <v>132.2872176632647</v>
      </c>
      <c r="J79">
        <v>132.57279226852489</v>
      </c>
      <c r="K79">
        <v>134.92172274685339</v>
      </c>
      <c r="L79">
        <v>135.55947583287451</v>
      </c>
      <c r="M79">
        <v>135.20869715240909</v>
      </c>
      <c r="N79">
        <v>135.65465711560529</v>
      </c>
      <c r="O79">
        <v>136.20442330186239</v>
      </c>
      <c r="P79">
        <v>136.75399699893291</v>
      </c>
      <c r="Q79">
        <v>137.277749690316</v>
      </c>
      <c r="R79">
        <v>137.0920438033931</v>
      </c>
      <c r="S79">
        <v>138.25397653162091</v>
      </c>
      <c r="T79">
        <v>139.1475388167074</v>
      </c>
      <c r="U79">
        <v>137.564331156902</v>
      </c>
      <c r="V79">
        <v>137.10650120120039</v>
      </c>
      <c r="W79">
        <v>138.4817139324951</v>
      </c>
      <c r="X79">
        <v>138.91857889265441</v>
      </c>
      <c r="Y79">
        <v>139.6381001445873</v>
      </c>
      <c r="Z79">
        <v>141.28493579363331</v>
      </c>
      <c r="AA79">
        <v>142.0003284032986</v>
      </c>
      <c r="AB79">
        <v>142.69274187909201</v>
      </c>
    </row>
    <row r="80" spans="1:28" x14ac:dyDescent="0.35">
      <c r="A80" t="s">
        <v>29</v>
      </c>
      <c r="B80">
        <v>0.4853213404465157</v>
      </c>
      <c r="C80">
        <v>0.63777786501849709</v>
      </c>
      <c r="D80">
        <v>0.47456740038094242</v>
      </c>
      <c r="E80">
        <v>0.13047382907539151</v>
      </c>
      <c r="F80">
        <v>0.6614508758998201</v>
      </c>
      <c r="G80">
        <v>0.51914574481082143</v>
      </c>
      <c r="H80">
        <v>0.1096709549658087</v>
      </c>
      <c r="I80">
        <v>-0.23840392183950221</v>
      </c>
      <c r="J80">
        <v>-0.30772854858530518</v>
      </c>
      <c r="K80">
        <v>0.16376861115496491</v>
      </c>
      <c r="L80">
        <v>-0.118299181886386</v>
      </c>
      <c r="M80">
        <v>-0.31202349275199648</v>
      </c>
      <c r="N80">
        <v>-0.67598183238767939</v>
      </c>
      <c r="O80">
        <v>8.0664287507877935E-3</v>
      </c>
      <c r="P80">
        <v>0.47398606792625297</v>
      </c>
      <c r="Q80">
        <v>0.79347106624123531</v>
      </c>
      <c r="R80">
        <v>2.7846989121947899E-2</v>
      </c>
      <c r="S80">
        <v>0.74003089899145791</v>
      </c>
      <c r="T80">
        <v>0.86389945030400128</v>
      </c>
      <c r="U80">
        <v>0.72361599623632344</v>
      </c>
      <c r="V80">
        <v>0.54316109845989713</v>
      </c>
      <c r="W80">
        <v>1.3637087643848249</v>
      </c>
      <c r="X80">
        <v>1.662832511189174</v>
      </c>
      <c r="Y80">
        <v>2.2043018238876839</v>
      </c>
      <c r="Z80">
        <v>2.4015362231567861</v>
      </c>
      <c r="AA80">
        <v>2.6834950792399779</v>
      </c>
      <c r="AB80">
        <v>2.8299460093359738</v>
      </c>
    </row>
    <row r="81" spans="1:28" x14ac:dyDescent="0.35">
      <c r="A81" t="s">
        <v>30</v>
      </c>
      <c r="B81">
        <v>-0.79873590591731325</v>
      </c>
      <c r="C81">
        <v>-0.73931578477173698</v>
      </c>
      <c r="D81">
        <v>-0.35536568318951112</v>
      </c>
      <c r="E81">
        <v>9.4632890535757783E-2</v>
      </c>
      <c r="F81">
        <v>-6.8865390505455287E-2</v>
      </c>
      <c r="G81">
        <v>4.7879952367713412E-2</v>
      </c>
      <c r="H81">
        <v>-0.32077662383670019</v>
      </c>
      <c r="I81">
        <v>-0.65372289579544818</v>
      </c>
      <c r="J81">
        <v>-1.36761336662046</v>
      </c>
      <c r="K81">
        <v>-1.5562444399680619</v>
      </c>
      <c r="L81">
        <v>-1.88314184822252</v>
      </c>
      <c r="M81">
        <v>-1.952150958609844</v>
      </c>
      <c r="N81">
        <v>-2.011988853457658</v>
      </c>
      <c r="O81">
        <v>-1.5453599264073099</v>
      </c>
      <c r="P81">
        <v>-1.365264601115761</v>
      </c>
      <c r="Q81">
        <v>-0.9853361168486231</v>
      </c>
      <c r="R81">
        <v>-1.21706166424563</v>
      </c>
      <c r="S81">
        <v>-0.55065693760613199</v>
      </c>
      <c r="T81">
        <v>0.19273568595101229</v>
      </c>
      <c r="U81">
        <v>1.8986594460005921</v>
      </c>
      <c r="V81">
        <v>2.2813166942601208</v>
      </c>
      <c r="W81">
        <v>2.176500059119451</v>
      </c>
      <c r="X81">
        <v>2.6838942743031402</v>
      </c>
      <c r="Y81">
        <v>3.6842866998547361</v>
      </c>
      <c r="Z81">
        <v>2.634736379042836</v>
      </c>
      <c r="AA81">
        <v>2.7580507652001942</v>
      </c>
      <c r="AB81">
        <v>2.628756355727158</v>
      </c>
    </row>
    <row r="82" spans="1:28" x14ac:dyDescent="0.35">
      <c r="A82" t="s">
        <v>31</v>
      </c>
      <c r="B82">
        <v>-0.31842028904952102</v>
      </c>
      <c r="C82">
        <v>-0.29889467144149512</v>
      </c>
      <c r="D82">
        <v>1.772026125752417</v>
      </c>
      <c r="E82">
        <v>1.055613435925767</v>
      </c>
      <c r="F82">
        <v>1.836974459640822</v>
      </c>
      <c r="G82">
        <v>3.6752348991741539</v>
      </c>
      <c r="H82">
        <v>2.7608325946719581</v>
      </c>
      <c r="I82">
        <v>2.3715215673153578</v>
      </c>
      <c r="J82">
        <v>2.3765599366522729</v>
      </c>
      <c r="K82">
        <v>2.622871830478759</v>
      </c>
      <c r="L82">
        <v>2.6667954429808391</v>
      </c>
      <c r="M82">
        <v>2.1480845532847699</v>
      </c>
      <c r="N82">
        <v>1.627242512997745</v>
      </c>
      <c r="O82">
        <v>2.6341325608520978</v>
      </c>
      <c r="P82">
        <v>3.6682893222169048</v>
      </c>
      <c r="Q82">
        <v>3.8069970310782582</v>
      </c>
      <c r="R82">
        <v>3.3496782841442849</v>
      </c>
      <c r="S82">
        <v>3.7640278785176382</v>
      </c>
      <c r="T82">
        <v>3.9397683083665318</v>
      </c>
      <c r="U82">
        <v>3.7568959789010981</v>
      </c>
      <c r="V82">
        <v>3.594684383177309</v>
      </c>
      <c r="W82">
        <v>4.3633714054300059</v>
      </c>
      <c r="X82">
        <v>4.2412630354453222</v>
      </c>
      <c r="Y82">
        <v>4.1115633589393292</v>
      </c>
      <c r="Z82">
        <v>3.60961017319962</v>
      </c>
      <c r="AA82">
        <v>3.9763324427622631</v>
      </c>
      <c r="AB82">
        <v>3.901936445167689</v>
      </c>
    </row>
    <row r="83" spans="1:28" x14ac:dyDescent="0.35">
      <c r="A83" t="s">
        <v>32</v>
      </c>
      <c r="B83">
        <v>0.3866223674892123</v>
      </c>
      <c r="C83">
        <v>-2.8803849470737091E-2</v>
      </c>
      <c r="D83">
        <v>-0.15520845437005951</v>
      </c>
      <c r="E83">
        <v>-7.1758755198863766E-2</v>
      </c>
      <c r="F83">
        <v>-0.1129685145876647</v>
      </c>
      <c r="G83">
        <v>4.4518521197267492E-2</v>
      </c>
      <c r="H83">
        <v>4.4809622090687153E-2</v>
      </c>
      <c r="I83">
        <v>2.7310736733031912E-2</v>
      </c>
      <c r="J83">
        <v>-0.27070302369385302</v>
      </c>
      <c r="K83">
        <v>-0.1847588042259555</v>
      </c>
      <c r="L83">
        <v>-0.19241288843328719</v>
      </c>
      <c r="M83">
        <v>-0.49349017594476619</v>
      </c>
      <c r="N83">
        <v>-0.32091943686383179</v>
      </c>
      <c r="O83">
        <v>-0.36851706029088882</v>
      </c>
      <c r="P83">
        <v>-0.13436536896939821</v>
      </c>
      <c r="Q83">
        <v>-5.7603927829525413E-2</v>
      </c>
      <c r="R83">
        <v>-0.15708360799200499</v>
      </c>
      <c r="S83">
        <v>-8.6741738781087232E-3</v>
      </c>
      <c r="T83">
        <v>-7.8871515250831081E-2</v>
      </c>
      <c r="U83">
        <v>-0.23720248824850981</v>
      </c>
      <c r="V83">
        <v>-0.26933233539417401</v>
      </c>
      <c r="W83">
        <v>-0.10785650509552019</v>
      </c>
      <c r="X83">
        <v>-0.12710512278041319</v>
      </c>
      <c r="Y83">
        <v>-0.1303304696955232</v>
      </c>
      <c r="Z83">
        <v>1.0804845835967121E-2</v>
      </c>
      <c r="AA83">
        <v>0.25016085697748269</v>
      </c>
      <c r="AB83">
        <v>0.27737515772693078</v>
      </c>
    </row>
    <row r="84" spans="1:28" x14ac:dyDescent="0.35">
      <c r="A84" t="s">
        <v>33</v>
      </c>
      <c r="B84">
        <v>130.96833829162841</v>
      </c>
      <c r="C84">
        <v>133.0290424467517</v>
      </c>
      <c r="D84">
        <v>137.32272812989359</v>
      </c>
      <c r="E84">
        <v>136.3421788545983</v>
      </c>
      <c r="F84">
        <v>137.0994945560243</v>
      </c>
      <c r="G84">
        <v>138.39206563411261</v>
      </c>
      <c r="H84">
        <v>136.33120404994389</v>
      </c>
      <c r="I84">
        <v>133.79392314967811</v>
      </c>
      <c r="J84">
        <v>133.00330726627749</v>
      </c>
      <c r="K84">
        <v>135.96735994429321</v>
      </c>
      <c r="L84">
        <v>136.03241735731319</v>
      </c>
      <c r="M84">
        <v>134.59911707838731</v>
      </c>
      <c r="N84">
        <v>134.2730095058939</v>
      </c>
      <c r="O84">
        <v>136.93274530476711</v>
      </c>
      <c r="P84">
        <v>139.39664241899089</v>
      </c>
      <c r="Q84">
        <v>140.8352777429574</v>
      </c>
      <c r="R84">
        <v>139.0954238044217</v>
      </c>
      <c r="S84">
        <v>142.1987041976457</v>
      </c>
      <c r="T84">
        <v>144.06507074607811</v>
      </c>
      <c r="U84">
        <v>143.70630008979151</v>
      </c>
      <c r="V84">
        <v>143.2563310417035</v>
      </c>
      <c r="W84">
        <v>146.2774376563338</v>
      </c>
      <c r="X84">
        <v>147.37946359081161</v>
      </c>
      <c r="Y84">
        <v>149.5079215575735</v>
      </c>
      <c r="Z84">
        <v>149.9416234148685</v>
      </c>
      <c r="AA84">
        <v>151.66836754747851</v>
      </c>
      <c r="AB84">
        <v>152.3307558470498</v>
      </c>
    </row>
    <row r="85" spans="1:28" x14ac:dyDescent="0.35">
      <c r="A85" t="s">
        <v>34</v>
      </c>
      <c r="B85">
        <v>201771181.78</v>
      </c>
      <c r="C85">
        <v>185223538.78999999</v>
      </c>
      <c r="D85">
        <v>190558659.09</v>
      </c>
      <c r="E85">
        <v>158940952.30000001</v>
      </c>
      <c r="F85">
        <v>248257219.18000001</v>
      </c>
      <c r="G85">
        <v>353541246.10000002</v>
      </c>
      <c r="H85">
        <v>278596004.11000001</v>
      </c>
      <c r="I85">
        <v>235641708</v>
      </c>
      <c r="J85">
        <v>232267757.31</v>
      </c>
      <c r="K85">
        <v>224266396.09999999</v>
      </c>
      <c r="L85">
        <v>189276611.03999999</v>
      </c>
      <c r="M85">
        <v>141698155.30000001</v>
      </c>
      <c r="N85">
        <v>122585892.58</v>
      </c>
      <c r="O85">
        <v>127211022.91</v>
      </c>
      <c r="P85">
        <v>183089278.41</v>
      </c>
      <c r="Q85">
        <v>237026643.37</v>
      </c>
      <c r="R85">
        <v>386412399.25999999</v>
      </c>
      <c r="S85">
        <v>418838430.06999999</v>
      </c>
      <c r="T85">
        <v>309040192.88999999</v>
      </c>
      <c r="U85">
        <v>333465147.35000002</v>
      </c>
      <c r="V85">
        <v>533146263.73999989</v>
      </c>
      <c r="W85">
        <v>521151635.80999988</v>
      </c>
      <c r="X85">
        <v>443014148.07000011</v>
      </c>
      <c r="Y85">
        <v>360883098.22000003</v>
      </c>
      <c r="Z85">
        <v>480805986.57999998</v>
      </c>
      <c r="AA85">
        <v>471071742.31</v>
      </c>
      <c r="AB85">
        <v>318332271.01999998</v>
      </c>
    </row>
    <row r="86" spans="1:28" x14ac:dyDescent="0.35">
      <c r="A86" t="s">
        <v>35</v>
      </c>
      <c r="B86">
        <v>1.8051548794854859</v>
      </c>
      <c r="C86">
        <v>1.8036744508836411</v>
      </c>
      <c r="D86">
        <v>1.6150082376636281</v>
      </c>
      <c r="E86">
        <v>1.6653586645533089</v>
      </c>
      <c r="F86">
        <v>1.5577567007071149</v>
      </c>
      <c r="G86">
        <v>1.408719470719012</v>
      </c>
      <c r="H86">
        <v>1.477661086970038</v>
      </c>
      <c r="I86">
        <v>1.5278764741927839</v>
      </c>
      <c r="J86">
        <v>1.5200523606482339</v>
      </c>
      <c r="K86">
        <v>1.5134656638163779</v>
      </c>
      <c r="L86">
        <v>1.5117198302221211</v>
      </c>
      <c r="M86">
        <v>1.4929537249027121</v>
      </c>
      <c r="N86">
        <v>1.4960203045530029</v>
      </c>
      <c r="O86">
        <v>1.442565556063973</v>
      </c>
      <c r="P86">
        <v>1.3960971122734021</v>
      </c>
      <c r="Q86">
        <v>1.426860539889464</v>
      </c>
      <c r="R86">
        <v>1.466010868011028</v>
      </c>
      <c r="S86">
        <v>1.4532377755982211</v>
      </c>
      <c r="T86">
        <v>1.4374061450604609</v>
      </c>
      <c r="U86">
        <v>1.4476091730637419</v>
      </c>
      <c r="V86">
        <v>1.4481503642861071</v>
      </c>
      <c r="W86">
        <v>1.412804129271475</v>
      </c>
      <c r="X86">
        <v>1.4153230751126911</v>
      </c>
      <c r="Y86">
        <v>1.4116833542269891</v>
      </c>
      <c r="Z86">
        <v>1.463050782411865</v>
      </c>
      <c r="AA86">
        <v>1.473996188324477</v>
      </c>
      <c r="AB86">
        <v>1.4913846300939499</v>
      </c>
    </row>
    <row r="87" spans="1:28" x14ac:dyDescent="0.35">
      <c r="A87" t="s">
        <v>36</v>
      </c>
      <c r="B87">
        <v>0.2391331531228047</v>
      </c>
      <c r="C87">
        <v>0.24496551962543081</v>
      </c>
      <c r="D87">
        <v>0.24703396743851949</v>
      </c>
      <c r="E87">
        <v>0.24550024455957031</v>
      </c>
      <c r="F87">
        <v>0.24523601338672479</v>
      </c>
      <c r="G87">
        <v>0.24264987078195269</v>
      </c>
      <c r="H87">
        <v>0.24279315452507599</v>
      </c>
      <c r="I87">
        <v>0.2437377573869775</v>
      </c>
      <c r="J87">
        <v>0.24775244597025139</v>
      </c>
      <c r="K87">
        <v>0.24690555313493981</v>
      </c>
      <c r="L87">
        <v>0.24698621716722069</v>
      </c>
      <c r="M87">
        <v>0.24920915912325381</v>
      </c>
      <c r="N87">
        <v>0.2454535351166337</v>
      </c>
      <c r="O87">
        <v>0.2470706733988246</v>
      </c>
      <c r="P87">
        <v>0.24464904576806451</v>
      </c>
      <c r="Q87">
        <v>0.24501226038856511</v>
      </c>
      <c r="R87">
        <v>0.24670679677025739</v>
      </c>
      <c r="S87">
        <v>0.2452230142093445</v>
      </c>
      <c r="T87">
        <v>0.24614229316293121</v>
      </c>
      <c r="U87">
        <v>0.24829928482096439</v>
      </c>
      <c r="V87">
        <v>0.2483731362282057</v>
      </c>
      <c r="W87">
        <v>0.2466439483246031</v>
      </c>
      <c r="X87">
        <v>0.24669225030613001</v>
      </c>
      <c r="Y87">
        <v>0.24627456086646499</v>
      </c>
      <c r="Z87">
        <v>0.24490287880681469</v>
      </c>
      <c r="AA87">
        <v>0.2428072465888384</v>
      </c>
      <c r="AB87">
        <v>0.24286021273286629</v>
      </c>
    </row>
    <row r="89" spans="1:28" x14ac:dyDescent="0.35">
      <c r="A89" t="s">
        <v>44</v>
      </c>
      <c r="B89" t="s">
        <v>1</v>
      </c>
      <c r="C89" t="s">
        <v>2</v>
      </c>
      <c r="D89" t="s">
        <v>3</v>
      </c>
      <c r="E89" t="s">
        <v>4</v>
      </c>
      <c r="F89" t="s">
        <v>5</v>
      </c>
      <c r="G89" t="s">
        <v>6</v>
      </c>
      <c r="H89" t="s">
        <v>7</v>
      </c>
      <c r="I89" t="s">
        <v>8</v>
      </c>
      <c r="J89" t="s">
        <v>9</v>
      </c>
      <c r="K89" t="s">
        <v>10</v>
      </c>
      <c r="L89" t="s">
        <v>11</v>
      </c>
      <c r="M89" t="s">
        <v>12</v>
      </c>
      <c r="N89" t="s">
        <v>13</v>
      </c>
      <c r="O89" t="s">
        <v>14</v>
      </c>
      <c r="P89" t="s">
        <v>15</v>
      </c>
      <c r="Q89" t="s">
        <v>16</v>
      </c>
      <c r="R89" t="s">
        <v>17</v>
      </c>
      <c r="S89" t="s">
        <v>18</v>
      </c>
      <c r="T89" t="s">
        <v>19</v>
      </c>
      <c r="U89" t="s">
        <v>20</v>
      </c>
      <c r="V89" t="s">
        <v>21</v>
      </c>
      <c r="W89" t="s">
        <v>22</v>
      </c>
      <c r="X89" t="s">
        <v>23</v>
      </c>
      <c r="Y89" t="s">
        <v>24</v>
      </c>
      <c r="Z89" t="s">
        <v>25</v>
      </c>
      <c r="AA89" t="s">
        <v>26</v>
      </c>
      <c r="AB89" t="s">
        <v>27</v>
      </c>
    </row>
    <row r="90" spans="1:28" x14ac:dyDescent="0.35">
      <c r="A90" t="s">
        <v>28</v>
      </c>
      <c r="B90">
        <v>133.7436143839754</v>
      </c>
      <c r="C90">
        <v>136.0731836102531</v>
      </c>
      <c r="D90">
        <v>137.47416041475699</v>
      </c>
      <c r="E90">
        <v>136.2148374498656</v>
      </c>
      <c r="F90">
        <v>135.18908238555511</v>
      </c>
      <c r="G90">
        <v>134.9435714861626</v>
      </c>
      <c r="H90">
        <v>134.15839929992779</v>
      </c>
      <c r="I90">
        <v>132.784958628932</v>
      </c>
      <c r="J90">
        <v>132.91370472265541</v>
      </c>
      <c r="K90">
        <v>134.78479627321241</v>
      </c>
      <c r="L90">
        <v>135.86379630233341</v>
      </c>
      <c r="M90">
        <v>137.12085696013969</v>
      </c>
      <c r="N90">
        <v>138.6776558100502</v>
      </c>
      <c r="O90">
        <v>139.18641450210589</v>
      </c>
      <c r="P90">
        <v>138.41315133294489</v>
      </c>
      <c r="Q90">
        <v>138.41445926205191</v>
      </c>
      <c r="R90">
        <v>138.33326092416709</v>
      </c>
      <c r="S90">
        <v>139.2100692143633</v>
      </c>
      <c r="T90">
        <v>139.50838101689499</v>
      </c>
      <c r="U90">
        <v>138.59464438006199</v>
      </c>
      <c r="V90">
        <v>138.29198178045479</v>
      </c>
      <c r="W90">
        <v>139.0698981064061</v>
      </c>
      <c r="X90">
        <v>139.37477442501779</v>
      </c>
      <c r="Y90">
        <v>140.2680778428817</v>
      </c>
      <c r="Z90">
        <v>141.7596062561388</v>
      </c>
      <c r="AA90">
        <v>142.48011580923981</v>
      </c>
      <c r="AB90">
        <v>143.25975885654469</v>
      </c>
    </row>
    <row r="91" spans="1:28" x14ac:dyDescent="0.35">
      <c r="A91" t="s">
        <v>29</v>
      </c>
      <c r="B91">
        <v>2.6490161809800941</v>
      </c>
      <c r="C91">
        <v>2.7133516554161492</v>
      </c>
      <c r="D91">
        <v>2.7842077118078801</v>
      </c>
      <c r="E91">
        <v>2.4670956296392932</v>
      </c>
      <c r="F91">
        <v>2.5710358755199252</v>
      </c>
      <c r="G91">
        <v>2.1048072052800082</v>
      </c>
      <c r="H91">
        <v>1.714798168383012</v>
      </c>
      <c r="I91">
        <v>1.207659105792799</v>
      </c>
      <c r="J91">
        <v>0.57846777431508656</v>
      </c>
      <c r="K91">
        <v>0.92257938574470921</v>
      </c>
      <c r="L91">
        <v>0.68038920803322189</v>
      </c>
      <c r="M91">
        <v>0.71764064063008948</v>
      </c>
      <c r="N91">
        <v>0.54062390434942109</v>
      </c>
      <c r="O91">
        <v>0.87189433937578631</v>
      </c>
      <c r="P91">
        <v>0.91163827564217548</v>
      </c>
      <c r="Q91">
        <v>1.122433112405276</v>
      </c>
      <c r="R91">
        <v>0.635619252806778</v>
      </c>
      <c r="S91">
        <v>1.3692744624486879</v>
      </c>
      <c r="T91">
        <v>1.353929578141599</v>
      </c>
      <c r="U91">
        <v>0.9772607537689405</v>
      </c>
      <c r="V91">
        <v>0.55305274485519473</v>
      </c>
      <c r="W91">
        <v>1.544653537885152</v>
      </c>
      <c r="X91">
        <v>1.4832584538300559</v>
      </c>
      <c r="Y91">
        <v>1.7829925437225</v>
      </c>
      <c r="Z91">
        <v>1.29125433860016</v>
      </c>
      <c r="AA91">
        <v>1.479565973266544</v>
      </c>
      <c r="AB91">
        <v>1.4512966054292411</v>
      </c>
    </row>
    <row r="92" spans="1:28" x14ac:dyDescent="0.35">
      <c r="A92" t="s">
        <v>30</v>
      </c>
      <c r="B92">
        <v>-0.2106059596266667</v>
      </c>
      <c r="C92">
        <v>1.1797779909853879E-2</v>
      </c>
      <c r="D92">
        <v>9.5243103612371264E-3</v>
      </c>
      <c r="E92">
        <v>0.41326086187755517</v>
      </c>
      <c r="F92">
        <v>0.42844586579329019</v>
      </c>
      <c r="G92">
        <v>0.63499672294569909</v>
      </c>
      <c r="H92">
        <v>0.93310475204600551</v>
      </c>
      <c r="I92">
        <v>0.25528390046112592</v>
      </c>
      <c r="J92">
        <v>-0.30100574686484582</v>
      </c>
      <c r="K92">
        <v>-0.54390788626844866</v>
      </c>
      <c r="L92">
        <v>-0.94625050179682058</v>
      </c>
      <c r="M92">
        <v>-1.05978359929445</v>
      </c>
      <c r="N92">
        <v>-1.241384724485747</v>
      </c>
      <c r="O92">
        <v>-0.68369595647559001</v>
      </c>
      <c r="P92">
        <v>-0.89254628915020373</v>
      </c>
      <c r="Q92">
        <v>-0.53841164141547826</v>
      </c>
      <c r="R92">
        <v>-0.63504547873378547</v>
      </c>
      <c r="S92">
        <v>-0.18743054321150929</v>
      </c>
      <c r="T92">
        <v>-7.8953572957165069E-2</v>
      </c>
      <c r="U92">
        <v>0.79282418959039713</v>
      </c>
      <c r="V92">
        <v>1.004083489435678</v>
      </c>
      <c r="W92">
        <v>1.3067721635983469</v>
      </c>
      <c r="X92">
        <v>1.7421107122755859</v>
      </c>
      <c r="Y92">
        <v>2.3576085502139552</v>
      </c>
      <c r="Z92">
        <v>1.6589573834292659</v>
      </c>
      <c r="AA92">
        <v>1.836648912421889</v>
      </c>
      <c r="AB92">
        <v>1.590703622950373</v>
      </c>
    </row>
    <row r="93" spans="1:28" x14ac:dyDescent="0.35">
      <c r="A93" t="s">
        <v>31</v>
      </c>
      <c r="B93">
        <v>-1.1351155158071189</v>
      </c>
      <c r="C93">
        <v>-1.33384227177035</v>
      </c>
      <c r="D93">
        <v>0.7396745481650302</v>
      </c>
      <c r="E93">
        <v>-0.78255055383530481</v>
      </c>
      <c r="F93">
        <v>0.84398534409383086</v>
      </c>
      <c r="G93">
        <v>3.264574091739163</v>
      </c>
      <c r="H93">
        <v>2.2640723251722901</v>
      </c>
      <c r="I93">
        <v>1.988700687150079</v>
      </c>
      <c r="J93">
        <v>1.1004192720149191</v>
      </c>
      <c r="K93">
        <v>1.383769489783568</v>
      </c>
      <c r="L93">
        <v>0.66825490123466647</v>
      </c>
      <c r="M93">
        <v>-0.59589654374250878</v>
      </c>
      <c r="N93">
        <v>-1.296587484969475</v>
      </c>
      <c r="O93">
        <v>-6.472134091419815E-2</v>
      </c>
      <c r="P93">
        <v>0.40084206474812978</v>
      </c>
      <c r="Q93">
        <v>0.84478768095160306</v>
      </c>
      <c r="R93">
        <v>-0.38153524404104378</v>
      </c>
      <c r="S93">
        <v>1.701953464577098</v>
      </c>
      <c r="T93">
        <v>1.2321178904342021</v>
      </c>
      <c r="U93">
        <v>1.330351234990266</v>
      </c>
      <c r="V93">
        <v>1.6385398368709141</v>
      </c>
      <c r="W93">
        <v>2.376485533622414</v>
      </c>
      <c r="X93">
        <v>2.041702844064087</v>
      </c>
      <c r="Y93">
        <v>2.0021608080927251</v>
      </c>
      <c r="Z93">
        <v>1.924341397676061</v>
      </c>
      <c r="AA93">
        <v>2.507233594368393</v>
      </c>
      <c r="AB93">
        <v>2.3705528314176889</v>
      </c>
    </row>
    <row r="94" spans="1:28" x14ac:dyDescent="0.35">
      <c r="A94" t="s">
        <v>32</v>
      </c>
      <c r="B94">
        <v>0.40726538968561149</v>
      </c>
      <c r="C94">
        <v>0.17025800222093981</v>
      </c>
      <c r="D94">
        <v>1.902083489161125E-2</v>
      </c>
      <c r="E94">
        <v>0.13356980101066149</v>
      </c>
      <c r="F94">
        <v>0.102127830919244</v>
      </c>
      <c r="G94">
        <v>0.15920324742710129</v>
      </c>
      <c r="H94">
        <v>0.535536442081883</v>
      </c>
      <c r="I94">
        <v>0.47353906047450961</v>
      </c>
      <c r="J94">
        <v>3.2571845591496437E-2</v>
      </c>
      <c r="K94">
        <v>3.3639605283390578E-2</v>
      </c>
      <c r="L94">
        <v>1.010684127835669E-2</v>
      </c>
      <c r="M94">
        <v>-1.470681766296395E-2</v>
      </c>
      <c r="N94">
        <v>-0.27030575130961182</v>
      </c>
      <c r="O94">
        <v>-0.23409876704907129</v>
      </c>
      <c r="P94">
        <v>-7.3070261148091606E-2</v>
      </c>
      <c r="Q94">
        <v>-3.8889202391102232E-2</v>
      </c>
      <c r="R94">
        <v>-0.17758360874866549</v>
      </c>
      <c r="S94">
        <v>0.14168692996611781</v>
      </c>
      <c r="T94">
        <v>6.4440323170356348E-2</v>
      </c>
      <c r="U94">
        <v>-1.0927164428155721E-2</v>
      </c>
      <c r="V94">
        <v>-0.1871475791644418</v>
      </c>
      <c r="W94">
        <v>-8.5055529828912096E-2</v>
      </c>
      <c r="X94">
        <v>-5.3554526934793893E-2</v>
      </c>
      <c r="Y94">
        <v>0.27125653663743571</v>
      </c>
      <c r="Z94">
        <v>0.26140702610155819</v>
      </c>
      <c r="AA94">
        <v>0.4774525753810076</v>
      </c>
      <c r="AB94">
        <v>0.6694984226589239</v>
      </c>
    </row>
    <row r="95" spans="1:28" x14ac:dyDescent="0.35">
      <c r="A95" t="s">
        <v>33</v>
      </c>
      <c r="B95">
        <v>135.4541744792073</v>
      </c>
      <c r="C95">
        <v>137.63474877602971</v>
      </c>
      <c r="D95">
        <v>141.02658781998281</v>
      </c>
      <c r="E95">
        <v>138.44621318855781</v>
      </c>
      <c r="F95">
        <v>139.13467730188131</v>
      </c>
      <c r="G95">
        <v>141.10715275355449</v>
      </c>
      <c r="H95">
        <v>139.605910987611</v>
      </c>
      <c r="I95">
        <v>136.71014138281049</v>
      </c>
      <c r="J95">
        <v>134.32415786771199</v>
      </c>
      <c r="K95">
        <v>136.58087686775559</v>
      </c>
      <c r="L95">
        <v>136.27629675108281</v>
      </c>
      <c r="M95">
        <v>136.1681106400699</v>
      </c>
      <c r="N95">
        <v>136.4100017536347</v>
      </c>
      <c r="O95">
        <v>139.07579277704289</v>
      </c>
      <c r="P95">
        <v>138.76001512303699</v>
      </c>
      <c r="Q95">
        <v>139.80437921160231</v>
      </c>
      <c r="R95">
        <v>137.7747158454504</v>
      </c>
      <c r="S95">
        <v>142.2355535281437</v>
      </c>
      <c r="T95">
        <v>142.07991523568401</v>
      </c>
      <c r="U95">
        <v>141.68415339398339</v>
      </c>
      <c r="V95">
        <v>141.30051027245219</v>
      </c>
      <c r="W95">
        <v>144.21275381168309</v>
      </c>
      <c r="X95">
        <v>144.58829190825281</v>
      </c>
      <c r="Y95">
        <v>146.6820962815483</v>
      </c>
      <c r="Z95">
        <v>146.89556640194581</v>
      </c>
      <c r="AA95">
        <v>148.78101686467761</v>
      </c>
      <c r="AB95">
        <v>149.34181033900089</v>
      </c>
    </row>
    <row r="96" spans="1:28" x14ac:dyDescent="0.35">
      <c r="A96" t="s">
        <v>34</v>
      </c>
      <c r="B96">
        <v>442612405.19999999</v>
      </c>
      <c r="C96">
        <v>395837906.70999998</v>
      </c>
      <c r="D96">
        <v>463971531.12</v>
      </c>
      <c r="E96">
        <v>390091948.25</v>
      </c>
      <c r="F96">
        <v>616659681.83000004</v>
      </c>
      <c r="G96">
        <v>726511991.91999996</v>
      </c>
      <c r="H96">
        <v>618878017.99000001</v>
      </c>
      <c r="I96">
        <v>523087255.94</v>
      </c>
      <c r="J96">
        <v>453846368.88999999</v>
      </c>
      <c r="K96">
        <v>579771488.59000003</v>
      </c>
      <c r="L96">
        <v>483293419.06</v>
      </c>
      <c r="M96">
        <v>364406281.19999999</v>
      </c>
      <c r="N96">
        <v>382463079.16000003</v>
      </c>
      <c r="O96">
        <v>384958477.86000001</v>
      </c>
      <c r="P96">
        <v>329288829.18000001</v>
      </c>
      <c r="Q96">
        <v>362033270.87</v>
      </c>
      <c r="R96">
        <v>776161168.10000002</v>
      </c>
      <c r="S96">
        <v>744478458.36999989</v>
      </c>
      <c r="T96">
        <v>609399322.77999997</v>
      </c>
      <c r="U96">
        <v>621112833.53999996</v>
      </c>
      <c r="V96">
        <v>973932694.52999997</v>
      </c>
      <c r="W96">
        <v>906100395.13999987</v>
      </c>
      <c r="X96">
        <v>821622419.92000008</v>
      </c>
      <c r="Y96">
        <v>702052840.14999998</v>
      </c>
      <c r="Z96">
        <v>1040452261.24</v>
      </c>
      <c r="AA96">
        <v>955266812.55999994</v>
      </c>
      <c r="AB96">
        <v>722003040.32999992</v>
      </c>
    </row>
    <row r="97" spans="1:28" x14ac:dyDescent="0.35">
      <c r="A97" t="s">
        <v>35</v>
      </c>
      <c r="B97">
        <v>1.752764629249195</v>
      </c>
      <c r="C97">
        <v>1.769383781734039</v>
      </c>
      <c r="D97">
        <v>1.599549370038746</v>
      </c>
      <c r="E97">
        <v>1.7006850937597859</v>
      </c>
      <c r="F97">
        <v>1.5707116429526311</v>
      </c>
      <c r="G97">
        <v>1.420933994584999</v>
      </c>
      <c r="H97">
        <v>1.4814601117117641</v>
      </c>
      <c r="I97">
        <v>1.509428803822267</v>
      </c>
      <c r="J97">
        <v>1.5613097918789209</v>
      </c>
      <c r="K97">
        <v>1.5384553604521629</v>
      </c>
      <c r="L97">
        <v>1.5827648878791241</v>
      </c>
      <c r="M97">
        <v>1.64782724718965</v>
      </c>
      <c r="N97">
        <v>1.6830078354803919</v>
      </c>
      <c r="O97">
        <v>1.6013407402309929</v>
      </c>
      <c r="P97">
        <v>1.59818615254564</v>
      </c>
      <c r="Q97">
        <v>1.605716175674019</v>
      </c>
      <c r="R97">
        <v>1.675881338995407</v>
      </c>
      <c r="S97">
        <v>1.539281145637889</v>
      </c>
      <c r="T97">
        <v>1.5621147150181931</v>
      </c>
      <c r="U97">
        <v>1.55780667187374</v>
      </c>
      <c r="V97">
        <v>1.532938264929081</v>
      </c>
      <c r="W97">
        <v>1.4962768996067759</v>
      </c>
      <c r="X97">
        <v>1.5110290937741799</v>
      </c>
      <c r="Y97">
        <v>1.505167180030947</v>
      </c>
      <c r="Z97">
        <v>1.5160327139791221</v>
      </c>
      <c r="AA97">
        <v>1.500893055542452</v>
      </c>
      <c r="AB97">
        <v>1.508675763818778</v>
      </c>
    </row>
    <row r="98" spans="1:28" x14ac:dyDescent="0.35">
      <c r="A98" t="s">
        <v>36</v>
      </c>
      <c r="B98">
        <v>0.24290102500902969</v>
      </c>
      <c r="C98">
        <v>0.2459381058168881</v>
      </c>
      <c r="D98">
        <v>0.2480132660440742</v>
      </c>
      <c r="E98">
        <v>0.24665481359454849</v>
      </c>
      <c r="F98">
        <v>0.24671145837914291</v>
      </c>
      <c r="G98">
        <v>0.24514606917406431</v>
      </c>
      <c r="H98">
        <v>0.24197021425151119</v>
      </c>
      <c r="I98">
        <v>0.24289606248804649</v>
      </c>
      <c r="J98">
        <v>0.24726086566233149</v>
      </c>
      <c r="K98">
        <v>0.24782700988082579</v>
      </c>
      <c r="L98">
        <v>0.24802609735338529</v>
      </c>
      <c r="M98">
        <v>0.24804719327366859</v>
      </c>
      <c r="N98">
        <v>0.25009763337993551</v>
      </c>
      <c r="O98">
        <v>0.25007497220466068</v>
      </c>
      <c r="P98">
        <v>0.24700957583911021</v>
      </c>
      <c r="Q98">
        <v>0.24674539325374301</v>
      </c>
      <c r="R98">
        <v>0.24928328529639099</v>
      </c>
      <c r="S98">
        <v>0.2459515219273922</v>
      </c>
      <c r="T98">
        <v>0.24707388945338629</v>
      </c>
      <c r="U98">
        <v>0.24800584447841439</v>
      </c>
      <c r="V98">
        <v>0.24947817173781051</v>
      </c>
      <c r="W98">
        <v>0.24828350285956369</v>
      </c>
      <c r="X98">
        <v>0.24807738166778059</v>
      </c>
      <c r="Y98">
        <v>0.24494406845924341</v>
      </c>
      <c r="Z98">
        <v>0.2452635697449837</v>
      </c>
      <c r="AA98">
        <v>0.24316504676135711</v>
      </c>
      <c r="AB98">
        <v>0.2417708832878907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C98"/>
  <sheetViews>
    <sheetView topLeftCell="AS72" workbookViewId="0">
      <selection activeCell="BZ83" sqref="BZ83"/>
    </sheetView>
  </sheetViews>
  <sheetFormatPr defaultRowHeight="14.5" x14ac:dyDescent="0.35"/>
  <sheetData>
    <row r="1" spans="1:81" x14ac:dyDescent="0.35">
      <c r="A1" t="s">
        <v>0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  <c r="N1" t="s">
        <v>87</v>
      </c>
      <c r="O1" t="s">
        <v>88</v>
      </c>
      <c r="P1" t="s">
        <v>89</v>
      </c>
      <c r="Q1" t="s">
        <v>90</v>
      </c>
      <c r="R1" t="s">
        <v>91</v>
      </c>
      <c r="S1" t="s">
        <v>92</v>
      </c>
      <c r="T1" t="s">
        <v>93</v>
      </c>
      <c r="U1" t="s">
        <v>94</v>
      </c>
      <c r="V1" t="s">
        <v>95</v>
      </c>
      <c r="W1" t="s">
        <v>96</v>
      </c>
      <c r="X1" t="s">
        <v>97</v>
      </c>
      <c r="Y1" t="s">
        <v>98</v>
      </c>
      <c r="Z1" t="s">
        <v>99</v>
      </c>
      <c r="AA1" t="s">
        <v>100</v>
      </c>
      <c r="AB1" t="s">
        <v>101</v>
      </c>
      <c r="AC1" t="s">
        <v>102</v>
      </c>
      <c r="AD1" t="s">
        <v>103</v>
      </c>
      <c r="AE1" t="s">
        <v>104</v>
      </c>
      <c r="AF1" t="s">
        <v>105</v>
      </c>
      <c r="AG1" t="s">
        <v>106</v>
      </c>
      <c r="AH1" t="s">
        <v>107</v>
      </c>
      <c r="AI1" t="s">
        <v>108</v>
      </c>
      <c r="AJ1" t="s">
        <v>109</v>
      </c>
      <c r="AK1" t="s">
        <v>110</v>
      </c>
      <c r="AL1" t="s">
        <v>111</v>
      </c>
      <c r="AM1" t="s">
        <v>112</v>
      </c>
      <c r="AN1" t="s">
        <v>113</v>
      </c>
      <c r="AO1" t="s">
        <v>114</v>
      </c>
      <c r="AP1" t="s">
        <v>115</v>
      </c>
      <c r="AQ1" t="s">
        <v>116</v>
      </c>
      <c r="AR1" t="s">
        <v>117</v>
      </c>
      <c r="AS1" t="s">
        <v>118</v>
      </c>
      <c r="AT1" t="s">
        <v>119</v>
      </c>
      <c r="AU1" t="s">
        <v>120</v>
      </c>
      <c r="AV1" t="s">
        <v>121</v>
      </c>
      <c r="AW1" t="s">
        <v>122</v>
      </c>
      <c r="AX1" t="s">
        <v>123</v>
      </c>
      <c r="AY1" t="s">
        <v>124</v>
      </c>
      <c r="AZ1" t="s">
        <v>125</v>
      </c>
      <c r="BA1" t="s">
        <v>126</v>
      </c>
      <c r="BB1" t="s">
        <v>127</v>
      </c>
      <c r="BC1" t="s">
        <v>46</v>
      </c>
      <c r="BD1" t="s">
        <v>47</v>
      </c>
      <c r="BE1" t="s">
        <v>48</v>
      </c>
      <c r="BF1" t="s">
        <v>49</v>
      </c>
      <c r="BG1" t="s">
        <v>50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63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69</v>
      </c>
      <c r="CA1" t="s">
        <v>70</v>
      </c>
      <c r="CB1" t="s">
        <v>71</v>
      </c>
      <c r="CC1" t="s">
        <v>128</v>
      </c>
    </row>
    <row r="2" spans="1:81" x14ac:dyDescent="0.35">
      <c r="A2" t="s">
        <v>28</v>
      </c>
      <c r="B2">
        <v>132.2241619390681</v>
      </c>
      <c r="C2">
        <v>131.69557600078139</v>
      </c>
      <c r="D2">
        <v>131.53582824909881</v>
      </c>
      <c r="E2">
        <v>132.10731633446471</v>
      </c>
      <c r="F2">
        <v>133.73850016265479</v>
      </c>
      <c r="G2">
        <v>134.61743082265741</v>
      </c>
      <c r="H2">
        <v>134.70335888236579</v>
      </c>
      <c r="I2">
        <v>135.4047746523639</v>
      </c>
      <c r="J2">
        <v>135.95363482544801</v>
      </c>
      <c r="K2">
        <v>135.57208928937001</v>
      </c>
      <c r="L2">
        <v>136.62575702736621</v>
      </c>
      <c r="M2">
        <v>135.31622820866019</v>
      </c>
      <c r="N2">
        <v>135.39724796430781</v>
      </c>
      <c r="O2">
        <v>135.0727879403145</v>
      </c>
      <c r="P2">
        <v>133.98797247698309</v>
      </c>
      <c r="Q2">
        <v>134.81867575659359</v>
      </c>
      <c r="R2">
        <v>135.4494120870846</v>
      </c>
      <c r="S2">
        <v>135.34928254792021</v>
      </c>
      <c r="T2">
        <v>135.11117902221321</v>
      </c>
      <c r="U2">
        <v>136.07627260497631</v>
      </c>
      <c r="V2">
        <v>134.90842066942071</v>
      </c>
      <c r="W2">
        <v>134.97240673576769</v>
      </c>
      <c r="X2">
        <v>133.41344493614301</v>
      </c>
      <c r="Y2">
        <v>134.69760720729681</v>
      </c>
      <c r="Z2">
        <v>134.07195683506271</v>
      </c>
      <c r="AA2">
        <v>133.4297191991505</v>
      </c>
      <c r="AB2">
        <v>134.50193850488699</v>
      </c>
      <c r="AC2">
        <v>135.3253668343186</v>
      </c>
      <c r="AD2">
        <v>136.2051025596468</v>
      </c>
      <c r="AE2">
        <v>136.07923031291949</v>
      </c>
      <c r="AF2">
        <v>136.0277987012029</v>
      </c>
      <c r="AG2">
        <v>136.13181920408391</v>
      </c>
      <c r="AH2">
        <v>136.23122197358759</v>
      </c>
      <c r="AI2">
        <v>136.45645249123129</v>
      </c>
      <c r="AJ2">
        <v>137.33241796787649</v>
      </c>
      <c r="AK2">
        <v>136.4747775388729</v>
      </c>
      <c r="AL2">
        <v>137.33775872804799</v>
      </c>
      <c r="AM2">
        <v>136.79209401636729</v>
      </c>
      <c r="AN2">
        <v>136.18946987250689</v>
      </c>
      <c r="AO2">
        <v>137.1613283891798</v>
      </c>
      <c r="AP2">
        <v>136.65871416930619</v>
      </c>
      <c r="AQ2">
        <v>136.7589706058788</v>
      </c>
      <c r="AR2">
        <v>135.57786625331869</v>
      </c>
      <c r="AS2">
        <v>136.71598361028819</v>
      </c>
      <c r="AT2">
        <v>136.97201205627431</v>
      </c>
      <c r="AU2">
        <v>137.32680315587669</v>
      </c>
      <c r="AV2">
        <v>136.63450647426299</v>
      </c>
      <c r="AW2">
        <v>137.20100518638139</v>
      </c>
      <c r="AX2">
        <v>136.55224023434059</v>
      </c>
      <c r="AY2">
        <v>136.5635002220645</v>
      </c>
      <c r="AZ2">
        <v>136.1414700145952</v>
      </c>
      <c r="BA2">
        <v>137.03615950289051</v>
      </c>
      <c r="BB2">
        <v>137.2345685728196</v>
      </c>
      <c r="BC2">
        <v>137.0994737377851</v>
      </c>
      <c r="BD2">
        <v>137.80157886800521</v>
      </c>
      <c r="BE2">
        <v>138.44514676681769</v>
      </c>
      <c r="BF2">
        <v>138.07105014945029</v>
      </c>
      <c r="BG2">
        <v>137.16167916169479</v>
      </c>
      <c r="BH2">
        <v>136.31057671874359</v>
      </c>
      <c r="BI2">
        <v>136.80042188048631</v>
      </c>
      <c r="BJ2">
        <v>136.82380299527509</v>
      </c>
      <c r="BK2">
        <v>137.05183927259171</v>
      </c>
      <c r="BL2">
        <v>136.62074134082249</v>
      </c>
      <c r="BM2">
        <v>137.56525012492671</v>
      </c>
      <c r="BN2">
        <v>138.30009568671269</v>
      </c>
      <c r="BO2">
        <v>138.20068058195491</v>
      </c>
      <c r="BP2">
        <v>138.46661782208571</v>
      </c>
      <c r="BQ2">
        <v>138.33461915343329</v>
      </c>
      <c r="BR2">
        <v>138.84727691646029</v>
      </c>
      <c r="BS2">
        <v>138.81220292695591</v>
      </c>
      <c r="BT2">
        <v>138.99432222552699</v>
      </c>
      <c r="BU2">
        <v>140.3063705008916</v>
      </c>
      <c r="BV2">
        <v>140.39661826955091</v>
      </c>
      <c r="BW2">
        <v>140.1670215760148</v>
      </c>
      <c r="BX2">
        <v>140.29640620718681</v>
      </c>
      <c r="BY2">
        <v>140.7397600374656</v>
      </c>
      <c r="BZ2">
        <v>140.87261868900441</v>
      </c>
      <c r="CA2">
        <v>141.1551288971016</v>
      </c>
      <c r="CB2">
        <v>140.93325276682069</v>
      </c>
      <c r="CC2">
        <v>141.92180039212619</v>
      </c>
    </row>
    <row r="3" spans="1:81" x14ac:dyDescent="0.35">
      <c r="A3" t="s">
        <v>29</v>
      </c>
      <c r="B3">
        <v>1.397146059269915</v>
      </c>
      <c r="C3">
        <v>1.436567921859194</v>
      </c>
      <c r="D3">
        <v>1.441328326062802</v>
      </c>
      <c r="E3">
        <v>0.93486041941554276</v>
      </c>
      <c r="F3">
        <v>1.421009187041534</v>
      </c>
      <c r="G3">
        <v>1.438645296997805</v>
      </c>
      <c r="H3">
        <v>0.55734958878440466</v>
      </c>
      <c r="I3">
        <v>0.60751992383856646</v>
      </c>
      <c r="J3">
        <v>0.60570429815317084</v>
      </c>
      <c r="K3">
        <v>1.2831532865172619</v>
      </c>
      <c r="L3">
        <v>1.158924251538906</v>
      </c>
      <c r="M3">
        <v>0.7439246285970853</v>
      </c>
      <c r="N3">
        <v>1.1488363727471269</v>
      </c>
      <c r="O3">
        <v>1.2652721395744491</v>
      </c>
      <c r="P3">
        <v>1.4062679477907809</v>
      </c>
      <c r="Q3">
        <v>1.6470468181381359</v>
      </c>
      <c r="R3">
        <v>1.221465557401672</v>
      </c>
      <c r="S3">
        <v>1.080171019966969</v>
      </c>
      <c r="T3">
        <v>1.0392973483033361</v>
      </c>
      <c r="U3">
        <v>1.114815677882717</v>
      </c>
      <c r="V3">
        <v>1.3332275044072051</v>
      </c>
      <c r="W3">
        <v>1.2369961759769981</v>
      </c>
      <c r="X3">
        <v>0.41351354939300222</v>
      </c>
      <c r="Y3">
        <v>0.85695127867703036</v>
      </c>
      <c r="Z3">
        <v>1.063827745202786</v>
      </c>
      <c r="AA3">
        <v>1.1378195252475509</v>
      </c>
      <c r="AB3">
        <v>1.409375994826775</v>
      </c>
      <c r="AC3">
        <v>1.292257719879103</v>
      </c>
      <c r="AD3">
        <v>1.3622674908275769</v>
      </c>
      <c r="AE3">
        <v>0.95844453387906015</v>
      </c>
      <c r="AF3">
        <v>1.095234609312683</v>
      </c>
      <c r="AG3">
        <v>1.3082561904168979</v>
      </c>
      <c r="AH3">
        <v>1.267159177616662</v>
      </c>
      <c r="AI3">
        <v>1.035884269667378</v>
      </c>
      <c r="AJ3">
        <v>0.66135765618042797</v>
      </c>
      <c r="AK3">
        <v>1.9483550916216641</v>
      </c>
      <c r="AL3">
        <v>0.20904278011224159</v>
      </c>
      <c r="AM3">
        <v>1.1244793407566649</v>
      </c>
      <c r="AN3">
        <v>0.91914195863819259</v>
      </c>
      <c r="AO3">
        <v>0.5301979031311248</v>
      </c>
      <c r="AP3">
        <v>1.1926648440775121</v>
      </c>
      <c r="AQ3">
        <v>1.3122606275319411</v>
      </c>
      <c r="AR3">
        <v>0.34840590259585719</v>
      </c>
      <c r="AS3">
        <v>0.66980773481014921</v>
      </c>
      <c r="AT3">
        <v>1.0231316271423621</v>
      </c>
      <c r="AU3">
        <v>1.124612784681972</v>
      </c>
      <c r="AV3">
        <v>0.49336982126965268</v>
      </c>
      <c r="AW3">
        <v>0.79687247025140096</v>
      </c>
      <c r="AX3">
        <v>0.83586978364155584</v>
      </c>
      <c r="AY3">
        <v>0.25595469136169408</v>
      </c>
      <c r="AZ3">
        <v>0.62945265747509893</v>
      </c>
      <c r="BA3">
        <v>0.91038335320698138</v>
      </c>
      <c r="BB3">
        <v>1.206136848017678</v>
      </c>
      <c r="BC3">
        <v>1.31071226407883</v>
      </c>
      <c r="BD3">
        <v>1.0775163162989541</v>
      </c>
      <c r="BE3">
        <v>0.98926286788528728</v>
      </c>
      <c r="BF3">
        <v>0.68324824575915954</v>
      </c>
      <c r="BG3">
        <v>1.061374155930253</v>
      </c>
      <c r="BH3">
        <v>0.81334911003537513</v>
      </c>
      <c r="BI3">
        <v>1.250649758452681</v>
      </c>
      <c r="BJ3">
        <v>1.5516519235341659</v>
      </c>
      <c r="BK3">
        <v>1.652105902271956</v>
      </c>
      <c r="BL3">
        <v>1.146017810946319</v>
      </c>
      <c r="BM3">
        <v>2.1162711016320368</v>
      </c>
      <c r="BN3">
        <v>2.4403996720953098</v>
      </c>
      <c r="BO3">
        <v>2.8837555557798851</v>
      </c>
      <c r="BP3">
        <v>2.9829128778957852</v>
      </c>
      <c r="BQ3">
        <v>2.9530224220886789</v>
      </c>
      <c r="BR3">
        <v>2.697407607189064</v>
      </c>
      <c r="BS3">
        <v>2.8883547637960869</v>
      </c>
      <c r="BT3">
        <v>2.4145942687844131</v>
      </c>
      <c r="BU3">
        <v>3.222483034055557</v>
      </c>
      <c r="BV3">
        <v>3.4539234938434622</v>
      </c>
      <c r="BW3">
        <v>2.9184445347355852</v>
      </c>
      <c r="BX3">
        <v>2.7430522872461149</v>
      </c>
      <c r="BY3">
        <v>3.214133522428654</v>
      </c>
      <c r="BZ3">
        <v>3.3893383965202588</v>
      </c>
      <c r="CA3">
        <v>3.397210123679173</v>
      </c>
      <c r="CB3">
        <v>3.518810271760429</v>
      </c>
      <c r="CC3">
        <v>3.4748867615670629</v>
      </c>
    </row>
    <row r="4" spans="1:81" x14ac:dyDescent="0.35">
      <c r="A4" t="s">
        <v>30</v>
      </c>
      <c r="B4">
        <v>-0.34250489691372321</v>
      </c>
      <c r="C4">
        <v>-0.56519187207397892</v>
      </c>
      <c r="D4">
        <v>-0.42572234427389832</v>
      </c>
      <c r="E4">
        <v>-1.330793639011606</v>
      </c>
      <c r="F4">
        <v>-0.79982716373684382</v>
      </c>
      <c r="G4">
        <v>-0.62249902933496359</v>
      </c>
      <c r="H4">
        <v>-0.73274724678202818</v>
      </c>
      <c r="I4">
        <v>-0.36740223794844118</v>
      </c>
      <c r="J4">
        <v>0.66191343079162779</v>
      </c>
      <c r="K4">
        <v>0.49251940365322799</v>
      </c>
      <c r="L4">
        <v>0.95460511291846839</v>
      </c>
      <c r="M4">
        <v>0.73986836970137648</v>
      </c>
      <c r="N4">
        <v>0.91714115589937339</v>
      </c>
      <c r="O4">
        <v>0.2428500435187903</v>
      </c>
      <c r="P4">
        <v>0.33847507683490718</v>
      </c>
      <c r="Q4">
        <v>0.40181402639948988</v>
      </c>
      <c r="R4">
        <v>5.2226938484539361E-2</v>
      </c>
      <c r="S4">
        <v>0.29894377942888978</v>
      </c>
      <c r="T4">
        <v>1.694544924246252E-2</v>
      </c>
      <c r="U4">
        <v>0.17270481442073321</v>
      </c>
      <c r="V4">
        <v>6.575108041117414E-2</v>
      </c>
      <c r="W4">
        <v>-0.59941716008471679</v>
      </c>
      <c r="X4">
        <v>-0.6052055966858545</v>
      </c>
      <c r="Y4">
        <v>-0.94834787037009194</v>
      </c>
      <c r="Z4">
        <v>-1.2254527893879099</v>
      </c>
      <c r="AA4">
        <v>-1.410214536875428</v>
      </c>
      <c r="AB4">
        <v>-1.6683991126427109</v>
      </c>
      <c r="AC4">
        <v>-1.5176243875515409</v>
      </c>
      <c r="AD4">
        <v>-1.4788041494632109</v>
      </c>
      <c r="AE4">
        <v>-1.539685099894482</v>
      </c>
      <c r="AF4">
        <v>-1.9712437519171231</v>
      </c>
      <c r="AG4">
        <v>-2.0020475955689609</v>
      </c>
      <c r="AH4">
        <v>-2.0174935255961142</v>
      </c>
      <c r="AI4">
        <v>-1.7223798685238829</v>
      </c>
      <c r="AJ4">
        <v>-1.3165663117757549</v>
      </c>
      <c r="AK4">
        <v>-0.90947582027442608</v>
      </c>
      <c r="AL4">
        <v>-0.98156766751904734</v>
      </c>
      <c r="AM4">
        <v>-1.7083030790484131</v>
      </c>
      <c r="AN4">
        <v>-1.730637062623807</v>
      </c>
      <c r="AO4">
        <v>-0.93728658940542176</v>
      </c>
      <c r="AP4">
        <v>-1.7880118567136001</v>
      </c>
      <c r="AQ4">
        <v>-0.82358439528679672</v>
      </c>
      <c r="AR4">
        <v>-1.238903635747709</v>
      </c>
      <c r="AS4">
        <v>-1.3824153544800819</v>
      </c>
      <c r="AT4">
        <v>-0.97820004746710287</v>
      </c>
      <c r="AU4">
        <v>-1.3672891557510529</v>
      </c>
      <c r="AV4">
        <v>-1.177852089226106</v>
      </c>
      <c r="AW4">
        <v>-0.92945008343635771</v>
      </c>
      <c r="AX4">
        <v>-0.33263131641957799</v>
      </c>
      <c r="AY4">
        <v>-0.63505164150902105</v>
      </c>
      <c r="AZ4">
        <v>-1.1187374660487359</v>
      </c>
      <c r="BA4">
        <v>-0.52132223880503548</v>
      </c>
      <c r="BB4">
        <v>-0.19722961357121691</v>
      </c>
      <c r="BC4">
        <v>0.119733471971622</v>
      </c>
      <c r="BD4">
        <v>1.384490564937406</v>
      </c>
      <c r="BE4">
        <v>0.32932415555338213</v>
      </c>
      <c r="BF4">
        <v>0.37455975397409941</v>
      </c>
      <c r="BG4">
        <v>0.62122831654135668</v>
      </c>
      <c r="BH4">
        <v>1.7304348124585229</v>
      </c>
      <c r="BI4">
        <v>1.576372767857354</v>
      </c>
      <c r="BJ4">
        <v>1.9094007440756009</v>
      </c>
      <c r="BK4">
        <v>0.40023447070407092</v>
      </c>
      <c r="BL4">
        <v>0.49002965462642523</v>
      </c>
      <c r="BM4">
        <v>1.203646688370172</v>
      </c>
      <c r="BN4">
        <v>1.297044719892348</v>
      </c>
      <c r="BO4">
        <v>1.937428072671467</v>
      </c>
      <c r="BP4">
        <v>3.240710697020488</v>
      </c>
      <c r="BQ4">
        <v>2.4141636128508188</v>
      </c>
      <c r="BR4">
        <v>2.3581414836344869</v>
      </c>
      <c r="BS4">
        <v>3.4635569153554719</v>
      </c>
      <c r="BT4">
        <v>2.469175158225597</v>
      </c>
      <c r="BU4">
        <v>2.4351502408103438</v>
      </c>
      <c r="BV4">
        <v>3.703128837081453</v>
      </c>
      <c r="BW4">
        <v>2.0175317007532052</v>
      </c>
      <c r="BX4">
        <v>1.353120683129762</v>
      </c>
      <c r="BY4">
        <v>2.4900582708227428</v>
      </c>
      <c r="BZ4">
        <v>3.8748265391072669</v>
      </c>
      <c r="CA4">
        <v>3.196953531221121</v>
      </c>
      <c r="CB4">
        <v>3.4677955480187088</v>
      </c>
      <c r="CC4">
        <v>3.706475667415972</v>
      </c>
    </row>
    <row r="5" spans="1:81" x14ac:dyDescent="0.35">
      <c r="A5" t="s">
        <v>31</v>
      </c>
      <c r="B5">
        <v>-0.25932783789917557</v>
      </c>
      <c r="C5">
        <v>0.31272584406931858</v>
      </c>
      <c r="D5">
        <v>0.7713221562804744</v>
      </c>
      <c r="E5">
        <v>-0.49227690698247972</v>
      </c>
      <c r="F5">
        <v>-0.22692905334907901</v>
      </c>
      <c r="G5">
        <v>0.59566331162786224</v>
      </c>
      <c r="H5">
        <v>1.987538832428106</v>
      </c>
      <c r="I5">
        <v>3.2654300517254842</v>
      </c>
      <c r="J5">
        <v>3.825283553971552</v>
      </c>
      <c r="K5">
        <v>3.1703213277697979</v>
      </c>
      <c r="L5">
        <v>3.3874194854734072</v>
      </c>
      <c r="M5">
        <v>2.009783159511735</v>
      </c>
      <c r="N5">
        <v>1.711959614966549</v>
      </c>
      <c r="O5">
        <v>1.8462744789360419</v>
      </c>
      <c r="P5">
        <v>3.1605783574792961</v>
      </c>
      <c r="Q5">
        <v>4.0027190713405236</v>
      </c>
      <c r="R5">
        <v>5.1411361432885831</v>
      </c>
      <c r="S5">
        <v>5.3896577101206429</v>
      </c>
      <c r="T5">
        <v>3.8114163618298691</v>
      </c>
      <c r="U5">
        <v>4.4486651213597934</v>
      </c>
      <c r="V5">
        <v>2.9428313218021671</v>
      </c>
      <c r="W5">
        <v>4.1832797865931699</v>
      </c>
      <c r="X5">
        <v>3.9048541502484122</v>
      </c>
      <c r="Y5">
        <v>4.0200308215230987</v>
      </c>
      <c r="Z5">
        <v>3.288204026854014</v>
      </c>
      <c r="AA5">
        <v>3.5508644033567531</v>
      </c>
      <c r="AB5">
        <v>3.5982846050752491</v>
      </c>
      <c r="AC5">
        <v>3.7303230442875601</v>
      </c>
      <c r="AD5">
        <v>2.2013752230491961</v>
      </c>
      <c r="AE5">
        <v>1.3530038094894361</v>
      </c>
      <c r="AF5">
        <v>1.7718765308574309</v>
      </c>
      <c r="AG5">
        <v>1.876807132115039</v>
      </c>
      <c r="AH5">
        <v>1.9716332735876809</v>
      </c>
      <c r="AI5">
        <v>1.6395261644460839</v>
      </c>
      <c r="AJ5">
        <v>1.157171140684675</v>
      </c>
      <c r="AK5">
        <v>0.56618765354559275</v>
      </c>
      <c r="AL5">
        <v>0.71172595293685825</v>
      </c>
      <c r="AM5">
        <v>1.2997282567449699</v>
      </c>
      <c r="AN5">
        <v>1.144083875472298</v>
      </c>
      <c r="AO5">
        <v>-1.787061479211479</v>
      </c>
      <c r="AP5">
        <v>2.3449500802509351</v>
      </c>
      <c r="AQ5">
        <v>3.357210112266213</v>
      </c>
      <c r="AR5">
        <v>3.214136579235495</v>
      </c>
      <c r="AS5">
        <v>2.954385883764282</v>
      </c>
      <c r="AT5">
        <v>2.1317610944815479</v>
      </c>
      <c r="AU5">
        <v>1.8288891985504589</v>
      </c>
      <c r="AV5">
        <v>2.9280113127474792</v>
      </c>
      <c r="AW5">
        <v>1.8670386227123861</v>
      </c>
      <c r="AX5">
        <v>1.873514087382059</v>
      </c>
      <c r="AY5">
        <v>1.914227383476212</v>
      </c>
      <c r="AZ5">
        <v>2.182848795037267</v>
      </c>
      <c r="BA5">
        <v>1.9078545079236611</v>
      </c>
      <c r="BB5">
        <v>2.6081377979071561</v>
      </c>
      <c r="BC5">
        <v>3.4461135243667491</v>
      </c>
      <c r="BD5">
        <v>4.5261247890067144</v>
      </c>
      <c r="BE5">
        <v>3.2615129656295898</v>
      </c>
      <c r="BF5">
        <v>3.2117052147945682</v>
      </c>
      <c r="BG5">
        <v>3.1716686226435118</v>
      </c>
      <c r="BH5">
        <v>3.0552627537139299</v>
      </c>
      <c r="BI5">
        <v>3.8355778823313411</v>
      </c>
      <c r="BJ5">
        <v>3.5360654621442138</v>
      </c>
      <c r="BK5">
        <v>3.4476911886847721</v>
      </c>
      <c r="BL5">
        <v>3.484613058349765</v>
      </c>
      <c r="BM5">
        <v>3.953354427752342</v>
      </c>
      <c r="BN5">
        <v>4.3794467798827084</v>
      </c>
      <c r="BO5">
        <v>3.8948185744594981</v>
      </c>
      <c r="BP5">
        <v>3.680877165613273</v>
      </c>
      <c r="BQ5">
        <v>3.9114945479691721</v>
      </c>
      <c r="BR5">
        <v>4.2762920166978731</v>
      </c>
      <c r="BS5">
        <v>4.7198107608907494</v>
      </c>
      <c r="BT5">
        <v>4.0870223174906837</v>
      </c>
      <c r="BU5">
        <v>3.897491438484197</v>
      </c>
      <c r="BV5">
        <v>3.8620430813318669</v>
      </c>
      <c r="BW5">
        <v>4.2823007424992836</v>
      </c>
      <c r="BX5">
        <v>4.3673661040686564</v>
      </c>
      <c r="BY5">
        <v>3.722166783350993</v>
      </c>
      <c r="BZ5">
        <v>4.5859825381798638</v>
      </c>
      <c r="CA5">
        <v>4.1143036245768014</v>
      </c>
      <c r="CB5">
        <v>4.3268182842538216</v>
      </c>
      <c r="CC5">
        <v>3.985519412909758</v>
      </c>
    </row>
    <row r="6" spans="1:81" x14ac:dyDescent="0.35">
      <c r="A6" t="s">
        <v>32</v>
      </c>
      <c r="B6">
        <v>0.61441921231289109</v>
      </c>
      <c r="C6">
        <v>0.2910003648030618</v>
      </c>
      <c r="D6">
        <v>0.49832402611354149</v>
      </c>
      <c r="E6">
        <v>1.6460716835708931E-3</v>
      </c>
      <c r="F6">
        <v>-2.2346764608827119E-2</v>
      </c>
      <c r="G6">
        <v>0.1959008951237218</v>
      </c>
      <c r="H6">
        <v>9.494749637985217E-2</v>
      </c>
      <c r="I6">
        <v>0.13251044126887271</v>
      </c>
      <c r="J6">
        <v>0.68813374424651708</v>
      </c>
      <c r="K6">
        <v>0.67106051360902053</v>
      </c>
      <c r="L6">
        <v>0.88589548873449175</v>
      </c>
      <c r="M6">
        <v>0.58409133610886588</v>
      </c>
      <c r="N6">
        <v>0.26987540663014042</v>
      </c>
      <c r="O6">
        <v>0.164279253761386</v>
      </c>
      <c r="P6">
        <v>5.4861356613012377E-2</v>
      </c>
      <c r="Q6">
        <v>0.26950133162150591</v>
      </c>
      <c r="R6">
        <v>0.20552628934235509</v>
      </c>
      <c r="S6">
        <v>0.28079136913655572</v>
      </c>
      <c r="T6">
        <v>0.11584278403080681</v>
      </c>
      <c r="U6">
        <v>8.6755166143620832E-2</v>
      </c>
      <c r="V6">
        <v>0.22769340207890559</v>
      </c>
      <c r="W6">
        <v>0.31168022700656078</v>
      </c>
      <c r="X6">
        <v>-0.1953800510603709</v>
      </c>
      <c r="Y6">
        <v>0.20337223720508951</v>
      </c>
      <c r="Z6">
        <v>-0.17949918479307381</v>
      </c>
      <c r="AA6">
        <v>-0.21456072275722271</v>
      </c>
      <c r="AB6">
        <v>7.9560393176192346E-4</v>
      </c>
      <c r="AC6">
        <v>-0.29171921628854569</v>
      </c>
      <c r="AD6">
        <v>-0.31615030258253352</v>
      </c>
      <c r="AE6">
        <v>-0.29461106471334259</v>
      </c>
      <c r="AF6">
        <v>-0.19929980912255171</v>
      </c>
      <c r="AG6">
        <v>-0.42021045661630341</v>
      </c>
      <c r="AH6">
        <v>-0.31629786697895618</v>
      </c>
      <c r="AI6">
        <v>-0.42290039383902578</v>
      </c>
      <c r="AJ6">
        <v>-0.47762624358475392</v>
      </c>
      <c r="AK6">
        <v>-0.54729116857920757</v>
      </c>
      <c r="AL6">
        <v>-0.65650416017674462</v>
      </c>
      <c r="AM6">
        <v>-0.62043228629745206</v>
      </c>
      <c r="AN6">
        <v>-0.48849109737342788</v>
      </c>
      <c r="AO6">
        <v>-0.68159306719509594</v>
      </c>
      <c r="AP6">
        <v>-0.75851836521321547</v>
      </c>
      <c r="AQ6">
        <v>-0.76149965462538105</v>
      </c>
      <c r="AR6">
        <v>-0.8021314607999297</v>
      </c>
      <c r="AS6">
        <v>-0.44842432124886972</v>
      </c>
      <c r="AT6">
        <v>-0.32073614162995312</v>
      </c>
      <c r="AU6">
        <v>-0.49572329518406388</v>
      </c>
      <c r="AV6">
        <v>-0.46871725284498389</v>
      </c>
      <c r="AW6">
        <v>-0.51999789619719128</v>
      </c>
      <c r="AX6">
        <v>-0.70172299244720737</v>
      </c>
      <c r="AY6">
        <v>-0.59633817578634063</v>
      </c>
      <c r="AZ6">
        <v>-0.47846096678997863</v>
      </c>
      <c r="BA6">
        <v>-0.37743146222325052</v>
      </c>
      <c r="BB6">
        <v>-0.16315810671681311</v>
      </c>
      <c r="BC6">
        <v>2.323152383443439E-2</v>
      </c>
      <c r="BD6">
        <v>0.1946569882861332</v>
      </c>
      <c r="BE6">
        <v>-0.43490173066486121</v>
      </c>
      <c r="BF6">
        <v>-0.3521428761192974</v>
      </c>
      <c r="BG6">
        <v>-5.1297939066772817E-2</v>
      </c>
      <c r="BH6">
        <v>-0.2113628741512413</v>
      </c>
      <c r="BI6">
        <v>0.1221195411502632</v>
      </c>
      <c r="BJ6">
        <v>7.3273182866173672E-3</v>
      </c>
      <c r="BK6">
        <v>-0.272981218374585</v>
      </c>
      <c r="BL6">
        <v>-2.9168077794399779E-2</v>
      </c>
      <c r="BM6">
        <v>0.27690826526453272</v>
      </c>
      <c r="BN6">
        <v>0.44710485738609967</v>
      </c>
      <c r="BO6">
        <v>0.43484576472742759</v>
      </c>
      <c r="BP6">
        <v>0.67828337374182335</v>
      </c>
      <c r="BQ6">
        <v>0.56777664806910988</v>
      </c>
      <c r="BR6">
        <v>0.85284910500433808</v>
      </c>
      <c r="BS6">
        <v>0.62903513354101015</v>
      </c>
      <c r="BT6">
        <v>0.43625937406562088</v>
      </c>
      <c r="BU6">
        <v>0.55781854082284366</v>
      </c>
      <c r="BV6">
        <v>0.68336776325382287</v>
      </c>
      <c r="BW6">
        <v>0.4274714361070775</v>
      </c>
      <c r="BX6">
        <v>0.58930339515382257</v>
      </c>
      <c r="BY6">
        <v>0.89468482737023669</v>
      </c>
      <c r="BZ6">
        <v>1.4356480722288121</v>
      </c>
      <c r="CA6">
        <v>1.523579858161507</v>
      </c>
      <c r="CB6">
        <v>1.607620641436259</v>
      </c>
      <c r="CC6">
        <v>1.302867728727644</v>
      </c>
    </row>
    <row r="7" spans="1:81" x14ac:dyDescent="0.35">
      <c r="A7" t="s">
        <v>33</v>
      </c>
      <c r="B7">
        <v>133.63389447583799</v>
      </c>
      <c r="C7">
        <v>133.17067825943889</v>
      </c>
      <c r="D7">
        <v>133.82108041328169</v>
      </c>
      <c r="E7">
        <v>131.22075227956969</v>
      </c>
      <c r="F7">
        <v>134.11040636800161</v>
      </c>
      <c r="G7">
        <v>136.2251412970719</v>
      </c>
      <c r="H7">
        <v>136.61044755317619</v>
      </c>
      <c r="I7">
        <v>139.04283283124829</v>
      </c>
      <c r="J7">
        <v>141.73466985261089</v>
      </c>
      <c r="K7">
        <v>141.1891438209193</v>
      </c>
      <c r="L7">
        <v>143.0126013660315</v>
      </c>
      <c r="M7">
        <v>139.39389570257919</v>
      </c>
      <c r="N7">
        <v>139.44506051455099</v>
      </c>
      <c r="O7">
        <v>138.59146385610509</v>
      </c>
      <c r="P7">
        <v>138.94815521570109</v>
      </c>
      <c r="Q7">
        <v>141.1397570040933</v>
      </c>
      <c r="R7">
        <v>142.0697670156018</v>
      </c>
      <c r="S7">
        <v>142.3988464265733</v>
      </c>
      <c r="T7">
        <v>140.09468096561969</v>
      </c>
      <c r="U7">
        <v>141.89921338478311</v>
      </c>
      <c r="V7">
        <v>139.4779239781202</v>
      </c>
      <c r="W7">
        <v>140.10494576525971</v>
      </c>
      <c r="X7">
        <v>136.93122698803811</v>
      </c>
      <c r="Y7">
        <v>138.82961367433191</v>
      </c>
      <c r="Z7">
        <v>137.01903663293851</v>
      </c>
      <c r="AA7">
        <v>136.4936278681221</v>
      </c>
      <c r="AB7">
        <v>137.84199559607799</v>
      </c>
      <c r="AC7">
        <v>138.5386039946452</v>
      </c>
      <c r="AD7">
        <v>137.97379082147779</v>
      </c>
      <c r="AE7">
        <v>136.55638249168021</v>
      </c>
      <c r="AF7">
        <v>136.72436628033341</v>
      </c>
      <c r="AG7">
        <v>136.89462447443049</v>
      </c>
      <c r="AH7">
        <v>137.13622303221689</v>
      </c>
      <c r="AI7">
        <v>136.9865826629819</v>
      </c>
      <c r="AJ7">
        <v>137.35675420938111</v>
      </c>
      <c r="AK7">
        <v>137.53255329518649</v>
      </c>
      <c r="AL7">
        <v>136.62045563340129</v>
      </c>
      <c r="AM7">
        <v>136.887566248523</v>
      </c>
      <c r="AN7">
        <v>136.03356754662019</v>
      </c>
      <c r="AO7">
        <v>134.28558515649891</v>
      </c>
      <c r="AP7">
        <v>137.64979887170779</v>
      </c>
      <c r="AQ7">
        <v>139.8433572957648</v>
      </c>
      <c r="AR7">
        <v>137.09937363860249</v>
      </c>
      <c r="AS7">
        <v>138.50933755313361</v>
      </c>
      <c r="AT7">
        <v>138.8279685888011</v>
      </c>
      <c r="AU7">
        <v>138.41729268817409</v>
      </c>
      <c r="AV7">
        <v>138.40931826620911</v>
      </c>
      <c r="AW7">
        <v>138.41546829971159</v>
      </c>
      <c r="AX7">
        <v>138.22726979649741</v>
      </c>
      <c r="AY7">
        <v>137.50229247960701</v>
      </c>
      <c r="AZ7">
        <v>137.35657303426879</v>
      </c>
      <c r="BA7">
        <v>138.9556436629928</v>
      </c>
      <c r="BB7">
        <v>140.68845549845639</v>
      </c>
      <c r="BC7">
        <v>141.9992645220367</v>
      </c>
      <c r="BD7">
        <v>144.98436752653441</v>
      </c>
      <c r="BE7">
        <v>142.5903450252211</v>
      </c>
      <c r="BF7">
        <v>141.9884204878588</v>
      </c>
      <c r="BG7">
        <v>141.9646523177432</v>
      </c>
      <c r="BH7">
        <v>141.6982605208002</v>
      </c>
      <c r="BI7">
        <v>143.58514183027791</v>
      </c>
      <c r="BJ7">
        <v>143.82824844331569</v>
      </c>
      <c r="BK7">
        <v>142.278889615878</v>
      </c>
      <c r="BL7">
        <v>141.71223378695061</v>
      </c>
      <c r="BM7">
        <v>145.1154306079458</v>
      </c>
      <c r="BN7">
        <v>146.86409171596921</v>
      </c>
      <c r="BO7">
        <v>147.35152854959321</v>
      </c>
      <c r="BP7">
        <v>149.04940193635699</v>
      </c>
      <c r="BQ7">
        <v>148.18107638441111</v>
      </c>
      <c r="BR7">
        <v>149.03196712898611</v>
      </c>
      <c r="BS7">
        <v>150.51296050053921</v>
      </c>
      <c r="BT7">
        <v>148.40137334409329</v>
      </c>
      <c r="BU7">
        <v>150.41931375506459</v>
      </c>
      <c r="BV7">
        <v>152.0990814450615</v>
      </c>
      <c r="BW7">
        <v>149.81276999011001</v>
      </c>
      <c r="BX7">
        <v>149.34924867678521</v>
      </c>
      <c r="BY7">
        <v>151.06080344143831</v>
      </c>
      <c r="BZ7">
        <v>154.15841423504071</v>
      </c>
      <c r="CA7">
        <v>153.38717603474021</v>
      </c>
      <c r="CB7">
        <v>153.85429751228989</v>
      </c>
      <c r="CC7">
        <v>154.39154996274669</v>
      </c>
    </row>
    <row r="8" spans="1:81" x14ac:dyDescent="0.35">
      <c r="A8" t="s">
        <v>34</v>
      </c>
      <c r="B8">
        <v>8932473.5099999979</v>
      </c>
      <c r="C8">
        <v>8110211.5300000003</v>
      </c>
      <c r="D8">
        <v>14785070.060000001</v>
      </c>
      <c r="E8">
        <v>7191107.9500000002</v>
      </c>
      <c r="F8">
        <v>8995211.2199999988</v>
      </c>
      <c r="G8">
        <v>11396165.380000001</v>
      </c>
      <c r="H8">
        <v>10005148.949999999</v>
      </c>
      <c r="I8">
        <v>8275930.4500000002</v>
      </c>
      <c r="J8">
        <v>8256782.169999999</v>
      </c>
      <c r="K8">
        <v>7426920.9400000004</v>
      </c>
      <c r="L8">
        <v>6618162.2300000004</v>
      </c>
      <c r="M8">
        <v>7699835.9000000004</v>
      </c>
      <c r="N8">
        <v>8362869.96</v>
      </c>
      <c r="O8">
        <v>6751023.4800000004</v>
      </c>
      <c r="P8">
        <v>17318798.77</v>
      </c>
      <c r="Q8">
        <v>15536558.15</v>
      </c>
      <c r="R8">
        <v>11470177.76</v>
      </c>
      <c r="S8">
        <v>11973159.58</v>
      </c>
      <c r="T8">
        <v>10116585.6</v>
      </c>
      <c r="U8">
        <v>8560110.9299999997</v>
      </c>
      <c r="V8">
        <v>7713584.8200000003</v>
      </c>
      <c r="W8">
        <v>8118255.21</v>
      </c>
      <c r="X8">
        <v>6982836.5099999998</v>
      </c>
      <c r="Y8">
        <v>7763867.0999999996</v>
      </c>
      <c r="Z8">
        <v>5629595.2100000009</v>
      </c>
      <c r="AA8">
        <v>6577038.96</v>
      </c>
      <c r="AB8">
        <v>11166234.310000001</v>
      </c>
      <c r="AC8">
        <v>8458626.4199999999</v>
      </c>
      <c r="AD8">
        <v>7383443.459999999</v>
      </c>
      <c r="AE8">
        <v>7750169.5099999998</v>
      </c>
      <c r="AF8">
        <v>7389652.4600000009</v>
      </c>
      <c r="AG8">
        <v>8838749.6799999997</v>
      </c>
      <c r="AH8">
        <v>7379761.6899999985</v>
      </c>
      <c r="AI8">
        <v>6310172.0199999996</v>
      </c>
      <c r="AJ8">
        <v>5104282.18</v>
      </c>
      <c r="AK8">
        <v>4624202.1500000004</v>
      </c>
      <c r="AL8">
        <v>5483360.7799999993</v>
      </c>
      <c r="AM8">
        <v>5414420.29</v>
      </c>
      <c r="AN8">
        <v>5442215.2400000002</v>
      </c>
      <c r="AO8">
        <v>1624283.99</v>
      </c>
      <c r="AP8">
        <v>7576392.2999999998</v>
      </c>
      <c r="AQ8">
        <v>7188325.0300000003</v>
      </c>
      <c r="AR8">
        <v>7544028.4900000002</v>
      </c>
      <c r="AS8">
        <v>8714785.129999999</v>
      </c>
      <c r="AT8">
        <v>7239379.8599999994</v>
      </c>
      <c r="AU8">
        <v>7898574.8499999996</v>
      </c>
      <c r="AV8">
        <v>10630201</v>
      </c>
      <c r="AW8">
        <v>8425357.129999999</v>
      </c>
      <c r="AX8">
        <v>11123981.960000001</v>
      </c>
      <c r="AY8">
        <v>13182982.52</v>
      </c>
      <c r="AZ8">
        <v>20776821.059999999</v>
      </c>
      <c r="BA8">
        <v>17138003.239999998</v>
      </c>
      <c r="BB8">
        <v>14741866.93</v>
      </c>
      <c r="BC8">
        <v>11649919.01</v>
      </c>
      <c r="BD8">
        <v>11973241.140000001</v>
      </c>
      <c r="BE8">
        <v>9731647.8499999996</v>
      </c>
      <c r="BF8">
        <v>9145647.120000001</v>
      </c>
      <c r="BG8">
        <v>11381346.41</v>
      </c>
      <c r="BH8">
        <v>8355811.0699999994</v>
      </c>
      <c r="BI8">
        <v>12346335.439999999</v>
      </c>
      <c r="BJ8">
        <v>13864426.98</v>
      </c>
      <c r="BK8">
        <v>14774077.529999999</v>
      </c>
      <c r="BL8">
        <v>27001597.66</v>
      </c>
      <c r="BM8">
        <v>20866630.620000001</v>
      </c>
      <c r="BN8">
        <v>20015885.079999998</v>
      </c>
      <c r="BO8">
        <v>16944616.73</v>
      </c>
      <c r="BP8">
        <v>17583715.16</v>
      </c>
      <c r="BQ8">
        <v>17009856.440000001</v>
      </c>
      <c r="BR8">
        <v>16644481.210000001</v>
      </c>
      <c r="BS8">
        <v>14256426.640000001</v>
      </c>
      <c r="BT8">
        <v>11610680.67</v>
      </c>
      <c r="BU8">
        <v>13454664.560000001</v>
      </c>
      <c r="BV8">
        <v>13296244.279999999</v>
      </c>
      <c r="BW8">
        <v>15280720.529999999</v>
      </c>
      <c r="BX8">
        <v>24336515.620000001</v>
      </c>
      <c r="BY8">
        <v>20618795.710000001</v>
      </c>
      <c r="BZ8">
        <v>22261812.370000001</v>
      </c>
      <c r="CA8">
        <v>23382323.920000002</v>
      </c>
      <c r="CB8">
        <v>25967502.93</v>
      </c>
      <c r="CC8">
        <v>19891358.82</v>
      </c>
    </row>
    <row r="9" spans="1:81" x14ac:dyDescent="0.35">
      <c r="A9" t="s">
        <v>35</v>
      </c>
      <c r="B9">
        <v>1.970052318129935</v>
      </c>
      <c r="C9">
        <v>1.904957099017293</v>
      </c>
      <c r="D9">
        <v>1.8557988938569041</v>
      </c>
      <c r="E9">
        <v>1.997852751355514</v>
      </c>
      <c r="F9">
        <v>1.9662469743851601</v>
      </c>
      <c r="G9">
        <v>1.874325475312181</v>
      </c>
      <c r="H9">
        <v>1.73692863993909</v>
      </c>
      <c r="I9">
        <v>1.6274019310629899</v>
      </c>
      <c r="J9">
        <v>1.583651906324725</v>
      </c>
      <c r="K9">
        <v>1.635075587744568</v>
      </c>
      <c r="L9">
        <v>1.617664267098597</v>
      </c>
      <c r="M9">
        <v>1.7348961702121319</v>
      </c>
      <c r="N9">
        <v>1.7625091480863031</v>
      </c>
      <c r="O9">
        <v>1.7499479823909401</v>
      </c>
      <c r="P9">
        <v>1.6358657680951341</v>
      </c>
      <c r="Q9">
        <v>1.5702728721922099</v>
      </c>
      <c r="R9">
        <v>1.4895351253235889</v>
      </c>
      <c r="S9">
        <v>1.473001527177983</v>
      </c>
      <c r="T9">
        <v>1.5847071350938171</v>
      </c>
      <c r="U9">
        <v>1.537624827157968</v>
      </c>
      <c r="V9">
        <v>1.65372706953326</v>
      </c>
      <c r="W9">
        <v>1.5568882785031679</v>
      </c>
      <c r="X9">
        <v>1.57762401798953</v>
      </c>
      <c r="Y9">
        <v>1.5689796213919289</v>
      </c>
      <c r="Z9">
        <v>1.625575135006863</v>
      </c>
      <c r="AA9">
        <v>1.6047986767219919</v>
      </c>
      <c r="AB9">
        <v>1.6011042002921929</v>
      </c>
      <c r="AC9">
        <v>1.590906226089321</v>
      </c>
      <c r="AD9">
        <v>1.7175853092236351</v>
      </c>
      <c r="AE9">
        <v>1.7969810469361791</v>
      </c>
      <c r="AF9">
        <v>1.7568834924834009</v>
      </c>
      <c r="AG9">
        <v>1.747117495516032</v>
      </c>
      <c r="AH9">
        <v>1.738384857244462</v>
      </c>
      <c r="AI9">
        <v>1.7693582824496701</v>
      </c>
      <c r="AJ9">
        <v>1.8163622375129731</v>
      </c>
      <c r="AK9">
        <v>1.8774705502672491</v>
      </c>
      <c r="AL9">
        <v>1.862043263747057</v>
      </c>
      <c r="AM9">
        <v>1.802212554049492</v>
      </c>
      <c r="AN9">
        <v>1.817672373339462</v>
      </c>
      <c r="AO9">
        <v>2.1678914928192698</v>
      </c>
      <c r="AP9">
        <v>1.7048376895874731</v>
      </c>
      <c r="AQ9">
        <v>1.620064823132515</v>
      </c>
      <c r="AR9">
        <v>1.631531471587955</v>
      </c>
      <c r="AS9">
        <v>1.65276948096077</v>
      </c>
      <c r="AT9">
        <v>1.723835032077256</v>
      </c>
      <c r="AU9">
        <v>1.751563762058729</v>
      </c>
      <c r="AV9">
        <v>1.654956908766078</v>
      </c>
      <c r="AW9">
        <v>1.748022074873915</v>
      </c>
      <c r="AX9">
        <v>1.7474223320207689</v>
      </c>
      <c r="AY9">
        <v>1.743660966496146</v>
      </c>
      <c r="AZ9">
        <v>1.7192441202232771</v>
      </c>
      <c r="BA9">
        <v>1.7442486658747649</v>
      </c>
      <c r="BB9">
        <v>1.681954724100321</v>
      </c>
      <c r="BC9">
        <v>1.6130204872772489</v>
      </c>
      <c r="BD9">
        <v>1.532091833679359</v>
      </c>
      <c r="BE9">
        <v>1.6277165508787661</v>
      </c>
      <c r="BF9">
        <v>1.631727736453394</v>
      </c>
      <c r="BG9">
        <v>1.6349663786851341</v>
      </c>
      <c r="BH9">
        <v>1.644456141263599</v>
      </c>
      <c r="BI9">
        <v>1.582869464252642</v>
      </c>
      <c r="BJ9">
        <v>1.6059551456336509</v>
      </c>
      <c r="BK9">
        <v>1.6128960328905151</v>
      </c>
      <c r="BL9">
        <v>1.6099889173428621</v>
      </c>
      <c r="BM9">
        <v>1.5739723257064071</v>
      </c>
      <c r="BN9">
        <v>1.542603058888923</v>
      </c>
      <c r="BO9">
        <v>1.578381735284013</v>
      </c>
      <c r="BP9">
        <v>1.5947099214358691</v>
      </c>
      <c r="BQ9">
        <v>1.57712304705657</v>
      </c>
      <c r="BR9">
        <v>1.5500821277559509</v>
      </c>
      <c r="BS9">
        <v>1.5184294358302901</v>
      </c>
      <c r="BT9">
        <v>1.563995120005381</v>
      </c>
      <c r="BU9">
        <v>1.5781798546051811</v>
      </c>
      <c r="BV9">
        <v>1.5808614655537609</v>
      </c>
      <c r="BW9">
        <v>1.549644486234574</v>
      </c>
      <c r="BX9">
        <v>1.5434752153996241</v>
      </c>
      <c r="BY9">
        <v>1.5915324080152391</v>
      </c>
      <c r="BZ9">
        <v>1.5278433558290501</v>
      </c>
      <c r="CA9">
        <v>1.561974317808505</v>
      </c>
      <c r="CB9">
        <v>1.54640976260158</v>
      </c>
      <c r="CC9">
        <v>1.57155986235497</v>
      </c>
    </row>
    <row r="10" spans="1:81" x14ac:dyDescent="0.35">
      <c r="A10" t="s">
        <v>36</v>
      </c>
      <c r="B10">
        <v>0.24122258268124441</v>
      </c>
      <c r="C10">
        <v>0.2458428519313848</v>
      </c>
      <c r="D10">
        <v>0.24288108534123509</v>
      </c>
      <c r="E10">
        <v>0.2499764846902347</v>
      </c>
      <c r="F10">
        <v>0.25031923949441182</v>
      </c>
      <c r="G10">
        <v>0.2472014157839468</v>
      </c>
      <c r="H10">
        <v>0.24864360719457351</v>
      </c>
      <c r="I10">
        <v>0.24810699369615899</v>
      </c>
      <c r="J10">
        <v>0.2401695179393355</v>
      </c>
      <c r="K10">
        <v>0.24041342123415679</v>
      </c>
      <c r="L10">
        <v>0.2373443501609358</v>
      </c>
      <c r="M10">
        <v>0.2416558380555876</v>
      </c>
      <c r="N10">
        <v>0.24614463704814091</v>
      </c>
      <c r="O10">
        <v>0.24765315351769451</v>
      </c>
      <c r="P10">
        <v>0.2492162663340998</v>
      </c>
      <c r="Q10">
        <v>0.2461499809768356</v>
      </c>
      <c r="R10">
        <v>0.2470639101522521</v>
      </c>
      <c r="S10">
        <v>0.2459886947266206</v>
      </c>
      <c r="T10">
        <v>0.24834510308527419</v>
      </c>
      <c r="U10">
        <v>0.24876064048366259</v>
      </c>
      <c r="V10">
        <v>0.24674723711315849</v>
      </c>
      <c r="W10">
        <v>0.2455474253284777</v>
      </c>
      <c r="X10">
        <v>0.25279114358657673</v>
      </c>
      <c r="Y10">
        <v>0.24709468232564161</v>
      </c>
      <c r="Z10">
        <v>0.25256427406847248</v>
      </c>
      <c r="AA10">
        <v>0.25306515318224598</v>
      </c>
      <c r="AB10">
        <v>0.24998863422954631</v>
      </c>
      <c r="AC10">
        <v>0.25416741737555071</v>
      </c>
      <c r="AD10">
        <v>0.25451643289403619</v>
      </c>
      <c r="AE10">
        <v>0.25420872949590489</v>
      </c>
      <c r="AF10">
        <v>0.25284714013032222</v>
      </c>
      <c r="AG10">
        <v>0.25600300652308999</v>
      </c>
      <c r="AH10">
        <v>0.25451854095684218</v>
      </c>
      <c r="AI10">
        <v>0.25604143419770042</v>
      </c>
      <c r="AJ10">
        <v>0.25682323205121083</v>
      </c>
      <c r="AK10">
        <v>0.25781844526541731</v>
      </c>
      <c r="AL10">
        <v>0.25937863085966778</v>
      </c>
      <c r="AM10">
        <v>0.25886331837567789</v>
      </c>
      <c r="AN10">
        <v>0.25697844424819177</v>
      </c>
      <c r="AO10">
        <v>0.2597370438170728</v>
      </c>
      <c r="AP10">
        <v>0.26083597664590308</v>
      </c>
      <c r="AQ10">
        <v>0.2608785664946483</v>
      </c>
      <c r="AR10">
        <v>0.26145902086857042</v>
      </c>
      <c r="AS10">
        <v>0.25640606173212671</v>
      </c>
      <c r="AT10">
        <v>0.2545819448804279</v>
      </c>
      <c r="AU10">
        <v>0.25708176135977229</v>
      </c>
      <c r="AV10">
        <v>0.25669596075492829</v>
      </c>
      <c r="AW10">
        <v>0.25742854137424559</v>
      </c>
      <c r="AX10">
        <v>0.26002461417781719</v>
      </c>
      <c r="AY10">
        <v>0.25851911679694772</v>
      </c>
      <c r="AZ10">
        <v>0.25683515666842832</v>
      </c>
      <c r="BA10">
        <v>0.25539187803176072</v>
      </c>
      <c r="BB10">
        <v>0.25233083009595447</v>
      </c>
      <c r="BC10">
        <v>0.24966812108807951</v>
      </c>
      <c r="BD10">
        <v>0.2472191858816267</v>
      </c>
      <c r="BE10">
        <v>0.25621288186664087</v>
      </c>
      <c r="BF10">
        <v>0.25503061251599002</v>
      </c>
      <c r="BG10">
        <v>0.2507328277009539</v>
      </c>
      <c r="BH10">
        <v>0.25301946963073202</v>
      </c>
      <c r="BI10">
        <v>0.24825543512642481</v>
      </c>
      <c r="BJ10">
        <v>0.24989532402447689</v>
      </c>
      <c r="BK10">
        <v>0.2538997316910655</v>
      </c>
      <c r="BL10">
        <v>0.25041668682563428</v>
      </c>
      <c r="BM10">
        <v>0.2460441676390781</v>
      </c>
      <c r="BN10">
        <v>0.24361278775162709</v>
      </c>
      <c r="BO10">
        <v>0.24378791764675101</v>
      </c>
      <c r="BP10">
        <v>0.24031023751797401</v>
      </c>
      <c r="BQ10">
        <v>0.24188890502758409</v>
      </c>
      <c r="BR10">
        <v>0.23781644135708091</v>
      </c>
      <c r="BS10">
        <v>0.241013783806557</v>
      </c>
      <c r="BT10">
        <v>0.24376772322763399</v>
      </c>
      <c r="BU10">
        <v>0.2420311637025308</v>
      </c>
      <c r="BV10">
        <v>0.24023760338208819</v>
      </c>
      <c r="BW10">
        <v>0.24389326519847029</v>
      </c>
      <c r="BX10">
        <v>0.24158138006923111</v>
      </c>
      <c r="BY10">
        <v>0.23721878818042519</v>
      </c>
      <c r="BZ10">
        <v>0.22949074182530271</v>
      </c>
      <c r="CA10">
        <v>0.22823457345483561</v>
      </c>
      <c r="CB10">
        <v>0.2270339908366249</v>
      </c>
      <c r="CC10">
        <v>0.2313876038753194</v>
      </c>
    </row>
    <row r="12" spans="1:81" x14ac:dyDescent="0.35">
      <c r="A12" t="s">
        <v>37</v>
      </c>
      <c r="B12" t="s">
        <v>75</v>
      </c>
      <c r="C12" t="s">
        <v>76</v>
      </c>
      <c r="D12" t="s">
        <v>77</v>
      </c>
      <c r="E12" t="s">
        <v>78</v>
      </c>
      <c r="F12" t="s">
        <v>79</v>
      </c>
      <c r="G12" t="s">
        <v>80</v>
      </c>
      <c r="H12" t="s">
        <v>81</v>
      </c>
      <c r="I12" t="s">
        <v>82</v>
      </c>
      <c r="J12" t="s">
        <v>83</v>
      </c>
      <c r="K12" t="s">
        <v>84</v>
      </c>
      <c r="L12" t="s">
        <v>85</v>
      </c>
      <c r="M12" t="s">
        <v>86</v>
      </c>
      <c r="N12" t="s">
        <v>87</v>
      </c>
      <c r="O12" t="s">
        <v>88</v>
      </c>
      <c r="P12" t="s">
        <v>89</v>
      </c>
      <c r="Q12" t="s">
        <v>90</v>
      </c>
      <c r="R12" t="s">
        <v>91</v>
      </c>
      <c r="S12" t="s">
        <v>92</v>
      </c>
      <c r="T12" t="s">
        <v>93</v>
      </c>
      <c r="U12" t="s">
        <v>94</v>
      </c>
      <c r="V12" t="s">
        <v>95</v>
      </c>
      <c r="W12" t="s">
        <v>96</v>
      </c>
      <c r="X12" t="s">
        <v>97</v>
      </c>
      <c r="Y12" t="s">
        <v>98</v>
      </c>
      <c r="Z12" t="s">
        <v>99</v>
      </c>
      <c r="AA12" t="s">
        <v>100</v>
      </c>
      <c r="AB12" t="s">
        <v>101</v>
      </c>
      <c r="AC12" t="s">
        <v>102</v>
      </c>
      <c r="AD12" t="s">
        <v>103</v>
      </c>
      <c r="AE12" t="s">
        <v>104</v>
      </c>
      <c r="AF12" t="s">
        <v>105</v>
      </c>
      <c r="AG12" t="s">
        <v>106</v>
      </c>
      <c r="AH12" t="s">
        <v>107</v>
      </c>
      <c r="AI12" t="s">
        <v>108</v>
      </c>
      <c r="AJ12" t="s">
        <v>109</v>
      </c>
      <c r="AK12" t="s">
        <v>110</v>
      </c>
      <c r="AL12" t="s">
        <v>111</v>
      </c>
      <c r="AM12" t="s">
        <v>112</v>
      </c>
      <c r="AN12" t="s">
        <v>113</v>
      </c>
      <c r="AO12" t="s">
        <v>114</v>
      </c>
      <c r="AP12" t="s">
        <v>115</v>
      </c>
      <c r="AQ12" t="s">
        <v>116</v>
      </c>
      <c r="AR12" t="s">
        <v>117</v>
      </c>
      <c r="AS12" t="s">
        <v>118</v>
      </c>
      <c r="AT12" t="s">
        <v>119</v>
      </c>
      <c r="AU12" t="s">
        <v>120</v>
      </c>
      <c r="AV12" t="s">
        <v>121</v>
      </c>
      <c r="AW12" t="s">
        <v>122</v>
      </c>
      <c r="AX12" t="s">
        <v>123</v>
      </c>
      <c r="AY12" t="s">
        <v>124</v>
      </c>
      <c r="AZ12" t="s">
        <v>125</v>
      </c>
      <c r="BA12" t="s">
        <v>126</v>
      </c>
      <c r="BB12" t="s">
        <v>127</v>
      </c>
      <c r="BC12" t="s">
        <v>46</v>
      </c>
      <c r="BD12" t="s">
        <v>47</v>
      </c>
      <c r="BE12" t="s">
        <v>48</v>
      </c>
      <c r="BF12" t="s">
        <v>49</v>
      </c>
      <c r="BG12" t="s">
        <v>50</v>
      </c>
      <c r="BH12" t="s">
        <v>51</v>
      </c>
      <c r="BI12" t="s">
        <v>52</v>
      </c>
      <c r="BJ12" t="s">
        <v>53</v>
      </c>
      <c r="BK12" t="s">
        <v>54</v>
      </c>
      <c r="BL12" t="s">
        <v>55</v>
      </c>
      <c r="BM12" t="s">
        <v>56</v>
      </c>
      <c r="BN12" t="s">
        <v>57</v>
      </c>
      <c r="BO12" t="s">
        <v>58</v>
      </c>
      <c r="BP12" t="s">
        <v>59</v>
      </c>
      <c r="BQ12" t="s">
        <v>60</v>
      </c>
      <c r="BR12" t="s">
        <v>61</v>
      </c>
      <c r="BS12" t="s">
        <v>62</v>
      </c>
      <c r="BT12" t="s">
        <v>63</v>
      </c>
      <c r="BU12" t="s">
        <v>64</v>
      </c>
      <c r="BV12" t="s">
        <v>65</v>
      </c>
      <c r="BW12" t="s">
        <v>66</v>
      </c>
      <c r="BX12" t="s">
        <v>67</v>
      </c>
      <c r="BY12" t="s">
        <v>68</v>
      </c>
      <c r="BZ12" t="s">
        <v>69</v>
      </c>
      <c r="CA12" t="s">
        <v>70</v>
      </c>
      <c r="CB12" t="s">
        <v>71</v>
      </c>
      <c r="CC12" t="s">
        <v>128</v>
      </c>
    </row>
    <row r="13" spans="1:81" x14ac:dyDescent="0.35">
      <c r="A13" t="s">
        <v>28</v>
      </c>
      <c r="B13">
        <v>131.23844771071259</v>
      </c>
      <c r="C13">
        <v>131.15845794446039</v>
      </c>
      <c r="D13">
        <v>130.83989825982709</v>
      </c>
      <c r="E13">
        <v>131.4797538930637</v>
      </c>
      <c r="F13">
        <v>133.1663250989707</v>
      </c>
      <c r="G13">
        <v>133.3755215572867</v>
      </c>
      <c r="H13">
        <v>134.42140716647259</v>
      </c>
      <c r="I13">
        <v>134.16277149286489</v>
      </c>
      <c r="J13">
        <v>133.27512972341319</v>
      </c>
      <c r="K13">
        <v>132.68383389626169</v>
      </c>
      <c r="L13">
        <v>131.2851971276055</v>
      </c>
      <c r="M13">
        <v>135.00408658169121</v>
      </c>
      <c r="N13">
        <v>135.54118903168799</v>
      </c>
      <c r="O13">
        <v>135.5422383279132</v>
      </c>
      <c r="P13">
        <v>135.3571270814366</v>
      </c>
      <c r="Q13">
        <v>135.31995110590961</v>
      </c>
      <c r="R13">
        <v>135.43585312564639</v>
      </c>
      <c r="S13">
        <v>134.65047850670899</v>
      </c>
      <c r="T13">
        <v>134.24145442611629</v>
      </c>
      <c r="U13">
        <v>135.91081328297329</v>
      </c>
      <c r="V13">
        <v>134.55101101949219</v>
      </c>
      <c r="W13">
        <v>134.40580314155349</v>
      </c>
      <c r="X13">
        <v>131.97794396927009</v>
      </c>
      <c r="Y13">
        <v>132.30986380513471</v>
      </c>
      <c r="Z13">
        <v>134.07050441074131</v>
      </c>
      <c r="AA13">
        <v>133.65327244897969</v>
      </c>
      <c r="AB13">
        <v>134.25080615041969</v>
      </c>
      <c r="AC13">
        <v>135.63980513204959</v>
      </c>
      <c r="AD13">
        <v>137.14891958287151</v>
      </c>
      <c r="AE13">
        <v>137.54022558911569</v>
      </c>
      <c r="AF13">
        <v>137.98598459036259</v>
      </c>
      <c r="AG13">
        <v>138.0062367650809</v>
      </c>
      <c r="AH13">
        <v>137.69350457273191</v>
      </c>
      <c r="AI13">
        <v>138.2662181499922</v>
      </c>
      <c r="AJ13">
        <v>140.85523567002139</v>
      </c>
      <c r="AK13">
        <v>140.85548715020471</v>
      </c>
      <c r="AL13">
        <v>140.97630956576009</v>
      </c>
      <c r="AM13">
        <v>141.65762513074839</v>
      </c>
      <c r="AN13">
        <v>141.16843640736431</v>
      </c>
      <c r="AO13">
        <v>140.5705736701791</v>
      </c>
      <c r="AP13">
        <v>140.5093651428366</v>
      </c>
      <c r="AQ13">
        <v>140.51479149710511</v>
      </c>
      <c r="AR13">
        <v>139.34243696494829</v>
      </c>
      <c r="AS13">
        <v>141.17251297600089</v>
      </c>
      <c r="AT13">
        <v>141.1626753217877</v>
      </c>
      <c r="AU13">
        <v>140.0130750011715</v>
      </c>
      <c r="AV13">
        <v>138.48741665456521</v>
      </c>
      <c r="AW13">
        <v>138.57058168485591</v>
      </c>
      <c r="AX13">
        <v>138.98685669256631</v>
      </c>
      <c r="AY13">
        <v>138.42373182731049</v>
      </c>
      <c r="AZ13">
        <v>137.5620162737203</v>
      </c>
      <c r="BA13">
        <v>139.3225570477172</v>
      </c>
      <c r="BB13">
        <v>140.50533344858781</v>
      </c>
      <c r="BC13">
        <v>140.64434885003439</v>
      </c>
      <c r="BD13">
        <v>141.117768339615</v>
      </c>
      <c r="BE13">
        <v>141.92669180320499</v>
      </c>
      <c r="BF13">
        <v>141.62602749301649</v>
      </c>
      <c r="BG13">
        <v>140.59078595014009</v>
      </c>
      <c r="BH13">
        <v>139.8760939758694</v>
      </c>
      <c r="BI13">
        <v>139.21207112470989</v>
      </c>
      <c r="BJ13">
        <v>139.69877631406891</v>
      </c>
      <c r="BK13">
        <v>140.04487180977071</v>
      </c>
      <c r="BL13">
        <v>139.74482130863419</v>
      </c>
      <c r="BM13">
        <v>140.2725795756927</v>
      </c>
      <c r="BN13">
        <v>140.83691987758431</v>
      </c>
      <c r="BO13">
        <v>140.6918023467608</v>
      </c>
      <c r="BP13">
        <v>140.85058708146809</v>
      </c>
      <c r="BQ13">
        <v>140.66055389909951</v>
      </c>
      <c r="BR13">
        <v>141.28299287632751</v>
      </c>
      <c r="BS13">
        <v>141.58335578196849</v>
      </c>
      <c r="BT13">
        <v>141.4840806419212</v>
      </c>
      <c r="BU13">
        <v>142.14834904044741</v>
      </c>
      <c r="BV13">
        <v>142.78645462326151</v>
      </c>
      <c r="BW13">
        <v>142.8235709164947</v>
      </c>
      <c r="BX13">
        <v>142.75881494832299</v>
      </c>
      <c r="BY13">
        <v>143.0962998493188</v>
      </c>
      <c r="BZ13">
        <v>142.8826963204076</v>
      </c>
      <c r="CA13">
        <v>143.310190432182</v>
      </c>
      <c r="CB13">
        <v>143.79883798774861</v>
      </c>
      <c r="CC13">
        <v>143.58531762710351</v>
      </c>
    </row>
    <row r="14" spans="1:81" x14ac:dyDescent="0.35">
      <c r="A14" t="s">
        <v>29</v>
      </c>
      <c r="B14">
        <v>0.9967613609689181</v>
      </c>
      <c r="C14">
        <v>1.482632048220069</v>
      </c>
      <c r="D14">
        <v>1.3978615932438461</v>
      </c>
      <c r="E14">
        <v>1.5582105011214371</v>
      </c>
      <c r="F14">
        <v>1.6730926976747751</v>
      </c>
      <c r="G14">
        <v>1.355476677589422</v>
      </c>
      <c r="H14">
        <v>0.69260538577665898</v>
      </c>
      <c r="I14">
        <v>0.57651205830885033</v>
      </c>
      <c r="J14">
        <v>0.37137961122053298</v>
      </c>
      <c r="K14">
        <v>-0.23877668791359949</v>
      </c>
      <c r="L14">
        <v>-0.10567227612324361</v>
      </c>
      <c r="M14">
        <v>0.39973168669760639</v>
      </c>
      <c r="N14">
        <v>0.29325911805398158</v>
      </c>
      <c r="O14">
        <v>0.57872744313414159</v>
      </c>
      <c r="P14">
        <v>0.60874800268385343</v>
      </c>
      <c r="Q14">
        <v>0.91853235829358937</v>
      </c>
      <c r="R14">
        <v>0.97456366569866759</v>
      </c>
      <c r="S14">
        <v>0.79854110890894958</v>
      </c>
      <c r="T14">
        <v>0.63636253378680863</v>
      </c>
      <c r="U14">
        <v>0.45383329179131238</v>
      </c>
      <c r="V14">
        <v>0.28529279404401109</v>
      </c>
      <c r="W14">
        <v>-0.61480494494043114</v>
      </c>
      <c r="X14">
        <v>-0.79357018283630509</v>
      </c>
      <c r="Y14">
        <v>-0.80558042878601555</v>
      </c>
      <c r="Z14">
        <v>-0.73309577504332424</v>
      </c>
      <c r="AA14">
        <v>-0.57855091232462996</v>
      </c>
      <c r="AB14">
        <v>-0.68645628121427649</v>
      </c>
      <c r="AC14">
        <v>0.19030404427556391</v>
      </c>
      <c r="AD14">
        <v>0.77317025288664354</v>
      </c>
      <c r="AE14">
        <v>0.74838481694177972</v>
      </c>
      <c r="AF14">
        <v>0.75753350723761059</v>
      </c>
      <c r="AG14">
        <v>0.63729491385026904</v>
      </c>
      <c r="AH14">
        <v>4.8133072021073531E-2</v>
      </c>
      <c r="AI14">
        <v>8.951724632584046E-2</v>
      </c>
      <c r="AJ14">
        <v>0.61560884951757089</v>
      </c>
      <c r="AK14">
        <v>8.003013553565097E-2</v>
      </c>
      <c r="AL14">
        <v>0.69326398636354725</v>
      </c>
      <c r="AM14">
        <v>1.1095578003125011</v>
      </c>
      <c r="AN14">
        <v>0.77711600038998085</v>
      </c>
      <c r="AO14">
        <v>0.85286782897725288</v>
      </c>
      <c r="AP14">
        <v>1.414596752886212</v>
      </c>
      <c r="AQ14">
        <v>1.750295095849481</v>
      </c>
      <c r="AR14">
        <v>1.773312882131449</v>
      </c>
      <c r="AS14">
        <v>1.3873169154188361</v>
      </c>
      <c r="AT14">
        <v>1.4584510285977501</v>
      </c>
      <c r="AU14">
        <v>1.0752975256456809</v>
      </c>
      <c r="AV14">
        <v>0.84793695097820887</v>
      </c>
      <c r="AW14">
        <v>0.65632065068797374</v>
      </c>
      <c r="AX14">
        <v>-8.162787039194086E-2</v>
      </c>
      <c r="AY14">
        <v>-6.1979451533403562E-2</v>
      </c>
      <c r="AZ14">
        <v>-0.51751173559054564</v>
      </c>
      <c r="BA14">
        <v>-0.1300195755402456</v>
      </c>
      <c r="BB14">
        <v>0.60217865000066695</v>
      </c>
      <c r="BC14">
        <v>0.33392144556546549</v>
      </c>
      <c r="BD14">
        <v>0.5377923073016575</v>
      </c>
      <c r="BE14">
        <v>0.78859144929811009</v>
      </c>
      <c r="BF14">
        <v>0.71084670711451281</v>
      </c>
      <c r="BG14">
        <v>0.42102724592183449</v>
      </c>
      <c r="BH14">
        <v>0.36418436650924951</v>
      </c>
      <c r="BI14">
        <v>0.48788091842013159</v>
      </c>
      <c r="BJ14">
        <v>0.68849584815851017</v>
      </c>
      <c r="BK14">
        <v>0.48858311716770692</v>
      </c>
      <c r="BL14">
        <v>0.5003524306668794</v>
      </c>
      <c r="BM14">
        <v>0.77466074349155178</v>
      </c>
      <c r="BN14">
        <v>1.3488638157456589</v>
      </c>
      <c r="BO14">
        <v>1.6453388945974721</v>
      </c>
      <c r="BP14">
        <v>1.170071771480792</v>
      </c>
      <c r="BQ14">
        <v>1.793731459485826</v>
      </c>
      <c r="BR14">
        <v>2.345473221013691</v>
      </c>
      <c r="BS14">
        <v>2.6553986037309021</v>
      </c>
      <c r="BT14">
        <v>2.6105042732011161</v>
      </c>
      <c r="BU14">
        <v>2.9714482251188201</v>
      </c>
      <c r="BV14">
        <v>2.8549297557680688</v>
      </c>
      <c r="BW14">
        <v>2.5775862940061529</v>
      </c>
      <c r="BX14">
        <v>2.666434595757579</v>
      </c>
      <c r="BY14">
        <v>2.8239339591397652</v>
      </c>
      <c r="BZ14">
        <v>3.0853962292285928</v>
      </c>
      <c r="CA14">
        <v>2.894776852027519</v>
      </c>
      <c r="CB14">
        <v>3.1509581531252309</v>
      </c>
      <c r="CC14">
        <v>2.9990993540818351</v>
      </c>
    </row>
    <row r="15" spans="1:81" x14ac:dyDescent="0.35">
      <c r="A15" t="s">
        <v>30</v>
      </c>
      <c r="B15">
        <v>-0.67491639523519009</v>
      </c>
      <c r="C15">
        <v>-0.49426934369547432</v>
      </c>
      <c r="D15">
        <v>0.1404682816861848</v>
      </c>
      <c r="E15">
        <v>0.32733098585344172</v>
      </c>
      <c r="F15">
        <v>-0.40075994743852539</v>
      </c>
      <c r="G15">
        <v>0.21146423366357431</v>
      </c>
      <c r="H15">
        <v>-0.11416673612767431</v>
      </c>
      <c r="I15">
        <v>-3.5773934231235011E-2</v>
      </c>
      <c r="J15">
        <v>0.35991051750041031</v>
      </c>
      <c r="K15">
        <v>0.72454501401927895</v>
      </c>
      <c r="L15">
        <v>0.64466299396226989</v>
      </c>
      <c r="M15">
        <v>1.877282007445702</v>
      </c>
      <c r="N15">
        <v>1.2781085207920491</v>
      </c>
      <c r="O15">
        <v>0.90365716339163582</v>
      </c>
      <c r="P15">
        <v>0.46067522665355592</v>
      </c>
      <c r="Q15">
        <v>0.51658913397893003</v>
      </c>
      <c r="R15">
        <v>0.61144884652308584</v>
      </c>
      <c r="S15">
        <v>0.23132729269424321</v>
      </c>
      <c r="T15">
        <v>0.47225262973270921</v>
      </c>
      <c r="U15">
        <v>-8.5261637590116734E-2</v>
      </c>
      <c r="V15">
        <v>0.159757507306028</v>
      </c>
      <c r="W15">
        <v>-0.44648407800182488</v>
      </c>
      <c r="X15">
        <v>-0.71533587871382287</v>
      </c>
      <c r="Y15">
        <v>-1.062666989579329</v>
      </c>
      <c r="Z15">
        <v>-0.96776435216514467</v>
      </c>
      <c r="AA15">
        <v>-1.2447007932609939</v>
      </c>
      <c r="AB15">
        <v>-1.797959564215887</v>
      </c>
      <c r="AC15">
        <v>-1.610539326736903</v>
      </c>
      <c r="AD15">
        <v>-1.3661575541582749</v>
      </c>
      <c r="AE15">
        <v>-1.225865142746088</v>
      </c>
      <c r="AF15">
        <v>-1.5584959070017119</v>
      </c>
      <c r="AG15">
        <v>-1.4512439822280601</v>
      </c>
      <c r="AH15">
        <v>-1.5343588694860899</v>
      </c>
      <c r="AI15">
        <v>-1.213623080705766</v>
      </c>
      <c r="AJ15">
        <v>-1.253810153219189</v>
      </c>
      <c r="AK15">
        <v>-1.586769025083848</v>
      </c>
      <c r="AL15">
        <v>-1.74312767486474</v>
      </c>
      <c r="AM15">
        <v>-1.6137435726603151</v>
      </c>
      <c r="AN15">
        <v>-1.606805500986908</v>
      </c>
      <c r="AO15">
        <v>-1.8934731138937719</v>
      </c>
      <c r="AP15">
        <v>-0.88045192589046595</v>
      </c>
      <c r="AQ15">
        <v>-1.1068047026344161</v>
      </c>
      <c r="AR15">
        <v>-0.82245313760742633</v>
      </c>
      <c r="AS15">
        <v>-1.2389921621114961</v>
      </c>
      <c r="AT15">
        <v>-1.3097436583818849</v>
      </c>
      <c r="AU15">
        <v>-1.3906341484196949</v>
      </c>
      <c r="AV15">
        <v>-1.088378299736833</v>
      </c>
      <c r="AW15">
        <v>-1.3678086425065401</v>
      </c>
      <c r="AX15">
        <v>-0.89286027558603764</v>
      </c>
      <c r="AY15">
        <v>-1.449077196062974</v>
      </c>
      <c r="AZ15">
        <v>-1.4695431839968389</v>
      </c>
      <c r="BA15">
        <v>-1.318544104313111</v>
      </c>
      <c r="BB15">
        <v>-0.74968350605559175</v>
      </c>
      <c r="BC15">
        <v>-0.4682731167279765</v>
      </c>
      <c r="BD15">
        <v>-0.18644990697124561</v>
      </c>
      <c r="BE15">
        <v>-0.50583241126571188</v>
      </c>
      <c r="BF15">
        <v>-0.13950550581233259</v>
      </c>
      <c r="BG15">
        <v>0.65560009514738882</v>
      </c>
      <c r="BH15">
        <v>1.2066654711232321</v>
      </c>
      <c r="BI15">
        <v>2.0779803743233489</v>
      </c>
      <c r="BJ15">
        <v>1.790979934176516</v>
      </c>
      <c r="BK15">
        <v>1.204049009601772</v>
      </c>
      <c r="BL15">
        <v>1.3997310472239299</v>
      </c>
      <c r="BM15">
        <v>1.49845744128529</v>
      </c>
      <c r="BN15">
        <v>1.578773972441931</v>
      </c>
      <c r="BO15">
        <v>2.2021176533806468</v>
      </c>
      <c r="BP15">
        <v>2.193637825366904</v>
      </c>
      <c r="BQ15">
        <v>2.4493546384550031</v>
      </c>
      <c r="BR15">
        <v>2.775494347318193</v>
      </c>
      <c r="BS15">
        <v>3.8008265365448208</v>
      </c>
      <c r="BT15">
        <v>3.6055926730013579</v>
      </c>
      <c r="BU15">
        <v>4.1584755679252501</v>
      </c>
      <c r="BV15">
        <v>3.643985785828479</v>
      </c>
      <c r="BW15">
        <v>2.6816092218916401</v>
      </c>
      <c r="BX15">
        <v>2.3011901911507691</v>
      </c>
      <c r="BY15">
        <v>2.5652529343767689</v>
      </c>
      <c r="BZ15">
        <v>3.2088885923652901</v>
      </c>
      <c r="CA15">
        <v>2.6948154391760681</v>
      </c>
      <c r="CB15">
        <v>2.6232315875492151</v>
      </c>
      <c r="CC15">
        <v>2.934641396960624</v>
      </c>
    </row>
    <row r="16" spans="1:81" x14ac:dyDescent="0.35">
      <c r="A16" t="s">
        <v>31</v>
      </c>
      <c r="B16">
        <v>-0.36880670948252969</v>
      </c>
      <c r="C16">
        <v>0.25786068512140581</v>
      </c>
      <c r="D16">
        <v>0.51958644619799221</v>
      </c>
      <c r="E16">
        <v>0.7156561340141685</v>
      </c>
      <c r="F16">
        <v>-0.45979772984391992</v>
      </c>
      <c r="G16">
        <v>7.1221353059762738E-3</v>
      </c>
      <c r="H16">
        <v>0.83971296597898926</v>
      </c>
      <c r="I16">
        <v>0.3861978537158568</v>
      </c>
      <c r="J16">
        <v>9.5595658802188233E-2</v>
      </c>
      <c r="K16">
        <v>-0.80399242562277629</v>
      </c>
      <c r="L16">
        <v>-1.863494562609743</v>
      </c>
      <c r="M16">
        <v>0.9010066381700379</v>
      </c>
      <c r="N16">
        <v>0.80628358297630842</v>
      </c>
      <c r="O16">
        <v>1.4893650229629321</v>
      </c>
      <c r="P16">
        <v>2.823761454534949</v>
      </c>
      <c r="Q16">
        <v>4.2053094718944752</v>
      </c>
      <c r="R16">
        <v>5.595397338506638</v>
      </c>
      <c r="S16">
        <v>4.8099782304403336</v>
      </c>
      <c r="T16">
        <v>4.3988501616703317</v>
      </c>
      <c r="U16">
        <v>3.4040131257880302</v>
      </c>
      <c r="V16">
        <v>2.5501239784379139</v>
      </c>
      <c r="W16">
        <v>2.8144330053887909</v>
      </c>
      <c r="X16">
        <v>2.583224425807999</v>
      </c>
      <c r="Y16">
        <v>2.444099889662926</v>
      </c>
      <c r="Z16">
        <v>3.1049909301604721</v>
      </c>
      <c r="AA16">
        <v>2.7946938444436351</v>
      </c>
      <c r="AB16">
        <v>2.813887456944173</v>
      </c>
      <c r="AC16">
        <v>2.8156527861656988</v>
      </c>
      <c r="AD16">
        <v>2.6802846995433041</v>
      </c>
      <c r="AE16">
        <v>3.1343666212165799</v>
      </c>
      <c r="AF16">
        <v>2.96857626561988</v>
      </c>
      <c r="AG16">
        <v>2.731527222583602</v>
      </c>
      <c r="AH16">
        <v>2.7282231578606262</v>
      </c>
      <c r="AI16">
        <v>2.399891977067131</v>
      </c>
      <c r="AJ16">
        <v>3.1387569232818122</v>
      </c>
      <c r="AK16">
        <v>2.201646623143569</v>
      </c>
      <c r="AL16">
        <v>2.5841817773870051</v>
      </c>
      <c r="AM16">
        <v>2.8975605417257171</v>
      </c>
      <c r="AN16">
        <v>1.8554750522127581</v>
      </c>
      <c r="AO16">
        <v>0.69206629613556148</v>
      </c>
      <c r="AP16">
        <v>3.972447360369082</v>
      </c>
      <c r="AQ16">
        <v>6.3882328194848519</v>
      </c>
      <c r="AR16">
        <v>6.2588743755434528</v>
      </c>
      <c r="AS16">
        <v>5.0200495908371536</v>
      </c>
      <c r="AT16">
        <v>3.99532217946774</v>
      </c>
      <c r="AU16">
        <v>4.9281367791285984</v>
      </c>
      <c r="AV16">
        <v>5.8727275838938553</v>
      </c>
      <c r="AW16">
        <v>5.4968264789275656</v>
      </c>
      <c r="AX16">
        <v>5.2103549672604537</v>
      </c>
      <c r="AY16">
        <v>5.3979318956318449</v>
      </c>
      <c r="AZ16">
        <v>5.0654615545921766</v>
      </c>
      <c r="BA16">
        <v>5.0828515616522774</v>
      </c>
      <c r="BB16">
        <v>5.3188324663345634</v>
      </c>
      <c r="BC16">
        <v>5.3504726567703376</v>
      </c>
      <c r="BD16">
        <v>5.3085809802628852</v>
      </c>
      <c r="BE16">
        <v>5.1711763572641773</v>
      </c>
      <c r="BF16">
        <v>4.8263067024924302</v>
      </c>
      <c r="BG16">
        <v>4.678153695418815</v>
      </c>
      <c r="BH16">
        <v>5.3322355358643811</v>
      </c>
      <c r="BI16">
        <v>5.4923068957062364</v>
      </c>
      <c r="BJ16">
        <v>5.14168631109691</v>
      </c>
      <c r="BK16">
        <v>4.85088048970246</v>
      </c>
      <c r="BL16">
        <v>5.2558523194541023</v>
      </c>
      <c r="BM16">
        <v>5.7155518766343469</v>
      </c>
      <c r="BN16">
        <v>6.0783687213252184</v>
      </c>
      <c r="BO16">
        <v>6.3807944664328806</v>
      </c>
      <c r="BP16">
        <v>6.0207656486992462</v>
      </c>
      <c r="BQ16">
        <v>6.0133606109111817</v>
      </c>
      <c r="BR16">
        <v>6.3934895512674386</v>
      </c>
      <c r="BS16">
        <v>6.3048707573304954</v>
      </c>
      <c r="BT16">
        <v>6.1735362313951452</v>
      </c>
      <c r="BU16">
        <v>5.6394536058432552</v>
      </c>
      <c r="BV16">
        <v>5.5367368815064388</v>
      </c>
      <c r="BW16">
        <v>4.7327799181723016</v>
      </c>
      <c r="BX16">
        <v>5.0152546332549344</v>
      </c>
      <c r="BY16">
        <v>5.0741078963422144</v>
      </c>
      <c r="BZ16">
        <v>5.0350030507506798</v>
      </c>
      <c r="CA16">
        <v>4.9054828934140184</v>
      </c>
      <c r="CB16">
        <v>4.7621501193299816</v>
      </c>
      <c r="CC16">
        <v>4.8354988003515942</v>
      </c>
    </row>
    <row r="17" spans="1:81" x14ac:dyDescent="0.35">
      <c r="A17" t="s">
        <v>32</v>
      </c>
      <c r="B17">
        <v>0.40059125998247758</v>
      </c>
      <c r="C17">
        <v>6.4545496022417326E-2</v>
      </c>
      <c r="D17">
        <v>0.29192354617030652</v>
      </c>
      <c r="E17">
        <v>7.7343035722757525E-2</v>
      </c>
      <c r="F17">
        <v>0.1218940349832789</v>
      </c>
      <c r="G17">
        <v>-3.451246401147412E-2</v>
      </c>
      <c r="H17">
        <v>-0.33224511269472901</v>
      </c>
      <c r="I17">
        <v>-0.47761181518408852</v>
      </c>
      <c r="J17">
        <v>-0.49810848765359178</v>
      </c>
      <c r="K17">
        <v>-0.41621086298011528</v>
      </c>
      <c r="L17">
        <v>-0.4401155269648937</v>
      </c>
      <c r="M17">
        <v>-0.6610302655257777</v>
      </c>
      <c r="N17">
        <v>-0.53862582255830238</v>
      </c>
      <c r="O17">
        <v>-0.45451783751019542</v>
      </c>
      <c r="P17">
        <v>-0.40529190702841889</v>
      </c>
      <c r="Q17">
        <v>-0.42048657319411042</v>
      </c>
      <c r="R17">
        <v>-0.36093338051514212</v>
      </c>
      <c r="S17">
        <v>-0.25792072576693298</v>
      </c>
      <c r="T17">
        <v>-0.19830693890815379</v>
      </c>
      <c r="U17">
        <v>-0.21993874549157069</v>
      </c>
      <c r="V17">
        <v>-0.21135047210700089</v>
      </c>
      <c r="W17">
        <v>-0.3316134729820458</v>
      </c>
      <c r="X17">
        <v>-0.37058787349698807</v>
      </c>
      <c r="Y17">
        <v>-0.34759932589513037</v>
      </c>
      <c r="Z17">
        <v>-0.28638499737794593</v>
      </c>
      <c r="AA17">
        <v>-0.48606449382906641</v>
      </c>
      <c r="AB17">
        <v>-0.60559194264256544</v>
      </c>
      <c r="AC17">
        <v>-0.47449621061129038</v>
      </c>
      <c r="AD17">
        <v>-0.16527224309663191</v>
      </c>
      <c r="AE17">
        <v>-0.31049543995962769</v>
      </c>
      <c r="AF17">
        <v>-0.20604527545987239</v>
      </c>
      <c r="AG17">
        <v>-0.21346562891188081</v>
      </c>
      <c r="AH17">
        <v>-0.32150279101238849</v>
      </c>
      <c r="AI17">
        <v>-0.17144559647656649</v>
      </c>
      <c r="AJ17">
        <v>-0.3548972395566935</v>
      </c>
      <c r="AK17">
        <v>-0.36906146591950523</v>
      </c>
      <c r="AL17">
        <v>-0.26680640419006918</v>
      </c>
      <c r="AM17">
        <v>-0.37780921699153591</v>
      </c>
      <c r="AN17">
        <v>-0.50475673961125178</v>
      </c>
      <c r="AO17">
        <v>-0.26030595103711968</v>
      </c>
      <c r="AP17">
        <v>-0.56304255244796986</v>
      </c>
      <c r="AQ17">
        <v>-0.40058558792297028</v>
      </c>
      <c r="AR17">
        <v>-0.22214458022390629</v>
      </c>
      <c r="AS17">
        <v>-0.36654671672057099</v>
      </c>
      <c r="AT17">
        <v>-0.19057771548755539</v>
      </c>
      <c r="AU17">
        <v>-0.23176456208388541</v>
      </c>
      <c r="AV17">
        <v>0.13101931669984551</v>
      </c>
      <c r="AW17">
        <v>0.2083533274260321</v>
      </c>
      <c r="AX17">
        <v>-2.240280526972227E-3</v>
      </c>
      <c r="AY17">
        <v>7.3555129368766403E-2</v>
      </c>
      <c r="AZ17">
        <v>0.13135426889404331</v>
      </c>
      <c r="BA17">
        <v>8.3255219851963436E-2</v>
      </c>
      <c r="BB17">
        <v>-0.12880024412744939</v>
      </c>
      <c r="BC17">
        <v>0.2018882494829341</v>
      </c>
      <c r="BD17">
        <v>0.1684451540482487</v>
      </c>
      <c r="BE17">
        <v>-0.26782300518381991</v>
      </c>
      <c r="BF17">
        <v>-0.57329311072009337</v>
      </c>
      <c r="BG17">
        <v>-0.49546002495002789</v>
      </c>
      <c r="BH17">
        <v>-0.51338364202466902</v>
      </c>
      <c r="BI17">
        <v>-0.40199139543313722</v>
      </c>
      <c r="BJ17">
        <v>-0.46793041725709189</v>
      </c>
      <c r="BK17">
        <v>-0.57380418018852353</v>
      </c>
      <c r="BL17">
        <v>-0.44981482328532052</v>
      </c>
      <c r="BM17">
        <v>-0.43641887414721409</v>
      </c>
      <c r="BN17">
        <v>-0.38760295169096742</v>
      </c>
      <c r="BO17">
        <v>-0.35432168021436172</v>
      </c>
      <c r="BP17">
        <v>-0.35188802565382371</v>
      </c>
      <c r="BQ17">
        <v>-0.45520575518425971</v>
      </c>
      <c r="BR17">
        <v>-0.65196577201203476</v>
      </c>
      <c r="BS17">
        <v>-0.58660915810039627</v>
      </c>
      <c r="BT17">
        <v>-0.50219687842015415</v>
      </c>
      <c r="BU17">
        <v>-0.54337518252602579</v>
      </c>
      <c r="BV17">
        <v>-0.44122074926878191</v>
      </c>
      <c r="BW17">
        <v>-0.4443116263059454</v>
      </c>
      <c r="BX17">
        <v>-0.31290515803664259</v>
      </c>
      <c r="BY17">
        <v>-0.2895802508195805</v>
      </c>
      <c r="BZ17">
        <v>-0.23786709543552609</v>
      </c>
      <c r="CA17">
        <v>-0.49463571999837641</v>
      </c>
      <c r="CB17">
        <v>-0.35741431694201797</v>
      </c>
      <c r="CC17">
        <v>-0.50242869951173053</v>
      </c>
    </row>
    <row r="18" spans="1:81" x14ac:dyDescent="0.35">
      <c r="A18" t="s">
        <v>33</v>
      </c>
      <c r="B18">
        <v>131.59207722694629</v>
      </c>
      <c r="C18">
        <v>132.46922683012889</v>
      </c>
      <c r="D18">
        <v>133.18973812712539</v>
      </c>
      <c r="E18">
        <v>134.15829454977549</v>
      </c>
      <c r="F18">
        <v>134.1007541543463</v>
      </c>
      <c r="G18">
        <v>134.91507213983411</v>
      </c>
      <c r="H18">
        <v>135.50731366940579</v>
      </c>
      <c r="I18">
        <v>134.61209565547429</v>
      </c>
      <c r="J18">
        <v>133.60390702328269</v>
      </c>
      <c r="K18">
        <v>131.94939893376451</v>
      </c>
      <c r="L18">
        <v>129.52057775586991</v>
      </c>
      <c r="M18">
        <v>137.5210766484787</v>
      </c>
      <c r="N18">
        <v>137.38021443095201</v>
      </c>
      <c r="O18">
        <v>138.0594701198917</v>
      </c>
      <c r="P18">
        <v>138.84501985828061</v>
      </c>
      <c r="Q18">
        <v>140.53989549688251</v>
      </c>
      <c r="R18">
        <v>142.25632959585971</v>
      </c>
      <c r="S18">
        <v>140.23240441298549</v>
      </c>
      <c r="T18">
        <v>139.55061281239799</v>
      </c>
      <c r="U18">
        <v>139.46345931747101</v>
      </c>
      <c r="V18">
        <v>137.3348348271731</v>
      </c>
      <c r="W18">
        <v>135.82733365101791</v>
      </c>
      <c r="X18">
        <v>132.68167446003099</v>
      </c>
      <c r="Y18">
        <v>132.5381169505371</v>
      </c>
      <c r="Z18">
        <v>135.18825021631531</v>
      </c>
      <c r="AA18">
        <v>134.1386500940086</v>
      </c>
      <c r="AB18">
        <v>133.97468581929121</v>
      </c>
      <c r="AC18">
        <v>136.56072642514269</v>
      </c>
      <c r="AD18">
        <v>139.07094473804651</v>
      </c>
      <c r="AE18">
        <v>139.88661644456829</v>
      </c>
      <c r="AF18">
        <v>139.94755318075849</v>
      </c>
      <c r="AG18">
        <v>139.71034929037481</v>
      </c>
      <c r="AH18">
        <v>138.61399914211509</v>
      </c>
      <c r="AI18">
        <v>139.37055869620289</v>
      </c>
      <c r="AJ18">
        <v>143.00089405004491</v>
      </c>
      <c r="AK18">
        <v>141.1813334178805</v>
      </c>
      <c r="AL18">
        <v>142.24382125045591</v>
      </c>
      <c r="AM18">
        <v>143.67319068313481</v>
      </c>
      <c r="AN18">
        <v>141.68946521936891</v>
      </c>
      <c r="AO18">
        <v>139.96172873036099</v>
      </c>
      <c r="AP18">
        <v>144.45291477775339</v>
      </c>
      <c r="AQ18">
        <v>147.14592912188201</v>
      </c>
      <c r="AR18">
        <v>146.3300265047919</v>
      </c>
      <c r="AS18">
        <v>145.97434060342479</v>
      </c>
      <c r="AT18">
        <v>145.11612715598369</v>
      </c>
      <c r="AU18">
        <v>144.39411059544221</v>
      </c>
      <c r="AV18">
        <v>144.2507222064003</v>
      </c>
      <c r="AW18">
        <v>143.56427349939091</v>
      </c>
      <c r="AX18">
        <v>143.2204832333218</v>
      </c>
      <c r="AY18">
        <v>142.3841622047147</v>
      </c>
      <c r="AZ18">
        <v>140.7717771776191</v>
      </c>
      <c r="BA18">
        <v>143.0401001493681</v>
      </c>
      <c r="BB18">
        <v>145.54786081474001</v>
      </c>
      <c r="BC18">
        <v>146.0623580851252</v>
      </c>
      <c r="BD18">
        <v>146.9461368742565</v>
      </c>
      <c r="BE18">
        <v>147.11280419331769</v>
      </c>
      <c r="BF18">
        <v>146.45038228609101</v>
      </c>
      <c r="BG18">
        <v>145.85010696167819</v>
      </c>
      <c r="BH18">
        <v>146.2657957073416</v>
      </c>
      <c r="BI18">
        <v>146.86824791772651</v>
      </c>
      <c r="BJ18">
        <v>146.85200799024369</v>
      </c>
      <c r="BK18">
        <v>146.01458024605421</v>
      </c>
      <c r="BL18">
        <v>146.4509422826938</v>
      </c>
      <c r="BM18">
        <v>147.82483076295671</v>
      </c>
      <c r="BN18">
        <v>149.45532343540609</v>
      </c>
      <c r="BO18">
        <v>150.5657316809575</v>
      </c>
      <c r="BP18">
        <v>149.88317430136121</v>
      </c>
      <c r="BQ18">
        <v>150.46179485276721</v>
      </c>
      <c r="BR18">
        <v>152.14548422391479</v>
      </c>
      <c r="BS18">
        <v>153.7578425214744</v>
      </c>
      <c r="BT18">
        <v>153.37151694109869</v>
      </c>
      <c r="BU18">
        <v>154.37435125680869</v>
      </c>
      <c r="BV18">
        <v>154.38088629709571</v>
      </c>
      <c r="BW18">
        <v>152.3712347242589</v>
      </c>
      <c r="BX18">
        <v>152.42878921044959</v>
      </c>
      <c r="BY18">
        <v>153.27001438835799</v>
      </c>
      <c r="BZ18">
        <v>153.97411709731659</v>
      </c>
      <c r="CA18">
        <v>153.31062989680129</v>
      </c>
      <c r="CB18">
        <v>153.97776353081099</v>
      </c>
      <c r="CC18">
        <v>153.8521284789858</v>
      </c>
    </row>
    <row r="19" spans="1:81" x14ac:dyDescent="0.35">
      <c r="A19" t="s">
        <v>34</v>
      </c>
      <c r="B19">
        <v>5454133.6899999985</v>
      </c>
      <c r="C19">
        <v>7655026.8900000006</v>
      </c>
      <c r="D19">
        <v>12103636.060000001</v>
      </c>
      <c r="E19">
        <v>7344557.1200000001</v>
      </c>
      <c r="F19">
        <v>10183287.970000001</v>
      </c>
      <c r="G19">
        <v>13848042.050000001</v>
      </c>
      <c r="H19">
        <v>15212396.380000001</v>
      </c>
      <c r="I19">
        <v>11816841.699999999</v>
      </c>
      <c r="J19">
        <v>12605448.59</v>
      </c>
      <c r="K19">
        <v>13360080.98</v>
      </c>
      <c r="L19">
        <v>11685660.67</v>
      </c>
      <c r="M19">
        <v>10027217.84</v>
      </c>
      <c r="N19">
        <v>10691258.890000001</v>
      </c>
      <c r="O19">
        <v>11159136.57</v>
      </c>
      <c r="P19">
        <v>25875516.91</v>
      </c>
      <c r="Q19">
        <v>25888867.600000001</v>
      </c>
      <c r="R19">
        <v>24751545.940000001</v>
      </c>
      <c r="S19">
        <v>24149053.43</v>
      </c>
      <c r="T19">
        <v>21909880.440000001</v>
      </c>
      <c r="U19">
        <v>22376736.59</v>
      </c>
      <c r="V19">
        <v>20370963.530000001</v>
      </c>
      <c r="W19">
        <v>20825983.219999999</v>
      </c>
      <c r="X19">
        <v>22613903.260000002</v>
      </c>
      <c r="Y19">
        <v>18994151.399999999</v>
      </c>
      <c r="Z19">
        <v>15603188.779999999</v>
      </c>
      <c r="AA19">
        <v>16099745.119999999</v>
      </c>
      <c r="AB19">
        <v>28954150.120000001</v>
      </c>
      <c r="AC19">
        <v>23670656.879999999</v>
      </c>
      <c r="AD19">
        <v>19101311.050000001</v>
      </c>
      <c r="AE19">
        <v>19321025.190000001</v>
      </c>
      <c r="AF19">
        <v>16688625.630000001</v>
      </c>
      <c r="AG19">
        <v>19756836.84</v>
      </c>
      <c r="AH19">
        <v>19631184.84</v>
      </c>
      <c r="AI19">
        <v>14481555.41</v>
      </c>
      <c r="AJ19">
        <v>9895426.5600000005</v>
      </c>
      <c r="AK19">
        <v>7191578.0899999999</v>
      </c>
      <c r="AL19">
        <v>7013118.79</v>
      </c>
      <c r="AM19">
        <v>6421481.21</v>
      </c>
      <c r="AN19">
        <v>5978621.9100000001</v>
      </c>
      <c r="AO19">
        <v>3171342.51</v>
      </c>
      <c r="AP19">
        <v>10360177.17</v>
      </c>
      <c r="AQ19">
        <v>11860146.85</v>
      </c>
      <c r="AR19">
        <v>11721089.470000001</v>
      </c>
      <c r="AS19">
        <v>15695672.470000001</v>
      </c>
      <c r="AT19">
        <v>15565130.039999999</v>
      </c>
      <c r="AU19">
        <v>20440506.989999998</v>
      </c>
      <c r="AV19">
        <v>30102603.170000002</v>
      </c>
      <c r="AW19">
        <v>23701651.309999999</v>
      </c>
      <c r="AX19">
        <v>25369261.609999999</v>
      </c>
      <c r="AY19">
        <v>36713038.989999987</v>
      </c>
      <c r="AZ19">
        <v>68660057.229999989</v>
      </c>
      <c r="BA19">
        <v>52436894.18</v>
      </c>
      <c r="BB19">
        <v>45071548.409999996</v>
      </c>
      <c r="BC19">
        <v>47223454.170000002</v>
      </c>
      <c r="BD19">
        <v>45170616.259999998</v>
      </c>
      <c r="BE19">
        <v>31328609.050000001</v>
      </c>
      <c r="BF19">
        <v>30821344.02</v>
      </c>
      <c r="BG19">
        <v>41294785.760000013</v>
      </c>
      <c r="BH19">
        <v>37150526.619999997</v>
      </c>
      <c r="BI19">
        <v>39732039.479999997</v>
      </c>
      <c r="BJ19">
        <v>46691263.010000013</v>
      </c>
      <c r="BK19">
        <v>44557531.939999998</v>
      </c>
      <c r="BL19">
        <v>82902294.960000008</v>
      </c>
      <c r="BM19">
        <v>64764643.200000003</v>
      </c>
      <c r="BN19">
        <v>58747883.82</v>
      </c>
      <c r="BO19">
        <v>54402208.119999997</v>
      </c>
      <c r="BP19">
        <v>57503446.280000001</v>
      </c>
      <c r="BQ19">
        <v>48847046.289999999</v>
      </c>
      <c r="BR19">
        <v>44824316.920000002</v>
      </c>
      <c r="BS19">
        <v>42927354.560000002</v>
      </c>
      <c r="BT19">
        <v>33455620.300000001</v>
      </c>
      <c r="BU19">
        <v>39918279.719999999</v>
      </c>
      <c r="BV19">
        <v>36179389.619999997</v>
      </c>
      <c r="BW19">
        <v>45709199.859999999</v>
      </c>
      <c r="BX19">
        <v>80513897.540000007</v>
      </c>
      <c r="BY19">
        <v>62592607.789999999</v>
      </c>
      <c r="BZ19">
        <v>58601957.010000013</v>
      </c>
      <c r="CA19">
        <v>51430368.799999997</v>
      </c>
      <c r="CB19">
        <v>44235760.07</v>
      </c>
      <c r="CC19">
        <v>40327393.890000001</v>
      </c>
    </row>
    <row r="20" spans="1:81" x14ac:dyDescent="0.35">
      <c r="A20" t="s">
        <v>35</v>
      </c>
      <c r="B20">
        <v>1.983020666280396</v>
      </c>
      <c r="C20">
        <v>1.911013224740723</v>
      </c>
      <c r="D20">
        <v>1.8824645262763691</v>
      </c>
      <c r="E20">
        <v>1.8616301733627689</v>
      </c>
      <c r="F20">
        <v>1.9939296667191719</v>
      </c>
      <c r="G20">
        <v>1.939187579039906</v>
      </c>
      <c r="H20">
        <v>1.8486844526531401</v>
      </c>
      <c r="I20">
        <v>1.896906976297372</v>
      </c>
      <c r="J20">
        <v>1.92915185046619</v>
      </c>
      <c r="K20">
        <v>2.036304308240493</v>
      </c>
      <c r="L20">
        <v>2.1788384469860969</v>
      </c>
      <c r="M20">
        <v>1.84235449249414</v>
      </c>
      <c r="N20">
        <v>1.852155158953579</v>
      </c>
      <c r="O20">
        <v>1.783728103103615</v>
      </c>
      <c r="P20">
        <v>1.663660051380178</v>
      </c>
      <c r="Q20">
        <v>1.5552708647667559</v>
      </c>
      <c r="R20">
        <v>1.4595892918331701</v>
      </c>
      <c r="S20">
        <v>1.5121518990775329</v>
      </c>
      <c r="T20">
        <v>1.5412043054104769</v>
      </c>
      <c r="U20">
        <v>1.6163486955572259</v>
      </c>
      <c r="V20">
        <v>1.686945823789868</v>
      </c>
      <c r="W20">
        <v>1.664443286922753</v>
      </c>
      <c r="X20">
        <v>1.6840944720286659</v>
      </c>
      <c r="Y20">
        <v>1.6961443413244941</v>
      </c>
      <c r="Z20">
        <v>1.6403887032112561</v>
      </c>
      <c r="AA20">
        <v>1.6661030607077301</v>
      </c>
      <c r="AB20">
        <v>1.6644891151050469</v>
      </c>
      <c r="AC20">
        <v>1.6643408297416771</v>
      </c>
      <c r="AD20">
        <v>1.675788765432104</v>
      </c>
      <c r="AE20">
        <v>1.6379954045958089</v>
      </c>
      <c r="AF20">
        <v>1.6515949640727281</v>
      </c>
      <c r="AG20">
        <v>1.671436763508753</v>
      </c>
      <c r="AH20">
        <v>1.6717166942051369</v>
      </c>
      <c r="AI20">
        <v>1.7000094659798151</v>
      </c>
      <c r="AJ20">
        <v>1.637638317282275</v>
      </c>
      <c r="AK20">
        <v>1.717561032513196</v>
      </c>
      <c r="AL20">
        <v>1.684012146888902</v>
      </c>
      <c r="AM20">
        <v>1.6574896169226401</v>
      </c>
      <c r="AN20">
        <v>1.7490940911684789</v>
      </c>
      <c r="AO20">
        <v>1.86411239071627</v>
      </c>
      <c r="AP20">
        <v>1.572539410079588</v>
      </c>
      <c r="AQ20">
        <v>1.410110813183123</v>
      </c>
      <c r="AR20">
        <v>1.4179533999580931</v>
      </c>
      <c r="AS20">
        <v>1.4977259639652869</v>
      </c>
      <c r="AT20">
        <v>1.570826097265257</v>
      </c>
      <c r="AU20">
        <v>1.50400375244789</v>
      </c>
      <c r="AV20">
        <v>1.441891872276017</v>
      </c>
      <c r="AW20">
        <v>1.465984548126904</v>
      </c>
      <c r="AX20">
        <v>1.4848929721571189</v>
      </c>
      <c r="AY20">
        <v>1.47245737480039</v>
      </c>
      <c r="AZ20">
        <v>1.4946435595015379</v>
      </c>
      <c r="BA20">
        <v>1.4934665438439589</v>
      </c>
      <c r="BB20">
        <v>1.477675861842084</v>
      </c>
      <c r="BC20">
        <v>1.475584006945365</v>
      </c>
      <c r="BD20">
        <v>1.4783548998109051</v>
      </c>
      <c r="BE20">
        <v>1.487516921455293</v>
      </c>
      <c r="BF20">
        <v>1.511020643553675</v>
      </c>
      <c r="BG20">
        <v>1.5213472726217261</v>
      </c>
      <c r="BH20">
        <v>1.4767890096374761</v>
      </c>
      <c r="BI20">
        <v>1.466279121698089</v>
      </c>
      <c r="BJ20">
        <v>1.4894981139476799</v>
      </c>
      <c r="BK20">
        <v>1.5093213298906789</v>
      </c>
      <c r="BL20">
        <v>1.4818574245827369</v>
      </c>
      <c r="BM20">
        <v>1.451868754019745</v>
      </c>
      <c r="BN20">
        <v>1.4290438114685871</v>
      </c>
      <c r="BO20">
        <v>1.410559425059247</v>
      </c>
      <c r="BP20">
        <v>1.432619596727595</v>
      </c>
      <c r="BQ20">
        <v>1.4330805725246141</v>
      </c>
      <c r="BR20">
        <v>1.4097939483429129</v>
      </c>
      <c r="BS20">
        <v>1.4151548122027759</v>
      </c>
      <c r="BT20">
        <v>1.42317511106998</v>
      </c>
      <c r="BU20">
        <v>1.4567489381231289</v>
      </c>
      <c r="BV20">
        <v>1.4633884298956901</v>
      </c>
      <c r="BW20">
        <v>1.517523304619816</v>
      </c>
      <c r="BX20">
        <v>1.4980521710697079</v>
      </c>
      <c r="BY20">
        <v>1.494058113463554</v>
      </c>
      <c r="BZ20">
        <v>1.496709572675845</v>
      </c>
      <c r="CA20">
        <v>1.505559140625728</v>
      </c>
      <c r="CB20">
        <v>1.5154752549338351</v>
      </c>
      <c r="CC20">
        <v>1.510384548644657</v>
      </c>
    </row>
    <row r="21" spans="1:81" x14ac:dyDescent="0.35">
      <c r="A21" t="s">
        <v>36</v>
      </c>
      <c r="B21">
        <v>0.24427726771453601</v>
      </c>
      <c r="C21">
        <v>0.24907792148539401</v>
      </c>
      <c r="D21">
        <v>0.24582966362613851</v>
      </c>
      <c r="E21">
        <v>0.24889509948967489</v>
      </c>
      <c r="F21">
        <v>0.24825865664309599</v>
      </c>
      <c r="G21">
        <v>0.25049303520016392</v>
      </c>
      <c r="H21">
        <v>0.25474635875278179</v>
      </c>
      <c r="I21">
        <v>0.25682302593120132</v>
      </c>
      <c r="J21">
        <v>0.25711583553790851</v>
      </c>
      <c r="K21">
        <v>0.2559458694711445</v>
      </c>
      <c r="L21">
        <v>0.25628736467092711</v>
      </c>
      <c r="M21">
        <v>0.25944328950751111</v>
      </c>
      <c r="N21">
        <v>0.25769465460797569</v>
      </c>
      <c r="O21">
        <v>0.25649311196443142</v>
      </c>
      <c r="P21">
        <v>0.25578988438612033</v>
      </c>
      <c r="Q21">
        <v>0.25600695104563009</v>
      </c>
      <c r="R21">
        <v>0.25515619115021632</v>
      </c>
      <c r="S21">
        <v>0.25368458179667053</v>
      </c>
      <c r="T21">
        <v>0.25283295627011648</v>
      </c>
      <c r="U21">
        <v>0.25314198207845101</v>
      </c>
      <c r="V21">
        <v>0.25301929245867139</v>
      </c>
      <c r="W21">
        <v>0.25473733532831488</v>
      </c>
      <c r="X21">
        <v>0.2552941124785284</v>
      </c>
      <c r="Y21">
        <v>0.25496570465564472</v>
      </c>
      <c r="Z21">
        <v>0.25409121424825643</v>
      </c>
      <c r="AA21">
        <v>0.25694377848327238</v>
      </c>
      <c r="AB21">
        <v>0.25865131346632242</v>
      </c>
      <c r="AC21">
        <v>0.25677851729444701</v>
      </c>
      <c r="AD21">
        <v>0.2523610320442376</v>
      </c>
      <c r="AE21">
        <v>0.2544356491422804</v>
      </c>
      <c r="AF21">
        <v>0.25294350393514098</v>
      </c>
      <c r="AG21">
        <v>0.25304950898445538</v>
      </c>
      <c r="AH21">
        <v>0.25459289701446269</v>
      </c>
      <c r="AI21">
        <v>0.25244922280680809</v>
      </c>
      <c r="AJ21">
        <v>0.25506996056509562</v>
      </c>
      <c r="AK21">
        <v>0.25527230665599288</v>
      </c>
      <c r="AL21">
        <v>0.25381152005985808</v>
      </c>
      <c r="AM21">
        <v>0.25539727452845051</v>
      </c>
      <c r="AN21">
        <v>0.25721081056587503</v>
      </c>
      <c r="AO21">
        <v>0.25371865644338742</v>
      </c>
      <c r="AP21">
        <v>0.258043465034971</v>
      </c>
      <c r="AQ21">
        <v>0.25572265125604238</v>
      </c>
      <c r="AR21">
        <v>0.25317349400319872</v>
      </c>
      <c r="AS21">
        <v>0.25523638166743667</v>
      </c>
      <c r="AT21">
        <v>0.25272253879267942</v>
      </c>
      <c r="AU21">
        <v>0.25331092231548408</v>
      </c>
      <c r="AV21">
        <v>0.24812829547571649</v>
      </c>
      <c r="AW21">
        <v>0.2470235238939138</v>
      </c>
      <c r="AX21">
        <v>0.25003200400752817</v>
      </c>
      <c r="AY21">
        <v>0.24894921243758911</v>
      </c>
      <c r="AZ21">
        <v>0.24812351044437081</v>
      </c>
      <c r="BA21">
        <v>0.24881063971640049</v>
      </c>
      <c r="BB21">
        <v>0.25184000348753499</v>
      </c>
      <c r="BC21">
        <v>0.2471158821502438</v>
      </c>
      <c r="BD21">
        <v>0.24759364065645359</v>
      </c>
      <c r="BE21">
        <v>0.25382604293119743</v>
      </c>
      <c r="BF21">
        <v>0.25818990158171562</v>
      </c>
      <c r="BG21">
        <v>0.25707800035642903</v>
      </c>
      <c r="BH21">
        <v>0.25733405202892379</v>
      </c>
      <c r="BI21">
        <v>0.25574273422047339</v>
      </c>
      <c r="BJ21">
        <v>0.25668472024652988</v>
      </c>
      <c r="BK21">
        <v>0.25819720257412182</v>
      </c>
      <c r="BL21">
        <v>0.25642592604693321</v>
      </c>
      <c r="BM21">
        <v>0.2562345553449602</v>
      </c>
      <c r="BN21">
        <v>0.25553718502415668</v>
      </c>
      <c r="BO21">
        <v>0.2550617382887766</v>
      </c>
      <c r="BP21">
        <v>0.25502697179505462</v>
      </c>
      <c r="BQ21">
        <v>0.25650293935977508</v>
      </c>
      <c r="BR21">
        <v>0.25931379674302912</v>
      </c>
      <c r="BS21">
        <v>0.25838013083000572</v>
      </c>
      <c r="BT21">
        <v>0.25717424112028792</v>
      </c>
      <c r="BU21">
        <v>0.25776250260751471</v>
      </c>
      <c r="BV21">
        <v>0.2563031535609826</v>
      </c>
      <c r="BW21">
        <v>0.25634730894722779</v>
      </c>
      <c r="BX21">
        <v>0.25447007368623781</v>
      </c>
      <c r="BY21">
        <v>0.25413686072599401</v>
      </c>
      <c r="BZ21">
        <v>0.25339810136336471</v>
      </c>
      <c r="CA21">
        <v>0.25706622457140538</v>
      </c>
      <c r="CB21">
        <v>0.2551059188134574</v>
      </c>
      <c r="CC21">
        <v>0.25717755285016758</v>
      </c>
    </row>
    <row r="23" spans="1:81" x14ac:dyDescent="0.35">
      <c r="A23" t="s">
        <v>38</v>
      </c>
      <c r="B23" t="s">
        <v>75</v>
      </c>
      <c r="C23" t="s">
        <v>76</v>
      </c>
      <c r="D23" t="s">
        <v>77</v>
      </c>
      <c r="E23" t="s">
        <v>78</v>
      </c>
      <c r="F23" t="s">
        <v>79</v>
      </c>
      <c r="G23" t="s">
        <v>80</v>
      </c>
      <c r="H23" t="s">
        <v>81</v>
      </c>
      <c r="I23" t="s">
        <v>82</v>
      </c>
      <c r="J23" t="s">
        <v>83</v>
      </c>
      <c r="K23" t="s">
        <v>84</v>
      </c>
      <c r="L23" t="s">
        <v>85</v>
      </c>
      <c r="M23" t="s">
        <v>86</v>
      </c>
      <c r="N23" t="s">
        <v>87</v>
      </c>
      <c r="O23" t="s">
        <v>88</v>
      </c>
      <c r="P23" t="s">
        <v>89</v>
      </c>
      <c r="Q23" t="s">
        <v>90</v>
      </c>
      <c r="R23" t="s">
        <v>91</v>
      </c>
      <c r="S23" t="s">
        <v>92</v>
      </c>
      <c r="T23" t="s">
        <v>93</v>
      </c>
      <c r="U23" t="s">
        <v>94</v>
      </c>
      <c r="V23" t="s">
        <v>95</v>
      </c>
      <c r="W23" t="s">
        <v>96</v>
      </c>
      <c r="X23" t="s">
        <v>97</v>
      </c>
      <c r="Y23" t="s">
        <v>98</v>
      </c>
      <c r="Z23" t="s">
        <v>99</v>
      </c>
      <c r="AA23" t="s">
        <v>100</v>
      </c>
      <c r="AB23" t="s">
        <v>101</v>
      </c>
      <c r="AC23" t="s">
        <v>102</v>
      </c>
      <c r="AD23" t="s">
        <v>103</v>
      </c>
      <c r="AE23" t="s">
        <v>104</v>
      </c>
      <c r="AF23" t="s">
        <v>105</v>
      </c>
      <c r="AG23" t="s">
        <v>106</v>
      </c>
      <c r="AH23" t="s">
        <v>107</v>
      </c>
      <c r="AI23" t="s">
        <v>108</v>
      </c>
      <c r="AJ23" t="s">
        <v>109</v>
      </c>
      <c r="AK23" t="s">
        <v>110</v>
      </c>
      <c r="AL23" t="s">
        <v>111</v>
      </c>
      <c r="AM23" t="s">
        <v>112</v>
      </c>
      <c r="AN23" t="s">
        <v>113</v>
      </c>
      <c r="AO23" t="s">
        <v>114</v>
      </c>
      <c r="AP23" t="s">
        <v>115</v>
      </c>
      <c r="AQ23" t="s">
        <v>116</v>
      </c>
      <c r="AR23" t="s">
        <v>117</v>
      </c>
      <c r="AS23" t="s">
        <v>118</v>
      </c>
      <c r="AT23" t="s">
        <v>119</v>
      </c>
      <c r="AU23" t="s">
        <v>120</v>
      </c>
      <c r="AV23" t="s">
        <v>121</v>
      </c>
      <c r="AW23" t="s">
        <v>122</v>
      </c>
      <c r="AX23" t="s">
        <v>123</v>
      </c>
      <c r="AY23" t="s">
        <v>124</v>
      </c>
      <c r="AZ23" t="s">
        <v>125</v>
      </c>
      <c r="BA23" t="s">
        <v>126</v>
      </c>
      <c r="BB23" t="s">
        <v>127</v>
      </c>
      <c r="BC23" t="s">
        <v>46</v>
      </c>
      <c r="BD23" t="s">
        <v>47</v>
      </c>
      <c r="BE23" t="s">
        <v>48</v>
      </c>
      <c r="BF23" t="s">
        <v>49</v>
      </c>
      <c r="BG23" t="s">
        <v>50</v>
      </c>
      <c r="BH23" t="s">
        <v>51</v>
      </c>
      <c r="BI23" t="s">
        <v>52</v>
      </c>
      <c r="BJ23" t="s">
        <v>53</v>
      </c>
      <c r="BK23" t="s">
        <v>54</v>
      </c>
      <c r="BL23" t="s">
        <v>55</v>
      </c>
      <c r="BM23" t="s">
        <v>56</v>
      </c>
      <c r="BN23" t="s">
        <v>57</v>
      </c>
      <c r="BO23" t="s">
        <v>58</v>
      </c>
      <c r="BP23" t="s">
        <v>59</v>
      </c>
      <c r="BQ23" t="s">
        <v>60</v>
      </c>
      <c r="BR23" t="s">
        <v>61</v>
      </c>
      <c r="BS23" t="s">
        <v>62</v>
      </c>
      <c r="BT23" t="s">
        <v>63</v>
      </c>
      <c r="BU23" t="s">
        <v>64</v>
      </c>
      <c r="BV23" t="s">
        <v>65</v>
      </c>
      <c r="BW23" t="s">
        <v>66</v>
      </c>
      <c r="BX23" t="s">
        <v>67</v>
      </c>
      <c r="BY23" t="s">
        <v>68</v>
      </c>
      <c r="BZ23" t="s">
        <v>69</v>
      </c>
      <c r="CA23" t="s">
        <v>70</v>
      </c>
      <c r="CB23" t="s">
        <v>71</v>
      </c>
      <c r="CC23" t="s">
        <v>128</v>
      </c>
    </row>
    <row r="24" spans="1:81" x14ac:dyDescent="0.35">
      <c r="A24" t="s">
        <v>28</v>
      </c>
      <c r="B24">
        <v>129.83140403918981</v>
      </c>
      <c r="C24">
        <v>130.3157375899475</v>
      </c>
      <c r="D24">
        <v>130.03047901073009</v>
      </c>
      <c r="E24">
        <v>130.28156403430029</v>
      </c>
      <c r="F24">
        <v>133.55317768253309</v>
      </c>
      <c r="G24">
        <v>134.87712461979629</v>
      </c>
      <c r="H24">
        <v>135.16856131173199</v>
      </c>
      <c r="I24">
        <v>135.86423233731509</v>
      </c>
      <c r="J24">
        <v>135.54432905310361</v>
      </c>
      <c r="K24">
        <v>135.705080889643</v>
      </c>
      <c r="L24">
        <v>135.20261691205209</v>
      </c>
      <c r="M24">
        <v>134.91205493534551</v>
      </c>
      <c r="N24">
        <v>135.53685537614629</v>
      </c>
      <c r="O24">
        <v>135.02472999559191</v>
      </c>
      <c r="P24">
        <v>135.2294025410512</v>
      </c>
      <c r="Q24">
        <v>135.44395453169531</v>
      </c>
      <c r="R24">
        <v>135.33220640512431</v>
      </c>
      <c r="S24">
        <v>135.55206444844481</v>
      </c>
      <c r="T24">
        <v>134.96993185454221</v>
      </c>
      <c r="U24">
        <v>135.76099702107899</v>
      </c>
      <c r="V24">
        <v>134.28820406616259</v>
      </c>
      <c r="W24">
        <v>134.60031662831159</v>
      </c>
      <c r="X24">
        <v>132.94629798355589</v>
      </c>
      <c r="Y24">
        <v>133.37899113376699</v>
      </c>
      <c r="Z24">
        <v>134.13569016735619</v>
      </c>
      <c r="AA24">
        <v>134.49073358323221</v>
      </c>
      <c r="AB24">
        <v>134.45068442609801</v>
      </c>
      <c r="AC24">
        <v>136.22130666514229</v>
      </c>
      <c r="AD24">
        <v>136.67797110258749</v>
      </c>
      <c r="AE24">
        <v>137.11006336831599</v>
      </c>
      <c r="AF24">
        <v>136.96546859633369</v>
      </c>
      <c r="AG24">
        <v>137.2812118592708</v>
      </c>
      <c r="AH24">
        <v>137.1152263415037</v>
      </c>
      <c r="AI24">
        <v>137.4620080883644</v>
      </c>
      <c r="AJ24">
        <v>139.16554355198869</v>
      </c>
      <c r="AK24">
        <v>138.46586194151431</v>
      </c>
      <c r="AL24">
        <v>140.00479271053459</v>
      </c>
      <c r="AM24">
        <v>138.75375813685659</v>
      </c>
      <c r="AN24">
        <v>139.0086511730575</v>
      </c>
      <c r="AO24">
        <v>137.4622913129387</v>
      </c>
      <c r="AP24">
        <v>138.13396357220799</v>
      </c>
      <c r="AQ24">
        <v>137.42806807474551</v>
      </c>
      <c r="AR24">
        <v>137.4079814570085</v>
      </c>
      <c r="AS24">
        <v>138.29991911833571</v>
      </c>
      <c r="AT24">
        <v>139.04763725791719</v>
      </c>
      <c r="AU24">
        <v>138.27036348353141</v>
      </c>
      <c r="AV24">
        <v>137.2670439751526</v>
      </c>
      <c r="AW24">
        <v>136.72674526265061</v>
      </c>
      <c r="AX24">
        <v>137.20517553050991</v>
      </c>
      <c r="AY24">
        <v>136.66898207970709</v>
      </c>
      <c r="AZ24">
        <v>136.43403841247741</v>
      </c>
      <c r="BA24">
        <v>137.16688350669131</v>
      </c>
      <c r="BB24">
        <v>137.38573444451461</v>
      </c>
      <c r="BC24">
        <v>137.8314113834648</v>
      </c>
      <c r="BD24">
        <v>138.08026940509649</v>
      </c>
      <c r="BE24">
        <v>138.83384949039319</v>
      </c>
      <c r="BF24">
        <v>138.73233195899749</v>
      </c>
      <c r="BG24">
        <v>137.8936495141694</v>
      </c>
      <c r="BH24">
        <v>136.8054372353709</v>
      </c>
      <c r="BI24">
        <v>136.71471733893321</v>
      </c>
      <c r="BJ24">
        <v>136.7654580107075</v>
      </c>
      <c r="BK24">
        <v>136.49587682368721</v>
      </c>
      <c r="BL24">
        <v>136.63459075662161</v>
      </c>
      <c r="BM24">
        <v>137.44887050916671</v>
      </c>
      <c r="BN24">
        <v>137.91026066835991</v>
      </c>
      <c r="BO24">
        <v>138.3718584545357</v>
      </c>
      <c r="BP24">
        <v>138.44857104637239</v>
      </c>
      <c r="BQ24">
        <v>138.18615020984231</v>
      </c>
      <c r="BR24">
        <v>138.96646018857109</v>
      </c>
      <c r="BS24">
        <v>139.1350729015719</v>
      </c>
      <c r="BT24">
        <v>139.5268114533265</v>
      </c>
      <c r="BU24">
        <v>141.36722077284179</v>
      </c>
      <c r="BV24">
        <v>141.59338832825401</v>
      </c>
      <c r="BW24">
        <v>140.87523498246401</v>
      </c>
      <c r="BX24">
        <v>140.7501388485712</v>
      </c>
      <c r="BY24">
        <v>141.03059283821739</v>
      </c>
      <c r="BZ24">
        <v>141.2806729953945</v>
      </c>
      <c r="CA24">
        <v>141.15557474694569</v>
      </c>
      <c r="CB24">
        <v>141.2307175724647</v>
      </c>
      <c r="CC24">
        <v>141.42942648228529</v>
      </c>
    </row>
    <row r="25" spans="1:81" x14ac:dyDescent="0.35">
      <c r="A25" t="s">
        <v>29</v>
      </c>
      <c r="B25">
        <v>0.65090848566330806</v>
      </c>
      <c r="C25">
        <v>0.4071610083570647</v>
      </c>
      <c r="D25">
        <v>0.75688849007980252</v>
      </c>
      <c r="E25">
        <v>0.40242511031945583</v>
      </c>
      <c r="F25">
        <v>0.56318483350398196</v>
      </c>
      <c r="G25">
        <v>0.69847692243527604</v>
      </c>
      <c r="H25">
        <v>0.81542863816389399</v>
      </c>
      <c r="I25">
        <v>0.91828019680522743</v>
      </c>
      <c r="J25">
        <v>0.97978201061238224</v>
      </c>
      <c r="K25">
        <v>0.92919951986041838</v>
      </c>
      <c r="L25">
        <v>0.77582455332176892</v>
      </c>
      <c r="M25">
        <v>0.82419617192880423</v>
      </c>
      <c r="N25">
        <v>1.614930441243104</v>
      </c>
      <c r="O25">
        <v>1.722063752214666</v>
      </c>
      <c r="P25">
        <v>1.648462115830768</v>
      </c>
      <c r="Q25">
        <v>1.837324338509887</v>
      </c>
      <c r="R25">
        <v>1.8975333085749919</v>
      </c>
      <c r="S25">
        <v>1.6996391863086731</v>
      </c>
      <c r="T25">
        <v>1.4568502011443341</v>
      </c>
      <c r="U25">
        <v>1.468523855081173</v>
      </c>
      <c r="V25">
        <v>1.214074954223918</v>
      </c>
      <c r="W25">
        <v>0.79794019883743772</v>
      </c>
      <c r="X25">
        <v>1.0076545672555139</v>
      </c>
      <c r="Y25">
        <v>0.91280107122642562</v>
      </c>
      <c r="Z25">
        <v>0.23275757741259889</v>
      </c>
      <c r="AA25">
        <v>0.13012225492917651</v>
      </c>
      <c r="AB25">
        <v>0.36794713763435988</v>
      </c>
      <c r="AC25">
        <v>0.61709833504562539</v>
      </c>
      <c r="AD25">
        <v>0.5500227959140318</v>
      </c>
      <c r="AE25">
        <v>0.55128877920557784</v>
      </c>
      <c r="AF25">
        <v>0.30467111886090947</v>
      </c>
      <c r="AG25">
        <v>4.177720660990758E-2</v>
      </c>
      <c r="AH25">
        <v>-6.4201658660351768E-2</v>
      </c>
      <c r="AI25">
        <v>0.69963191036060834</v>
      </c>
      <c r="AJ25">
        <v>0.72533271516647346</v>
      </c>
      <c r="AK25">
        <v>0.87956519751691076</v>
      </c>
      <c r="AL25">
        <v>0.23221542412343871</v>
      </c>
      <c r="AM25">
        <v>6.7254240260439246E-2</v>
      </c>
      <c r="AN25">
        <v>0.77462580921576318</v>
      </c>
      <c r="AO25">
        <v>-0.43394351010169879</v>
      </c>
      <c r="AP25">
        <v>0.45143132417882731</v>
      </c>
      <c r="AQ25">
        <v>0.19439181209614281</v>
      </c>
      <c r="AR25">
        <v>1.0367142888504759</v>
      </c>
      <c r="AS25">
        <v>1.5616002755964471</v>
      </c>
      <c r="AT25">
        <v>1.664629584432191</v>
      </c>
      <c r="AU25">
        <v>1.072591290053083</v>
      </c>
      <c r="AV25">
        <v>1.1519652705228789</v>
      </c>
      <c r="AW25">
        <v>1.126907759427155</v>
      </c>
      <c r="AX25">
        <v>0.91349503223722195</v>
      </c>
      <c r="AY25">
        <v>0.79852491292393779</v>
      </c>
      <c r="AZ25">
        <v>0.99732094546209282</v>
      </c>
      <c r="BA25">
        <v>1.6981120352469361</v>
      </c>
      <c r="BB25">
        <v>1.963458347646565</v>
      </c>
      <c r="BC25">
        <v>2.1338162388981061</v>
      </c>
      <c r="BD25">
        <v>2.214012775310664</v>
      </c>
      <c r="BE25">
        <v>2.0154889709606612</v>
      </c>
      <c r="BF25">
        <v>2.3332804551129982</v>
      </c>
      <c r="BG25">
        <v>1.862309364600748</v>
      </c>
      <c r="BH25">
        <v>1.8337784792359459</v>
      </c>
      <c r="BI25">
        <v>2.0964910363807689</v>
      </c>
      <c r="BJ25">
        <v>2.0863555087018431</v>
      </c>
      <c r="BK25">
        <v>1.828325822379355</v>
      </c>
      <c r="BL25">
        <v>1.448879883427395</v>
      </c>
      <c r="BM25">
        <v>1.809972946529854</v>
      </c>
      <c r="BN25">
        <v>1.986782289820042</v>
      </c>
      <c r="BO25">
        <v>2.2949527740509552</v>
      </c>
      <c r="BP25">
        <v>2.1426337660393808</v>
      </c>
      <c r="BQ25">
        <v>2.033264475961857</v>
      </c>
      <c r="BR25">
        <v>2.3954776589776259</v>
      </c>
      <c r="BS25">
        <v>2.476835831748303</v>
      </c>
      <c r="BT25">
        <v>2.7434794444146751</v>
      </c>
      <c r="BU25">
        <v>2.986465097966402</v>
      </c>
      <c r="BV25">
        <v>3.3139753086057908</v>
      </c>
      <c r="BW25">
        <v>3.0869912185548571</v>
      </c>
      <c r="BX25">
        <v>2.8158466863697531</v>
      </c>
      <c r="BY25">
        <v>3.133509739789559</v>
      </c>
      <c r="BZ25">
        <v>3.273217401821114</v>
      </c>
      <c r="CA25">
        <v>3.1019924443475868</v>
      </c>
      <c r="CB25">
        <v>3.0253333167852361</v>
      </c>
      <c r="CC25">
        <v>3.1694561721615169</v>
      </c>
    </row>
    <row r="26" spans="1:81" x14ac:dyDescent="0.35">
      <c r="A26" t="s">
        <v>30</v>
      </c>
      <c r="B26">
        <v>-1.124591331968833</v>
      </c>
      <c r="C26">
        <v>-0.95253534043975763</v>
      </c>
      <c r="D26">
        <v>-1.2433264820907419</v>
      </c>
      <c r="E26">
        <v>-1.129626765233875</v>
      </c>
      <c r="F26">
        <v>-1.1725716138219571</v>
      </c>
      <c r="G26">
        <v>-1.006537119882317</v>
      </c>
      <c r="H26">
        <v>-0.98645031720481113</v>
      </c>
      <c r="I26">
        <v>-0.79767288437394213</v>
      </c>
      <c r="J26">
        <v>-0.45427398088144028</v>
      </c>
      <c r="K26">
        <v>-6.7560277467530849E-2</v>
      </c>
      <c r="L26">
        <v>-0.52933907759455634</v>
      </c>
      <c r="M26">
        <v>-0.38074701142083461</v>
      </c>
      <c r="N26">
        <v>-0.53778978504583552</v>
      </c>
      <c r="O26">
        <v>-0.47749504852295782</v>
      </c>
      <c r="P26">
        <v>-0.57835624581966638</v>
      </c>
      <c r="Q26">
        <v>-0.57981683443860454</v>
      </c>
      <c r="R26">
        <v>-0.27293444409301398</v>
      </c>
      <c r="S26">
        <v>-0.40991577520394079</v>
      </c>
      <c r="T26">
        <v>-0.46948245712235293</v>
      </c>
      <c r="U26">
        <v>-0.84983798227011276</v>
      </c>
      <c r="V26">
        <v>-0.55952859643203545</v>
      </c>
      <c r="W26">
        <v>-0.75834415037560432</v>
      </c>
      <c r="X26">
        <v>-1.062990977884386</v>
      </c>
      <c r="Y26">
        <v>-0.53679553396267765</v>
      </c>
      <c r="Z26">
        <v>-0.24087462437489399</v>
      </c>
      <c r="AA26">
        <v>-1.0810036725667791</v>
      </c>
      <c r="AB26">
        <v>-1.7876342198425119</v>
      </c>
      <c r="AC26">
        <v>-1.2905631374655999</v>
      </c>
      <c r="AD26">
        <v>-1.164513585239201</v>
      </c>
      <c r="AE26">
        <v>-1.3014327124421949</v>
      </c>
      <c r="AF26">
        <v>-1.112350095223718</v>
      </c>
      <c r="AG26">
        <v>-1.3994565176195239</v>
      </c>
      <c r="AH26">
        <v>-1.879828827008172</v>
      </c>
      <c r="AI26">
        <v>-1.5239079213359881</v>
      </c>
      <c r="AJ26">
        <v>-1.022288323431489</v>
      </c>
      <c r="AK26">
        <v>-1.007185155556211</v>
      </c>
      <c r="AL26">
        <v>-1.021416705639677</v>
      </c>
      <c r="AM26">
        <v>-1.0392440824480631</v>
      </c>
      <c r="AN26">
        <v>-1.290650149707008</v>
      </c>
      <c r="AO26">
        <v>-2.4564528601118711</v>
      </c>
      <c r="AP26">
        <v>-0.94496421909413553</v>
      </c>
      <c r="AQ26">
        <v>-0.99690734309835149</v>
      </c>
      <c r="AR26">
        <v>-1.306958354127455</v>
      </c>
      <c r="AS26">
        <v>-1.521385142503437</v>
      </c>
      <c r="AT26">
        <v>-0.74296233804475531</v>
      </c>
      <c r="AU26">
        <v>-1.19809807927942</v>
      </c>
      <c r="AV26">
        <v>-0.75666019576254528</v>
      </c>
      <c r="AW26">
        <v>8.0666545269445805E-2</v>
      </c>
      <c r="AX26">
        <v>-0.65166464668109192</v>
      </c>
      <c r="AY26">
        <v>-0.6567566480449859</v>
      </c>
      <c r="AZ26">
        <v>-1.106508740034355</v>
      </c>
      <c r="BA26">
        <v>-0.26014593278031167</v>
      </c>
      <c r="BB26">
        <v>0.63581938767849955</v>
      </c>
      <c r="BC26">
        <v>0.64339237396330595</v>
      </c>
      <c r="BD26">
        <v>1.516121311889616</v>
      </c>
      <c r="BE26">
        <v>1.288125807339715</v>
      </c>
      <c r="BF26">
        <v>0.70072922691172823</v>
      </c>
      <c r="BG26">
        <v>1.6533014770316841</v>
      </c>
      <c r="BH26">
        <v>2.3750856883759268</v>
      </c>
      <c r="BI26">
        <v>3.22932981137751</v>
      </c>
      <c r="BJ26">
        <v>2.6716598137377892</v>
      </c>
      <c r="BK26">
        <v>2.0475898714847518</v>
      </c>
      <c r="BL26">
        <v>1.760549496469729</v>
      </c>
      <c r="BM26">
        <v>2.3765821074362021</v>
      </c>
      <c r="BN26">
        <v>2.795625128043004</v>
      </c>
      <c r="BO26">
        <v>3.0320232079100542</v>
      </c>
      <c r="BP26">
        <v>3.088903745412916</v>
      </c>
      <c r="BQ26">
        <v>2.365956642268864</v>
      </c>
      <c r="BR26">
        <v>3.1132521451782691</v>
      </c>
      <c r="BS26">
        <v>3.9032067811206188</v>
      </c>
      <c r="BT26">
        <v>4.0311282948351774</v>
      </c>
      <c r="BU26">
        <v>4.1291842328632278</v>
      </c>
      <c r="BV26">
        <v>4.2147642158604128</v>
      </c>
      <c r="BW26">
        <v>2.9695835095605791</v>
      </c>
      <c r="BX26">
        <v>3.103043103971117</v>
      </c>
      <c r="BY26">
        <v>3.557309522678362</v>
      </c>
      <c r="BZ26">
        <v>4.6549879145492543</v>
      </c>
      <c r="CA26">
        <v>4.3088734288926869</v>
      </c>
      <c r="CB26">
        <v>3.9855027025774139</v>
      </c>
      <c r="CC26">
        <v>4.0028858058798402</v>
      </c>
    </row>
    <row r="27" spans="1:81" x14ac:dyDescent="0.35">
      <c r="A27" t="s">
        <v>31</v>
      </c>
      <c r="B27">
        <v>-1.0624299648868709</v>
      </c>
      <c r="C27">
        <v>-1.417839081958459</v>
      </c>
      <c r="D27">
        <v>-0.92035413492915374</v>
      </c>
      <c r="E27">
        <v>-1.2866415324612921</v>
      </c>
      <c r="F27">
        <v>-1.662387128067405</v>
      </c>
      <c r="G27">
        <v>-0.97274078894323135</v>
      </c>
      <c r="H27">
        <v>0.60856026492170456</v>
      </c>
      <c r="I27">
        <v>1.34181678771341</v>
      </c>
      <c r="J27">
        <v>1.7369893779725549</v>
      </c>
      <c r="K27">
        <v>1.926979452506552</v>
      </c>
      <c r="L27">
        <v>0.9891962511096517</v>
      </c>
      <c r="M27">
        <v>1.2649635167611599</v>
      </c>
      <c r="N27">
        <v>1.344545607968112</v>
      </c>
      <c r="O27">
        <v>2.4066657416726889</v>
      </c>
      <c r="P27">
        <v>3.0828441129075701</v>
      </c>
      <c r="Q27">
        <v>3.6615026374319362</v>
      </c>
      <c r="R27">
        <v>4.4697552785273009</v>
      </c>
      <c r="S27">
        <v>4.4379666587832149</v>
      </c>
      <c r="T27">
        <v>4.5381966115988037</v>
      </c>
      <c r="U27">
        <v>3.7058377222070691</v>
      </c>
      <c r="V27">
        <v>3.3917030651415909</v>
      </c>
      <c r="W27">
        <v>3.9679168581232491</v>
      </c>
      <c r="X27">
        <v>2.9813013597473952</v>
      </c>
      <c r="Y27">
        <v>3.7578852419728812</v>
      </c>
      <c r="Z27">
        <v>3.7495619867772838</v>
      </c>
      <c r="AA27">
        <v>4.4949299958614599</v>
      </c>
      <c r="AB27">
        <v>4.0641760878642881</v>
      </c>
      <c r="AC27">
        <v>4.6148808131863541</v>
      </c>
      <c r="AD27">
        <v>4.0887693817555064</v>
      </c>
      <c r="AE27">
        <v>5.1305482968111482</v>
      </c>
      <c r="AF27">
        <v>5.1150577649521516</v>
      </c>
      <c r="AG27">
        <v>3.833638837379056</v>
      </c>
      <c r="AH27">
        <v>3.9791145573925228</v>
      </c>
      <c r="AI27">
        <v>5.2213634036460634</v>
      </c>
      <c r="AJ27">
        <v>5.1463182739506532</v>
      </c>
      <c r="AK27">
        <v>5.8063480595195296</v>
      </c>
      <c r="AL27">
        <v>5.4088353798466304</v>
      </c>
      <c r="AM27">
        <v>7.0647048978869789</v>
      </c>
      <c r="AN27">
        <v>3.170181098149476</v>
      </c>
      <c r="AO27">
        <v>-0.8231706294102773</v>
      </c>
      <c r="AP27">
        <v>4.8306285845701042</v>
      </c>
      <c r="AQ27">
        <v>6.8371890276413163</v>
      </c>
      <c r="AR27">
        <v>7.298708935432983</v>
      </c>
      <c r="AS27">
        <v>5.914499107454926</v>
      </c>
      <c r="AT27">
        <v>5.0517718758700116</v>
      </c>
      <c r="AU27">
        <v>6.0273459169005204</v>
      </c>
      <c r="AV27">
        <v>6.6035707363854206</v>
      </c>
      <c r="AW27">
        <v>5.2875673097163496</v>
      </c>
      <c r="AX27">
        <v>4.6552600677830673</v>
      </c>
      <c r="AY27">
        <v>4.4746694299771406</v>
      </c>
      <c r="AZ27">
        <v>4.4494844189161054</v>
      </c>
      <c r="BA27">
        <v>4.6000600792232964</v>
      </c>
      <c r="BB27">
        <v>4.9593555928081141</v>
      </c>
      <c r="BC27">
        <v>5.7027352800344762</v>
      </c>
      <c r="BD27">
        <v>5.9420347461411414</v>
      </c>
      <c r="BE27">
        <v>5.7288709021561468</v>
      </c>
      <c r="BF27">
        <v>5.1058699437213466</v>
      </c>
      <c r="BG27">
        <v>5.2750701750289029</v>
      </c>
      <c r="BH27">
        <v>5.6021729764562203</v>
      </c>
      <c r="BI27">
        <v>5.6264905817144104</v>
      </c>
      <c r="BJ27">
        <v>5.3015084459501356</v>
      </c>
      <c r="BK27">
        <v>4.8265360254341001</v>
      </c>
      <c r="BL27">
        <v>5.3419995771644686</v>
      </c>
      <c r="BM27">
        <v>5.5626041248243494</v>
      </c>
      <c r="BN27">
        <v>6.2182515379541137</v>
      </c>
      <c r="BO27">
        <v>6.5410111573706819</v>
      </c>
      <c r="BP27">
        <v>5.7277695866310721</v>
      </c>
      <c r="BQ27">
        <v>6.0013730291550056</v>
      </c>
      <c r="BR27">
        <v>6.2080411438656178</v>
      </c>
      <c r="BS27">
        <v>6.7893360397493776</v>
      </c>
      <c r="BT27">
        <v>5.9907227990279548</v>
      </c>
      <c r="BU27">
        <v>5.7387810664752559</v>
      </c>
      <c r="BV27">
        <v>5.1065572325564776</v>
      </c>
      <c r="BW27">
        <v>5.3483687724009394</v>
      </c>
      <c r="BX27">
        <v>5.2207364468741053</v>
      </c>
      <c r="BY27">
        <v>5.3905286936916923</v>
      </c>
      <c r="BZ27">
        <v>5.7781771322921891</v>
      </c>
      <c r="CA27">
        <v>5.1683993416613312</v>
      </c>
      <c r="CB27">
        <v>5.1585567209935652</v>
      </c>
      <c r="CC27">
        <v>5.0759836216859338</v>
      </c>
    </row>
    <row r="28" spans="1:81" x14ac:dyDescent="0.35">
      <c r="A28" t="s">
        <v>32</v>
      </c>
      <c r="B28">
        <v>0.2331850081829098</v>
      </c>
      <c r="C28">
        <v>-1.4921527436578821E-3</v>
      </c>
      <c r="D28">
        <v>-0.12546016117883529</v>
      </c>
      <c r="E28">
        <v>-0.26197146444564062</v>
      </c>
      <c r="F28">
        <v>-0.3912384094314969</v>
      </c>
      <c r="G28">
        <v>-0.33743787633598371</v>
      </c>
      <c r="H28">
        <v>-0.56366823639802999</v>
      </c>
      <c r="I28">
        <v>-0.36349740760233062</v>
      </c>
      <c r="J28">
        <v>-0.35564442497176502</v>
      </c>
      <c r="K28">
        <v>-0.23530686078889909</v>
      </c>
      <c r="L28">
        <v>-0.48010843054795521</v>
      </c>
      <c r="M28">
        <v>-0.43223696915830889</v>
      </c>
      <c r="N28">
        <v>-0.32927876348592949</v>
      </c>
      <c r="O28">
        <v>-0.45504011704780789</v>
      </c>
      <c r="P28">
        <v>-0.50029229180676149</v>
      </c>
      <c r="Q28">
        <v>-0.18096084982760771</v>
      </c>
      <c r="R28">
        <v>-0.31401168551408948</v>
      </c>
      <c r="S28">
        <v>-0.24841832654324661</v>
      </c>
      <c r="T28">
        <v>-0.18412980378133989</v>
      </c>
      <c r="U28">
        <v>-0.17939477791520769</v>
      </c>
      <c r="V28">
        <v>-0.51520103715808951</v>
      </c>
      <c r="W28">
        <v>-0.27113604288390492</v>
      </c>
      <c r="X28">
        <v>-0.14622305385519399</v>
      </c>
      <c r="Y28">
        <v>-2.5838811478428592E-2</v>
      </c>
      <c r="Z28">
        <v>-7.2062799849436088E-2</v>
      </c>
      <c r="AA28">
        <v>-0.30693254933720382</v>
      </c>
      <c r="AB28">
        <v>-0.49540488705842323</v>
      </c>
      <c r="AC28">
        <v>3.4409625166998137E-2</v>
      </c>
      <c r="AD28">
        <v>0.1071112944435476</v>
      </c>
      <c r="AE28">
        <v>-0.44462344934648618</v>
      </c>
      <c r="AF28">
        <v>-0.20626801889836399</v>
      </c>
      <c r="AG28">
        <v>-0.35808452971739679</v>
      </c>
      <c r="AH28">
        <v>-0.35591016842299089</v>
      </c>
      <c r="AI28">
        <v>-0.1991479186315798</v>
      </c>
      <c r="AJ28">
        <v>0.1680545225058053</v>
      </c>
      <c r="AK28">
        <v>1.389179576198413E-2</v>
      </c>
      <c r="AL28">
        <v>-0.53650958739177301</v>
      </c>
      <c r="AM28">
        <v>-0.52105959288723747</v>
      </c>
      <c r="AN28">
        <v>-0.77629547024803291</v>
      </c>
      <c r="AO28">
        <v>-0.74215718033901756</v>
      </c>
      <c r="AP28">
        <v>-0.8284306060152169</v>
      </c>
      <c r="AQ28">
        <v>-0.73934897635646701</v>
      </c>
      <c r="AR28">
        <v>-0.5490425909078539</v>
      </c>
      <c r="AS28">
        <v>-0.30147973763839542</v>
      </c>
      <c r="AT28">
        <v>-7.5101797291439731E-2</v>
      </c>
      <c r="AU28">
        <v>-0.28712952809251618</v>
      </c>
      <c r="AV28">
        <v>0.2172923784438138</v>
      </c>
      <c r="AW28">
        <v>-0.1812846997701201</v>
      </c>
      <c r="AX28">
        <v>-0.1934198146147198</v>
      </c>
      <c r="AY28">
        <v>-0.45358636567830901</v>
      </c>
      <c r="AZ28">
        <v>-0.23053364545606969</v>
      </c>
      <c r="BA28">
        <v>-0.14080109848625341</v>
      </c>
      <c r="BB28">
        <v>8.9908905046199861E-2</v>
      </c>
      <c r="BC28">
        <v>0.52054478031611451</v>
      </c>
      <c r="BD28">
        <v>0.63481724405702344</v>
      </c>
      <c r="BE28">
        <v>-0.117089748175952</v>
      </c>
      <c r="BF28">
        <v>-0.18848365610781009</v>
      </c>
      <c r="BG28">
        <v>-0.2556200369813294</v>
      </c>
      <c r="BH28">
        <v>1.9290541274941949E-2</v>
      </c>
      <c r="BI28">
        <v>0.37976836785735629</v>
      </c>
      <c r="BJ28">
        <v>6.9451917140122832E-2</v>
      </c>
      <c r="BK28">
        <v>-0.1223936115684776</v>
      </c>
      <c r="BL28">
        <v>3.034160545783731E-2</v>
      </c>
      <c r="BM28">
        <v>0.24685523150155789</v>
      </c>
      <c r="BN28">
        <v>0.29291740161291691</v>
      </c>
      <c r="BO28">
        <v>0.41349799299063988</v>
      </c>
      <c r="BP28">
        <v>0.30480541030441399</v>
      </c>
      <c r="BQ28">
        <v>0.1165039630236239</v>
      </c>
      <c r="BR28">
        <v>0.33420422093078328</v>
      </c>
      <c r="BS28">
        <v>0.42436822698309512</v>
      </c>
      <c r="BT28">
        <v>0.33334888252104039</v>
      </c>
      <c r="BU28">
        <v>0.60775068411058641</v>
      </c>
      <c r="BV28">
        <v>0.84333886093223731</v>
      </c>
      <c r="BW28">
        <v>0.53073500551310959</v>
      </c>
      <c r="BX28">
        <v>0.77759423073495437</v>
      </c>
      <c r="BY28">
        <v>0.7731801374363384</v>
      </c>
      <c r="BZ28">
        <v>1.0975091700408679</v>
      </c>
      <c r="CA28">
        <v>0.94639933251119401</v>
      </c>
      <c r="CB28">
        <v>1.0247001432003899</v>
      </c>
      <c r="CC28">
        <v>0.84369476034510849</v>
      </c>
    </row>
    <row r="29" spans="1:81" x14ac:dyDescent="0.35">
      <c r="A29" t="s">
        <v>33</v>
      </c>
      <c r="B29">
        <v>128.5284762361803</v>
      </c>
      <c r="C29">
        <v>128.3510320231627</v>
      </c>
      <c r="D29">
        <v>128.49822672261121</v>
      </c>
      <c r="E29">
        <v>128.005749382479</v>
      </c>
      <c r="F29">
        <v>130.8901653647163</v>
      </c>
      <c r="G29">
        <v>133.25888575707009</v>
      </c>
      <c r="H29">
        <v>135.04243166121469</v>
      </c>
      <c r="I29">
        <v>136.96315902985751</v>
      </c>
      <c r="J29">
        <v>137.4511820358353</v>
      </c>
      <c r="K29">
        <v>138.2583927237535</v>
      </c>
      <c r="L29">
        <v>135.95819020834099</v>
      </c>
      <c r="M29">
        <v>136.18823064345639</v>
      </c>
      <c r="N29">
        <v>137.62926287682569</v>
      </c>
      <c r="O29">
        <v>138.22092432390841</v>
      </c>
      <c r="P29">
        <v>138.8820602321631</v>
      </c>
      <c r="Q29">
        <v>140.18200382337091</v>
      </c>
      <c r="R29">
        <v>141.11254886261941</v>
      </c>
      <c r="S29">
        <v>141.03133619178951</v>
      </c>
      <c r="T29">
        <v>140.31136640638161</v>
      </c>
      <c r="U29">
        <v>139.90612583818199</v>
      </c>
      <c r="V29">
        <v>137.81925245193801</v>
      </c>
      <c r="W29">
        <v>138.33669349201281</v>
      </c>
      <c r="X29">
        <v>135.72603987881931</v>
      </c>
      <c r="Y29">
        <v>137.48704310152519</v>
      </c>
      <c r="Z29">
        <v>137.80507230732181</v>
      </c>
      <c r="AA29">
        <v>137.72784961211889</v>
      </c>
      <c r="AB29">
        <v>136.59976854469571</v>
      </c>
      <c r="AC29">
        <v>140.19713230107561</v>
      </c>
      <c r="AD29">
        <v>140.2593609894613</v>
      </c>
      <c r="AE29">
        <v>141.0458442825441</v>
      </c>
      <c r="AF29">
        <v>141.06657936602471</v>
      </c>
      <c r="AG29">
        <v>139.39908685592289</v>
      </c>
      <c r="AH29">
        <v>138.79440024480471</v>
      </c>
      <c r="AI29">
        <v>141.65994756240349</v>
      </c>
      <c r="AJ29">
        <v>144.18296074018011</v>
      </c>
      <c r="AK29">
        <v>144.1584818387565</v>
      </c>
      <c r="AL29">
        <v>144.08791722147319</v>
      </c>
      <c r="AM29">
        <v>144.32541359966871</v>
      </c>
      <c r="AN29">
        <v>140.88651246046771</v>
      </c>
      <c r="AO29">
        <v>133.00656713297579</v>
      </c>
      <c r="AP29">
        <v>141.6426286558476</v>
      </c>
      <c r="AQ29">
        <v>142.72339259502809</v>
      </c>
      <c r="AR29">
        <v>143.88740373625669</v>
      </c>
      <c r="AS29">
        <v>143.95315362124521</v>
      </c>
      <c r="AT29">
        <v>144.94597458288331</v>
      </c>
      <c r="AU29">
        <v>143.8850730831131</v>
      </c>
      <c r="AV29">
        <v>144.4832121647421</v>
      </c>
      <c r="AW29">
        <v>143.04060217729349</v>
      </c>
      <c r="AX29">
        <v>141.92884616923439</v>
      </c>
      <c r="AY29">
        <v>140.8318334088849</v>
      </c>
      <c r="AZ29">
        <v>140.54380139136521</v>
      </c>
      <c r="BA29">
        <v>143.06410858989489</v>
      </c>
      <c r="BB29">
        <v>145.03427667769401</v>
      </c>
      <c r="BC29">
        <v>146.8319000566768</v>
      </c>
      <c r="BD29">
        <v>148.38725548249491</v>
      </c>
      <c r="BE29">
        <v>147.74924542267379</v>
      </c>
      <c r="BF29">
        <v>146.68372792863579</v>
      </c>
      <c r="BG29">
        <v>146.42871049384939</v>
      </c>
      <c r="BH29">
        <v>146.635764920714</v>
      </c>
      <c r="BI29">
        <v>148.04679713626319</v>
      </c>
      <c r="BJ29">
        <v>146.8944336962374</v>
      </c>
      <c r="BK29">
        <v>145.0759349314169</v>
      </c>
      <c r="BL29">
        <v>145.2163613191411</v>
      </c>
      <c r="BM29">
        <v>147.4448849194587</v>
      </c>
      <c r="BN29">
        <v>149.20383702578991</v>
      </c>
      <c r="BO29">
        <v>150.65334358685811</v>
      </c>
      <c r="BP29">
        <v>149.71268355476019</v>
      </c>
      <c r="BQ29">
        <v>148.7032483202517</v>
      </c>
      <c r="BR29">
        <v>151.0174353575234</v>
      </c>
      <c r="BS29">
        <v>152.72881978117331</v>
      </c>
      <c r="BT29">
        <v>152.6254908741254</v>
      </c>
      <c r="BU29">
        <v>154.8294018542573</v>
      </c>
      <c r="BV29">
        <v>155.0720239462089</v>
      </c>
      <c r="BW29">
        <v>152.8109134884935</v>
      </c>
      <c r="BX29">
        <v>152.66735931652121</v>
      </c>
      <c r="BY29">
        <v>153.8851209318133</v>
      </c>
      <c r="BZ29">
        <v>156.0845646140979</v>
      </c>
      <c r="CA29">
        <v>154.68123929435859</v>
      </c>
      <c r="CB29">
        <v>154.42481045602131</v>
      </c>
      <c r="CC29">
        <v>154.52144684235759</v>
      </c>
    </row>
    <row r="30" spans="1:81" x14ac:dyDescent="0.35">
      <c r="A30" t="s">
        <v>34</v>
      </c>
      <c r="B30">
        <v>22548988.289999999</v>
      </c>
      <c r="C30">
        <v>20616712.760000002</v>
      </c>
      <c r="D30">
        <v>29685018.920000002</v>
      </c>
      <c r="E30">
        <v>16888348.620000001</v>
      </c>
      <c r="F30">
        <v>19516124.68</v>
      </c>
      <c r="G30">
        <v>22612646.280000001</v>
      </c>
      <c r="H30">
        <v>22210955.440000001</v>
      </c>
      <c r="I30">
        <v>19962375.210000001</v>
      </c>
      <c r="J30">
        <v>16364648.689999999</v>
      </c>
      <c r="K30">
        <v>15880889.01</v>
      </c>
      <c r="L30">
        <v>14288644.66</v>
      </c>
      <c r="M30">
        <v>13411555.380000001</v>
      </c>
      <c r="N30">
        <v>15560551.33</v>
      </c>
      <c r="O30">
        <v>15289493.210000001</v>
      </c>
      <c r="P30">
        <v>31692537.579999998</v>
      </c>
      <c r="Q30">
        <v>29789621.059999999</v>
      </c>
      <c r="R30">
        <v>25001522.210000001</v>
      </c>
      <c r="S30">
        <v>26732135.100000001</v>
      </c>
      <c r="T30">
        <v>23289131.170000002</v>
      </c>
      <c r="U30">
        <v>21966732.93</v>
      </c>
      <c r="V30">
        <v>20328370.530000001</v>
      </c>
      <c r="W30">
        <v>18971646.41</v>
      </c>
      <c r="X30">
        <v>18405564.640000001</v>
      </c>
      <c r="Y30">
        <v>20718224.52</v>
      </c>
      <c r="Z30">
        <v>15029693.810000001</v>
      </c>
      <c r="AA30">
        <v>16894724.93</v>
      </c>
      <c r="AB30">
        <v>21629588.370000001</v>
      </c>
      <c r="AC30">
        <v>18476424.57</v>
      </c>
      <c r="AD30">
        <v>18328720.059999999</v>
      </c>
      <c r="AE30">
        <v>16048569.039999999</v>
      </c>
      <c r="AF30">
        <v>13154894.529999999</v>
      </c>
      <c r="AG30">
        <v>11964699.529999999</v>
      </c>
      <c r="AH30">
        <v>11757956.779999999</v>
      </c>
      <c r="AI30">
        <v>8712954.5899999999</v>
      </c>
      <c r="AJ30">
        <v>5766370.1499999994</v>
      </c>
      <c r="AK30">
        <v>5544094.0300000003</v>
      </c>
      <c r="AL30">
        <v>4041152.79</v>
      </c>
      <c r="AM30">
        <v>4319500.0600000015</v>
      </c>
      <c r="AN30">
        <v>3849671.49</v>
      </c>
      <c r="AO30">
        <v>1627426.57</v>
      </c>
      <c r="AP30">
        <v>6935077.3200000003</v>
      </c>
      <c r="AQ30">
        <v>7377930.6600000001</v>
      </c>
      <c r="AR30">
        <v>7552955.459999999</v>
      </c>
      <c r="AS30">
        <v>9462909.0500000007</v>
      </c>
      <c r="AT30">
        <v>10850449.5</v>
      </c>
      <c r="AU30">
        <v>12673386.43</v>
      </c>
      <c r="AV30">
        <v>16434227.460000001</v>
      </c>
      <c r="AW30">
        <v>14901498.720000001</v>
      </c>
      <c r="AX30">
        <v>15160022.460000001</v>
      </c>
      <c r="AY30">
        <v>19276147.649999999</v>
      </c>
      <c r="AZ30">
        <v>33505825.649999999</v>
      </c>
      <c r="BA30">
        <v>31075061.640000001</v>
      </c>
      <c r="BB30">
        <v>34320176.25</v>
      </c>
      <c r="BC30">
        <v>28335750.620000001</v>
      </c>
      <c r="BD30">
        <v>27401854.18</v>
      </c>
      <c r="BE30">
        <v>20090117.719999999</v>
      </c>
      <c r="BF30">
        <v>20684238.559999999</v>
      </c>
      <c r="BG30">
        <v>25188809.120000001</v>
      </c>
      <c r="BH30">
        <v>20512256.390000001</v>
      </c>
      <c r="BI30">
        <v>24362466.260000002</v>
      </c>
      <c r="BJ30">
        <v>29218296.469999999</v>
      </c>
      <c r="BK30">
        <v>28690575.670000002</v>
      </c>
      <c r="BL30">
        <v>50866702.159999996</v>
      </c>
      <c r="BM30">
        <v>43616483.060000002</v>
      </c>
      <c r="BN30">
        <v>37473511.520000003</v>
      </c>
      <c r="BO30">
        <v>34186038.899999999</v>
      </c>
      <c r="BP30">
        <v>33269283.25</v>
      </c>
      <c r="BQ30">
        <v>29007287.850000001</v>
      </c>
      <c r="BR30">
        <v>27004751.27</v>
      </c>
      <c r="BS30">
        <v>28852206.16</v>
      </c>
      <c r="BT30">
        <v>19064750.879999999</v>
      </c>
      <c r="BU30">
        <v>22918900.57</v>
      </c>
      <c r="BV30">
        <v>23856936.02</v>
      </c>
      <c r="BW30">
        <v>30556521.399999999</v>
      </c>
      <c r="BX30">
        <v>52642454.739999987</v>
      </c>
      <c r="BY30">
        <v>41738202.899999999</v>
      </c>
      <c r="BZ30">
        <v>38774211.060000002</v>
      </c>
      <c r="CA30">
        <v>38016709.469999999</v>
      </c>
      <c r="CB30">
        <v>39889590.950000003</v>
      </c>
      <c r="CC30">
        <v>34101716.939999998</v>
      </c>
    </row>
    <row r="31" spans="1:81" x14ac:dyDescent="0.35">
      <c r="A31" t="s">
        <v>35</v>
      </c>
      <c r="B31">
        <v>2.069324239977584</v>
      </c>
      <c r="C31">
        <v>2.1165228733977881</v>
      </c>
      <c r="D31">
        <v>2.0510401955829818</v>
      </c>
      <c r="E31">
        <v>2.0988511188191512</v>
      </c>
      <c r="F31">
        <v>2.150269424282607</v>
      </c>
      <c r="G31">
        <v>2.05774421975081</v>
      </c>
      <c r="H31">
        <v>1.8729526720989209</v>
      </c>
      <c r="I31">
        <v>1.798077059743189</v>
      </c>
      <c r="J31">
        <v>1.7601547044036709</v>
      </c>
      <c r="K31">
        <v>1.742486173388452</v>
      </c>
      <c r="L31">
        <v>1.833322597609977</v>
      </c>
      <c r="M31">
        <v>1.80564280731989</v>
      </c>
      <c r="N31">
        <v>1.7978095890080179</v>
      </c>
      <c r="O31">
        <v>1.699416089245086</v>
      </c>
      <c r="P31">
        <v>1.642197679501143</v>
      </c>
      <c r="Q31">
        <v>1.596205299233703</v>
      </c>
      <c r="R31">
        <v>1.5361143884571671</v>
      </c>
      <c r="S31">
        <v>1.538392167733313</v>
      </c>
      <c r="T31">
        <v>1.531233120150808</v>
      </c>
      <c r="U31">
        <v>1.5927875241014211</v>
      </c>
      <c r="V31">
        <v>1.617324452726921</v>
      </c>
      <c r="W31">
        <v>1.5728791860037881</v>
      </c>
      <c r="X31">
        <v>1.6505431456250721</v>
      </c>
      <c r="Y31">
        <v>1.5887938301785069</v>
      </c>
      <c r="Z31">
        <v>1.5894311417762259</v>
      </c>
      <c r="AA31">
        <v>1.5343153016246069</v>
      </c>
      <c r="AB31">
        <v>1.5656914309124479</v>
      </c>
      <c r="AC31">
        <v>1.525800687269127</v>
      </c>
      <c r="AD31">
        <v>1.563865553413085</v>
      </c>
      <c r="AE31">
        <v>1.490247758784728</v>
      </c>
      <c r="AF31">
        <v>1.4912916054990619</v>
      </c>
      <c r="AG31">
        <v>1.583016786334432</v>
      </c>
      <c r="AH31">
        <v>1.572039654475248</v>
      </c>
      <c r="AI31">
        <v>1.484157357985904</v>
      </c>
      <c r="AJ31">
        <v>1.489186581355707</v>
      </c>
      <c r="AK31">
        <v>1.4460886027841671</v>
      </c>
      <c r="AL31">
        <v>1.4717409200863929</v>
      </c>
      <c r="AM31">
        <v>1.370471823358858</v>
      </c>
      <c r="AN31">
        <v>1.6350869553186991</v>
      </c>
      <c r="AO31">
        <v>2.0387184190716181</v>
      </c>
      <c r="AP31">
        <v>1.510721501776191</v>
      </c>
      <c r="AQ31">
        <v>1.3835523962895451</v>
      </c>
      <c r="AR31">
        <v>1.357273758356262</v>
      </c>
      <c r="AS31">
        <v>1.4392634045956689</v>
      </c>
      <c r="AT31">
        <v>1.495571430071255</v>
      </c>
      <c r="AU31">
        <v>1.432210212979643</v>
      </c>
      <c r="AV31">
        <v>1.3972462204271749</v>
      </c>
      <c r="AW31">
        <v>1.479748755963251</v>
      </c>
      <c r="AX31">
        <v>1.5229556189475171</v>
      </c>
      <c r="AY31">
        <v>1.535762872045062</v>
      </c>
      <c r="AZ31">
        <v>1.53756609510461</v>
      </c>
      <c r="BA31">
        <v>1.526847605008417</v>
      </c>
      <c r="BB31">
        <v>1.501865565253711</v>
      </c>
      <c r="BC31">
        <v>1.4526883916496041</v>
      </c>
      <c r="BD31">
        <v>1.437535962478099</v>
      </c>
      <c r="BE31">
        <v>1.451017964859459</v>
      </c>
      <c r="BF31">
        <v>1.491911428229822</v>
      </c>
      <c r="BG31">
        <v>1.480578949509739</v>
      </c>
      <c r="BH31">
        <v>1.4591517388329851</v>
      </c>
      <c r="BI31">
        <v>1.457583529398623</v>
      </c>
      <c r="BJ31">
        <v>1.478823734274757</v>
      </c>
      <c r="BK31">
        <v>1.5110047678463021</v>
      </c>
      <c r="BL31">
        <v>1.476143614007966</v>
      </c>
      <c r="BM31">
        <v>1.4617107058007539</v>
      </c>
      <c r="BN31">
        <v>1.420434262506316</v>
      </c>
      <c r="BO31">
        <v>1.400959363195152</v>
      </c>
      <c r="BP31">
        <v>1.4510882765812401</v>
      </c>
      <c r="BQ31">
        <v>1.433827448396092</v>
      </c>
      <c r="BR31">
        <v>1.4210591835630779</v>
      </c>
      <c r="BS31">
        <v>1.3863354548817179</v>
      </c>
      <c r="BT31">
        <v>1.4344916551033531</v>
      </c>
      <c r="BU31">
        <v>1.4503855727176069</v>
      </c>
      <c r="BV31">
        <v>1.49186504497544</v>
      </c>
      <c r="BW31">
        <v>1.475722919013605</v>
      </c>
      <c r="BX31">
        <v>1.4841992333984699</v>
      </c>
      <c r="BY31">
        <v>1.4729442279445499</v>
      </c>
      <c r="BZ31">
        <v>1.447877053921268</v>
      </c>
      <c r="CA31">
        <v>1.4877032613726111</v>
      </c>
      <c r="CB31">
        <v>1.488364085046836</v>
      </c>
      <c r="CC31">
        <v>1.4939311681497489</v>
      </c>
    </row>
    <row r="32" spans="1:81" x14ac:dyDescent="0.35">
      <c r="A32" t="s">
        <v>36</v>
      </c>
      <c r="B32">
        <v>0.246668785597387</v>
      </c>
      <c r="C32">
        <v>0.25002131646776649</v>
      </c>
      <c r="D32">
        <v>0.2517922880168405</v>
      </c>
      <c r="E32">
        <v>0.25374244949208058</v>
      </c>
      <c r="F32">
        <v>0.25558912013473573</v>
      </c>
      <c r="G32">
        <v>0.25482054109051411</v>
      </c>
      <c r="H32">
        <v>0.25805240337711471</v>
      </c>
      <c r="I32">
        <v>0.25519282010860472</v>
      </c>
      <c r="J32">
        <v>0.25508063464245379</v>
      </c>
      <c r="K32">
        <v>0.25336152658269862</v>
      </c>
      <c r="L32">
        <v>0.25685869186497079</v>
      </c>
      <c r="M32">
        <v>0.2561748138451187</v>
      </c>
      <c r="N32">
        <v>0.25470398233551328</v>
      </c>
      <c r="O32">
        <v>0.25650057310068303</v>
      </c>
      <c r="P32">
        <v>0.25714703274009659</v>
      </c>
      <c r="Q32">
        <v>0.25258515499753731</v>
      </c>
      <c r="R32">
        <v>0.25448588122162991</v>
      </c>
      <c r="S32">
        <v>0.25354883323633209</v>
      </c>
      <c r="T32">
        <v>0.25263042576830491</v>
      </c>
      <c r="U32">
        <v>0.25256278254164582</v>
      </c>
      <c r="V32">
        <v>0.25736001481654408</v>
      </c>
      <c r="W32">
        <v>0.25387337204119859</v>
      </c>
      <c r="X32">
        <v>0.25208890076935991</v>
      </c>
      <c r="Y32">
        <v>0.25036912587826332</v>
      </c>
      <c r="Z32">
        <v>0.25102946856927771</v>
      </c>
      <c r="AA32">
        <v>0.2543847507048172</v>
      </c>
      <c r="AB32">
        <v>0.25707721267226319</v>
      </c>
      <c r="AC32">
        <v>0.24950843392618571</v>
      </c>
      <c r="AD32">
        <v>0.24846983865080649</v>
      </c>
      <c r="AE32">
        <v>0.25635176356209272</v>
      </c>
      <c r="AF32">
        <v>0.25294668598426229</v>
      </c>
      <c r="AG32">
        <v>0.2551154932816771</v>
      </c>
      <c r="AH32">
        <v>0.2550844309774713</v>
      </c>
      <c r="AI32">
        <v>0.25284497026616543</v>
      </c>
      <c r="AJ32">
        <v>0.2475992211070599</v>
      </c>
      <c r="AK32">
        <v>0.2498015457748288</v>
      </c>
      <c r="AL32">
        <v>0.25766442267702527</v>
      </c>
      <c r="AM32">
        <v>0.25744370846981768</v>
      </c>
      <c r="AN32">
        <v>0.26108993528925761</v>
      </c>
      <c r="AO32">
        <v>0.26060224543341448</v>
      </c>
      <c r="AP32">
        <v>0.26183472294307453</v>
      </c>
      <c r="AQ32">
        <v>0.26056212823366381</v>
      </c>
      <c r="AR32">
        <v>0.25784346558439791</v>
      </c>
      <c r="AS32">
        <v>0.25430685339483422</v>
      </c>
      <c r="AT32">
        <v>0.25107288281844908</v>
      </c>
      <c r="AU32">
        <v>0.25410185040132172</v>
      </c>
      <c r="AV32">
        <v>0.2468958231650884</v>
      </c>
      <c r="AW32">
        <v>0.25258978142528737</v>
      </c>
      <c r="AX32">
        <v>0.25276314020878171</v>
      </c>
      <c r="AY32">
        <v>0.25647980522397579</v>
      </c>
      <c r="AZ32">
        <v>0.25329333779222962</v>
      </c>
      <c r="BA32">
        <v>0.25201144426408928</v>
      </c>
      <c r="BB32">
        <v>0.2487155870707686</v>
      </c>
      <c r="BC32">
        <v>0.24256364599548411</v>
      </c>
      <c r="BD32">
        <v>0.24093118222775681</v>
      </c>
      <c r="BE32">
        <v>0.25167271068822789</v>
      </c>
      <c r="BF32">
        <v>0.252692623658683</v>
      </c>
      <c r="BG32">
        <v>0.25365171481401899</v>
      </c>
      <c r="BH32">
        <v>0.2497244208389294</v>
      </c>
      <c r="BI32">
        <v>0.2445747376020378</v>
      </c>
      <c r="BJ32">
        <v>0.2490078297551411</v>
      </c>
      <c r="BK32">
        <v>0.25174848016526402</v>
      </c>
      <c r="BL32">
        <v>0.24956654849345949</v>
      </c>
      <c r="BM32">
        <v>0.24647349669283489</v>
      </c>
      <c r="BN32">
        <v>0.24581546569124399</v>
      </c>
      <c r="BO32">
        <v>0.2440928858144194</v>
      </c>
      <c r="BP32">
        <v>0.2456456369956512</v>
      </c>
      <c r="BQ32">
        <v>0.24833565767109109</v>
      </c>
      <c r="BR32">
        <v>0.2452256539867031</v>
      </c>
      <c r="BS32">
        <v>0.24393759675738441</v>
      </c>
      <c r="BT32">
        <v>0.24523787310684231</v>
      </c>
      <c r="BU32">
        <v>0.24131784736984879</v>
      </c>
      <c r="BV32">
        <v>0.2379523019866823</v>
      </c>
      <c r="BW32">
        <v>0.24241807134981269</v>
      </c>
      <c r="BX32">
        <v>0.23889151098950059</v>
      </c>
      <c r="BY32">
        <v>0.23895456946519519</v>
      </c>
      <c r="BZ32">
        <v>0.23432129757084469</v>
      </c>
      <c r="CA32">
        <v>0.2364800095355544</v>
      </c>
      <c r="CB32">
        <v>0.23536142652570871</v>
      </c>
      <c r="CC32">
        <v>0.23794721770935559</v>
      </c>
    </row>
    <row r="34" spans="1:81" x14ac:dyDescent="0.35">
      <c r="A34" t="s">
        <v>39</v>
      </c>
      <c r="B34" t="s">
        <v>75</v>
      </c>
      <c r="C34" t="s">
        <v>76</v>
      </c>
      <c r="D34" t="s">
        <v>77</v>
      </c>
      <c r="E34" t="s">
        <v>78</v>
      </c>
      <c r="F34" t="s">
        <v>79</v>
      </c>
      <c r="G34" t="s">
        <v>80</v>
      </c>
      <c r="H34" t="s">
        <v>81</v>
      </c>
      <c r="I34" t="s">
        <v>82</v>
      </c>
      <c r="J34" t="s">
        <v>83</v>
      </c>
      <c r="K34" t="s">
        <v>84</v>
      </c>
      <c r="L34" t="s">
        <v>85</v>
      </c>
      <c r="M34" t="s">
        <v>86</v>
      </c>
      <c r="N34" t="s">
        <v>87</v>
      </c>
      <c r="O34" t="s">
        <v>88</v>
      </c>
      <c r="P34" t="s">
        <v>89</v>
      </c>
      <c r="Q34" t="s">
        <v>90</v>
      </c>
      <c r="R34" t="s">
        <v>91</v>
      </c>
      <c r="S34" t="s">
        <v>92</v>
      </c>
      <c r="T34" t="s">
        <v>93</v>
      </c>
      <c r="U34" t="s">
        <v>94</v>
      </c>
      <c r="V34" t="s">
        <v>95</v>
      </c>
      <c r="W34" t="s">
        <v>96</v>
      </c>
      <c r="X34" t="s">
        <v>97</v>
      </c>
      <c r="Y34" t="s">
        <v>98</v>
      </c>
      <c r="Z34" t="s">
        <v>99</v>
      </c>
      <c r="AA34" t="s">
        <v>100</v>
      </c>
      <c r="AB34" t="s">
        <v>101</v>
      </c>
      <c r="AC34" t="s">
        <v>102</v>
      </c>
      <c r="AD34" t="s">
        <v>103</v>
      </c>
      <c r="AE34" t="s">
        <v>104</v>
      </c>
      <c r="AF34" t="s">
        <v>105</v>
      </c>
      <c r="AG34" t="s">
        <v>106</v>
      </c>
      <c r="AH34" t="s">
        <v>107</v>
      </c>
      <c r="AI34" t="s">
        <v>108</v>
      </c>
      <c r="AJ34" t="s">
        <v>109</v>
      </c>
      <c r="AK34" t="s">
        <v>110</v>
      </c>
      <c r="AL34" t="s">
        <v>111</v>
      </c>
      <c r="AM34" t="s">
        <v>112</v>
      </c>
      <c r="AN34" t="s">
        <v>113</v>
      </c>
      <c r="AO34" t="s">
        <v>114</v>
      </c>
      <c r="AP34" t="s">
        <v>115</v>
      </c>
      <c r="AQ34" t="s">
        <v>116</v>
      </c>
      <c r="AR34" t="s">
        <v>117</v>
      </c>
      <c r="AS34" t="s">
        <v>118</v>
      </c>
      <c r="AT34" t="s">
        <v>119</v>
      </c>
      <c r="AU34" t="s">
        <v>120</v>
      </c>
      <c r="AV34" t="s">
        <v>121</v>
      </c>
      <c r="AW34" t="s">
        <v>122</v>
      </c>
      <c r="AX34" t="s">
        <v>123</v>
      </c>
      <c r="AY34" t="s">
        <v>124</v>
      </c>
      <c r="AZ34" t="s">
        <v>125</v>
      </c>
      <c r="BA34" t="s">
        <v>126</v>
      </c>
      <c r="BB34" t="s">
        <v>127</v>
      </c>
      <c r="BC34" t="s">
        <v>46</v>
      </c>
      <c r="BD34" t="s">
        <v>47</v>
      </c>
      <c r="BE34" t="s">
        <v>48</v>
      </c>
      <c r="BF34" t="s">
        <v>49</v>
      </c>
      <c r="BG34" t="s">
        <v>50</v>
      </c>
      <c r="BH34" t="s">
        <v>51</v>
      </c>
      <c r="BI34" t="s">
        <v>52</v>
      </c>
      <c r="BJ34" t="s">
        <v>53</v>
      </c>
      <c r="BK34" t="s">
        <v>54</v>
      </c>
      <c r="BL34" t="s">
        <v>55</v>
      </c>
      <c r="BM34" t="s">
        <v>56</v>
      </c>
      <c r="BN34" t="s">
        <v>57</v>
      </c>
      <c r="BO34" t="s">
        <v>58</v>
      </c>
      <c r="BP34" t="s">
        <v>59</v>
      </c>
      <c r="BQ34" t="s">
        <v>60</v>
      </c>
      <c r="BR34" t="s">
        <v>61</v>
      </c>
      <c r="BS34" t="s">
        <v>62</v>
      </c>
      <c r="BT34" t="s">
        <v>63</v>
      </c>
      <c r="BU34" t="s">
        <v>64</v>
      </c>
      <c r="BV34" t="s">
        <v>65</v>
      </c>
      <c r="BW34" t="s">
        <v>66</v>
      </c>
      <c r="BX34" t="s">
        <v>67</v>
      </c>
      <c r="BY34" t="s">
        <v>68</v>
      </c>
      <c r="BZ34" t="s">
        <v>69</v>
      </c>
      <c r="CA34" t="s">
        <v>70</v>
      </c>
      <c r="CB34" t="s">
        <v>71</v>
      </c>
      <c r="CC34" t="s">
        <v>128</v>
      </c>
    </row>
    <row r="35" spans="1:81" x14ac:dyDescent="0.35">
      <c r="A35" t="s">
        <v>28</v>
      </c>
      <c r="B35">
        <v>131.63861116829889</v>
      </c>
      <c r="C35">
        <v>132.97627446066181</v>
      </c>
      <c r="D35">
        <v>131.49560424509869</v>
      </c>
      <c r="E35">
        <v>132.4729585791427</v>
      </c>
      <c r="F35">
        <v>135.7453563519245</v>
      </c>
      <c r="G35">
        <v>137.69784507539339</v>
      </c>
      <c r="H35">
        <v>137.61410728375631</v>
      </c>
      <c r="I35">
        <v>137.36684601638399</v>
      </c>
      <c r="J35">
        <v>138.5627590094262</v>
      </c>
      <c r="K35">
        <v>138.33720310761009</v>
      </c>
      <c r="L35">
        <v>141.04851686436561</v>
      </c>
      <c r="M35">
        <v>142.7450380850328</v>
      </c>
      <c r="N35">
        <v>139.59655705452161</v>
      </c>
      <c r="O35">
        <v>137.1927091457776</v>
      </c>
      <c r="P35">
        <v>135.91286768434321</v>
      </c>
      <c r="Q35">
        <v>136.13864773940551</v>
      </c>
      <c r="R35">
        <v>136.45175136561559</v>
      </c>
      <c r="S35">
        <v>135.40690013276969</v>
      </c>
      <c r="T35">
        <v>134.79963061608819</v>
      </c>
      <c r="U35">
        <v>136.91505854804089</v>
      </c>
      <c r="V35">
        <v>135.18726966497209</v>
      </c>
      <c r="W35">
        <v>135.37302346810989</v>
      </c>
      <c r="X35">
        <v>134.034867317307</v>
      </c>
      <c r="Y35">
        <v>134.19726153443619</v>
      </c>
      <c r="Z35">
        <v>134.0604282861801</v>
      </c>
      <c r="AA35">
        <v>133.43668676642639</v>
      </c>
      <c r="AB35">
        <v>133.9432814469433</v>
      </c>
      <c r="AC35">
        <v>135.53340999054771</v>
      </c>
      <c r="AD35">
        <v>135.53629265690401</v>
      </c>
      <c r="AE35">
        <v>136.25484802491081</v>
      </c>
      <c r="AF35">
        <v>136.88263488272801</v>
      </c>
      <c r="AG35">
        <v>136.9333137682703</v>
      </c>
      <c r="AH35">
        <v>136.66799177951199</v>
      </c>
      <c r="AI35">
        <v>136.69605586677281</v>
      </c>
      <c r="AJ35">
        <v>139.1657653881328</v>
      </c>
      <c r="AK35">
        <v>140.6243044717398</v>
      </c>
      <c r="AL35">
        <v>141.52760227878869</v>
      </c>
      <c r="AM35">
        <v>141.7025289421511</v>
      </c>
      <c r="AN35">
        <v>140.09264997054899</v>
      </c>
      <c r="AO35">
        <v>139.72135410625251</v>
      </c>
      <c r="AP35">
        <v>139.36609534562959</v>
      </c>
      <c r="AQ35">
        <v>137.95597912870369</v>
      </c>
      <c r="AR35">
        <v>137.44815153723641</v>
      </c>
      <c r="AS35">
        <v>137.86885475269199</v>
      </c>
      <c r="AT35">
        <v>138.48361019501249</v>
      </c>
      <c r="AU35">
        <v>139.44974564685</v>
      </c>
      <c r="AV35">
        <v>139.6443639308477</v>
      </c>
      <c r="AW35">
        <v>139.59928998223279</v>
      </c>
      <c r="AX35">
        <v>138.9571212337147</v>
      </c>
      <c r="AY35">
        <v>138.77158878369639</v>
      </c>
      <c r="AZ35">
        <v>138.15731742273249</v>
      </c>
      <c r="BA35">
        <v>138.36015592680511</v>
      </c>
      <c r="BB35">
        <v>137.95457744437019</v>
      </c>
      <c r="BC35">
        <v>138.5882032186517</v>
      </c>
      <c r="BD35">
        <v>139.0252890032977</v>
      </c>
      <c r="BE35">
        <v>140.89031864997469</v>
      </c>
      <c r="BF35">
        <v>141.72147306359841</v>
      </c>
      <c r="BG35">
        <v>140.5180559401748</v>
      </c>
      <c r="BH35">
        <v>137.69295826304111</v>
      </c>
      <c r="BI35">
        <v>137.3186772892829</v>
      </c>
      <c r="BJ35">
        <v>136.29760427434559</v>
      </c>
      <c r="BK35">
        <v>136.46220924959371</v>
      </c>
      <c r="BL35">
        <v>136.9609041136579</v>
      </c>
      <c r="BM35">
        <v>138.18725838410501</v>
      </c>
      <c r="BN35">
        <v>138.63590561533101</v>
      </c>
      <c r="BO35">
        <v>138.10456953651311</v>
      </c>
      <c r="BP35">
        <v>138.48578211254471</v>
      </c>
      <c r="BQ35">
        <v>137.63943630732629</v>
      </c>
      <c r="BR35">
        <v>137.98695672742639</v>
      </c>
      <c r="BS35">
        <v>137.8761249555609</v>
      </c>
      <c r="BT35">
        <v>138.54180811037151</v>
      </c>
      <c r="BU35">
        <v>140.2836420790112</v>
      </c>
      <c r="BV35">
        <v>140.9409057046129</v>
      </c>
      <c r="BW35">
        <v>140.84270790057471</v>
      </c>
      <c r="BX35">
        <v>141.11748587277279</v>
      </c>
      <c r="BY35">
        <v>141.54083393714191</v>
      </c>
      <c r="BZ35">
        <v>141.70634236777059</v>
      </c>
      <c r="CA35">
        <v>142.34249659097529</v>
      </c>
      <c r="CB35">
        <v>142.27061346957839</v>
      </c>
      <c r="CC35">
        <v>142.6429675584545</v>
      </c>
    </row>
    <row r="36" spans="1:81" x14ac:dyDescent="0.35">
      <c r="A36" t="s">
        <v>29</v>
      </c>
      <c r="B36">
        <v>-1.7279513142207179</v>
      </c>
      <c r="C36">
        <v>-1.802524953562425</v>
      </c>
      <c r="D36">
        <v>-1.630345720769043</v>
      </c>
      <c r="E36">
        <v>-1.227020859252121</v>
      </c>
      <c r="F36">
        <v>-1.1025739131110299</v>
      </c>
      <c r="G36">
        <v>-1.670528974138705</v>
      </c>
      <c r="H36">
        <v>-0.73951632522644672</v>
      </c>
      <c r="I36">
        <v>-0.83154959453079869</v>
      </c>
      <c r="J36">
        <v>-0.8786013524020575</v>
      </c>
      <c r="K36">
        <v>-8.7209047491626279E-2</v>
      </c>
      <c r="L36">
        <v>1.130006197257188</v>
      </c>
      <c r="M36">
        <v>1.437909816924986</v>
      </c>
      <c r="N36">
        <v>1.720823889959632</v>
      </c>
      <c r="O36">
        <v>1.740006411081652</v>
      </c>
      <c r="P36">
        <v>1.9260546457278449</v>
      </c>
      <c r="Q36">
        <v>3.6442759601897023E-2</v>
      </c>
      <c r="R36">
        <v>0.1052281199953313</v>
      </c>
      <c r="S36">
        <v>-0.98590692030686</v>
      </c>
      <c r="T36">
        <v>-0.83839171823976244</v>
      </c>
      <c r="U36">
        <v>3.6977644821860167E-2</v>
      </c>
      <c r="V36">
        <v>-0.64700864070215403</v>
      </c>
      <c r="W36">
        <v>0.8241980049992037</v>
      </c>
      <c r="X36">
        <v>0.58662346139698229</v>
      </c>
      <c r="Y36">
        <v>0.1135232006602678</v>
      </c>
      <c r="Z36">
        <v>-0.55115887924617368</v>
      </c>
      <c r="AA36">
        <v>0.62157030965798299</v>
      </c>
      <c r="AB36">
        <v>-1.190968754497135E-2</v>
      </c>
      <c r="AC36">
        <v>0.39343735181662959</v>
      </c>
      <c r="AD36">
        <v>0.5030661365977096</v>
      </c>
      <c r="AE36">
        <v>0.90514739569431413</v>
      </c>
      <c r="AF36">
        <v>0.90952083129280936</v>
      </c>
      <c r="AG36">
        <v>1.2661537794004689</v>
      </c>
      <c r="AH36">
        <v>0.44936304093292279</v>
      </c>
      <c r="AI36">
        <v>0.80218059797871888</v>
      </c>
      <c r="AJ36">
        <v>1.3469217940342451</v>
      </c>
      <c r="AK36">
        <v>1.737790965505098</v>
      </c>
      <c r="AL36">
        <v>1.0770476370829269</v>
      </c>
      <c r="AM36">
        <v>1.904173227625932</v>
      </c>
      <c r="AN36">
        <v>2.1483715458771262</v>
      </c>
      <c r="AO36">
        <v>0.33263229093981289</v>
      </c>
      <c r="AP36">
        <v>1.985855042929217</v>
      </c>
      <c r="AQ36">
        <v>0.47014305027025222</v>
      </c>
      <c r="AR36">
        <v>1.8570969721584729</v>
      </c>
      <c r="AS36">
        <v>1.7878158309316921</v>
      </c>
      <c r="AT36">
        <v>1.5204136739198471</v>
      </c>
      <c r="AU36">
        <v>1.9569857524633389</v>
      </c>
      <c r="AV36">
        <v>2.1553499604051751</v>
      </c>
      <c r="AW36">
        <v>1.940217159949214</v>
      </c>
      <c r="AX36">
        <v>1.33600665297871</v>
      </c>
      <c r="AY36">
        <v>1.395583216727204</v>
      </c>
      <c r="AZ36">
        <v>1.8321940905916849</v>
      </c>
      <c r="BA36">
        <v>2.421605155994087</v>
      </c>
      <c r="BB36">
        <v>2.5822732980139449</v>
      </c>
      <c r="BC36">
        <v>2.79071852878667</v>
      </c>
      <c r="BD36">
        <v>3.0836232340547838</v>
      </c>
      <c r="BE36">
        <v>3.4217198661611121</v>
      </c>
      <c r="BF36">
        <v>3.5277578259717188</v>
      </c>
      <c r="BG36">
        <v>3.22329367370051</v>
      </c>
      <c r="BH36">
        <v>3.0248430301400622</v>
      </c>
      <c r="BI36">
        <v>2.6054905840255458</v>
      </c>
      <c r="BJ36">
        <v>2.6378126782933582</v>
      </c>
      <c r="BK36">
        <v>2.650753904989926</v>
      </c>
      <c r="BL36">
        <v>1.9238089741679401</v>
      </c>
      <c r="BM36">
        <v>1.8693266338175081</v>
      </c>
      <c r="BN36">
        <v>2.627705845461008</v>
      </c>
      <c r="BO36">
        <v>2.9105351212556911</v>
      </c>
      <c r="BP36">
        <v>2.9034653569483169</v>
      </c>
      <c r="BQ36">
        <v>2.8575352038301389</v>
      </c>
      <c r="BR36">
        <v>3.1099016021275929</v>
      </c>
      <c r="BS36">
        <v>1.7785328805832421</v>
      </c>
      <c r="BT36">
        <v>1.497845047362659</v>
      </c>
      <c r="BU36">
        <v>2.1815846804846051</v>
      </c>
      <c r="BV36">
        <v>2.6145962656308939</v>
      </c>
      <c r="BW36">
        <v>2.3745998409968929</v>
      </c>
      <c r="BX36">
        <v>2.1346109581601809</v>
      </c>
      <c r="BY36">
        <v>2.354844000295401</v>
      </c>
      <c r="BZ36">
        <v>2.3063673923644221</v>
      </c>
      <c r="CA36">
        <v>2.744192929338368</v>
      </c>
      <c r="CB36">
        <v>2.2580590581739561</v>
      </c>
      <c r="CC36">
        <v>3.0101788605038</v>
      </c>
    </row>
    <row r="37" spans="1:81" x14ac:dyDescent="0.35">
      <c r="A37" t="s">
        <v>30</v>
      </c>
      <c r="B37">
        <v>-0.52529252668355464</v>
      </c>
      <c r="C37">
        <v>-0.35702890067600718</v>
      </c>
      <c r="D37">
        <v>-0.79862670666230717</v>
      </c>
      <c r="E37">
        <v>-0.87721657222749538</v>
      </c>
      <c r="F37">
        <v>-0.6501003406741922</v>
      </c>
      <c r="G37">
        <v>-0.74668885623876047</v>
      </c>
      <c r="H37">
        <v>-0.3070318568235228</v>
      </c>
      <c r="I37">
        <v>-0.15220068865240521</v>
      </c>
      <c r="J37">
        <v>9.1733950586489185E-2</v>
      </c>
      <c r="K37">
        <v>-7.3754771371101827E-2</v>
      </c>
      <c r="L37">
        <v>1.083227512048258</v>
      </c>
      <c r="M37">
        <v>0.66830524195387364</v>
      </c>
      <c r="N37">
        <v>1.277060416615476</v>
      </c>
      <c r="O37">
        <v>0.49088180385784091</v>
      </c>
      <c r="P37">
        <v>0.47922976591362287</v>
      </c>
      <c r="Q37">
        <v>-0.16358622704537279</v>
      </c>
      <c r="R37">
        <v>0.10844849031572761</v>
      </c>
      <c r="S37">
        <v>0.64989911262951472</v>
      </c>
      <c r="T37">
        <v>-0.1116856187176196</v>
      </c>
      <c r="U37">
        <v>0.16859664258628701</v>
      </c>
      <c r="V37">
        <v>2.8509687245684711E-2</v>
      </c>
      <c r="W37">
        <v>-6.9153332092485968E-3</v>
      </c>
      <c r="X37">
        <v>-4.9423463466662897E-2</v>
      </c>
      <c r="Y37">
        <v>-0.22603864166259471</v>
      </c>
      <c r="Z37">
        <v>-0.19343780990942561</v>
      </c>
      <c r="AA37">
        <v>-0.9926410020423394</v>
      </c>
      <c r="AB37">
        <v>-0.85224596769422067</v>
      </c>
      <c r="AC37">
        <v>-1.4365597706395841</v>
      </c>
      <c r="AD37">
        <v>-1.5696550675795511</v>
      </c>
      <c r="AE37">
        <v>-2.0848621733069401</v>
      </c>
      <c r="AF37">
        <v>-1.667500148015391</v>
      </c>
      <c r="AG37">
        <v>-1.372849410697687</v>
      </c>
      <c r="AH37">
        <v>-0.95486151799538854</v>
      </c>
      <c r="AI37">
        <v>-1.2672630375425731</v>
      </c>
      <c r="AJ37">
        <v>-0.70324777726523491</v>
      </c>
      <c r="AK37">
        <v>-0.23537194647226331</v>
      </c>
      <c r="AL37">
        <v>-0.37199208369487252</v>
      </c>
      <c r="AM37">
        <v>-0.26292552765025312</v>
      </c>
      <c r="AN37">
        <v>-0.99814789177550811</v>
      </c>
      <c r="AO37">
        <v>-2.0471466756118768</v>
      </c>
      <c r="AP37">
        <v>-0.35966708921728768</v>
      </c>
      <c r="AQ37">
        <v>-0.77914698468324961</v>
      </c>
      <c r="AR37">
        <v>0.2205284647913707</v>
      </c>
      <c r="AS37">
        <v>-0.42721647069254082</v>
      </c>
      <c r="AT37">
        <v>-0.7371251743454027</v>
      </c>
      <c r="AU37">
        <v>7.3874880080380789E-2</v>
      </c>
      <c r="AV37">
        <v>0.7147094095373856</v>
      </c>
      <c r="AW37">
        <v>0.46459915811074898</v>
      </c>
      <c r="AX37">
        <v>0.49558531271426648</v>
      </c>
      <c r="AY37">
        <v>0.160336361748634</v>
      </c>
      <c r="AZ37">
        <v>-0.66781080075732857</v>
      </c>
      <c r="BA37">
        <v>-0.38272763888784728</v>
      </c>
      <c r="BB37">
        <v>-0.39232453346674823</v>
      </c>
      <c r="BC37">
        <v>0.35649537707467482</v>
      </c>
      <c r="BD37">
        <v>0.24866942320541641</v>
      </c>
      <c r="BE37">
        <v>-0.1438671133153567</v>
      </c>
      <c r="BF37">
        <v>-0.1728296562150691</v>
      </c>
      <c r="BG37">
        <v>0.77671990655931933</v>
      </c>
      <c r="BH37">
        <v>2.6077828845643869</v>
      </c>
      <c r="BI37">
        <v>2.8449541398774181</v>
      </c>
      <c r="BJ37">
        <v>3.5265901836004532</v>
      </c>
      <c r="BK37">
        <v>3.3266763336444769</v>
      </c>
      <c r="BL37">
        <v>1.4092381001708281</v>
      </c>
      <c r="BM37">
        <v>1.3655513130225441</v>
      </c>
      <c r="BN37">
        <v>1.3862595606960939</v>
      </c>
      <c r="BO37">
        <v>2.388389849794287</v>
      </c>
      <c r="BP37">
        <v>2.8355607150371629</v>
      </c>
      <c r="BQ37">
        <v>1.7824235254080121</v>
      </c>
      <c r="BR37">
        <v>2.558036959248569</v>
      </c>
      <c r="BS37">
        <v>2.6535016307413488</v>
      </c>
      <c r="BT37">
        <v>2.6633174603656329</v>
      </c>
      <c r="BU37">
        <v>3.0642579486716941</v>
      </c>
      <c r="BV37">
        <v>1.5949363665973191</v>
      </c>
      <c r="BW37">
        <v>1.261106040293646</v>
      </c>
      <c r="BX37">
        <v>0.83198198628151221</v>
      </c>
      <c r="BY37">
        <v>0.52475829598758661</v>
      </c>
      <c r="BZ37">
        <v>0.53276605574757385</v>
      </c>
      <c r="CA37">
        <v>0.1057512239216342</v>
      </c>
      <c r="CB37">
        <v>-0.26910084760245151</v>
      </c>
      <c r="CC37">
        <v>0.32837204542986598</v>
      </c>
    </row>
    <row r="38" spans="1:81" x14ac:dyDescent="0.35">
      <c r="A38" t="s">
        <v>31</v>
      </c>
      <c r="B38">
        <v>-0.19745701255148621</v>
      </c>
      <c r="C38">
        <v>0.2265316224812419</v>
      </c>
      <c r="D38">
        <v>0.79111106694569955</v>
      </c>
      <c r="E38">
        <v>0.62017200144755047</v>
      </c>
      <c r="F38">
        <v>0.94333369191221483</v>
      </c>
      <c r="G38">
        <v>1.193740420973183</v>
      </c>
      <c r="H38">
        <v>2.6732956002304271</v>
      </c>
      <c r="I38">
        <v>3.3895657578914609</v>
      </c>
      <c r="J38">
        <v>3.6380256306064891</v>
      </c>
      <c r="K38">
        <v>2.60010069445112</v>
      </c>
      <c r="L38">
        <v>1.72347132719417</v>
      </c>
      <c r="M38">
        <v>2.7392569833157658</v>
      </c>
      <c r="N38">
        <v>0.87427498671110793</v>
      </c>
      <c r="O38">
        <v>1.966359398420936</v>
      </c>
      <c r="P38">
        <v>1.456086892949719</v>
      </c>
      <c r="Q38">
        <v>2.9525919290111129</v>
      </c>
      <c r="R38">
        <v>3.3154045661084419</v>
      </c>
      <c r="S38">
        <v>2.6455441991562458</v>
      </c>
      <c r="T38">
        <v>2.68041689379131</v>
      </c>
      <c r="U38">
        <v>1.9832383817652579</v>
      </c>
      <c r="V38">
        <v>1.999496494351187</v>
      </c>
      <c r="W38">
        <v>1.033875240827459</v>
      </c>
      <c r="X38">
        <v>1.599185541921313</v>
      </c>
      <c r="Y38">
        <v>1.6670319323234779</v>
      </c>
      <c r="Z38">
        <v>0.61766413322020886</v>
      </c>
      <c r="AA38">
        <v>1.1973488651284401</v>
      </c>
      <c r="AB38">
        <v>1.5632810608623779</v>
      </c>
      <c r="AC38">
        <v>1.2974169512384539</v>
      </c>
      <c r="AD38">
        <v>1.3112631413961799</v>
      </c>
      <c r="AE38">
        <v>0.94900082577847145</v>
      </c>
      <c r="AF38">
        <v>1.289256619253158</v>
      </c>
      <c r="AG38">
        <v>2.4249026488532128</v>
      </c>
      <c r="AH38">
        <v>1.132554378239147</v>
      </c>
      <c r="AI38">
        <v>0.3965236705716102</v>
      </c>
      <c r="AJ38">
        <v>1.897946653945684</v>
      </c>
      <c r="AK38">
        <v>2.6882110195911402</v>
      </c>
      <c r="AL38">
        <v>3.4985799616792082</v>
      </c>
      <c r="AM38">
        <v>2.1997595466152902</v>
      </c>
      <c r="AN38">
        <v>0.82469853641704383</v>
      </c>
      <c r="AO38">
        <v>-1.8611117303060289</v>
      </c>
      <c r="AP38">
        <v>1.75095740729646</v>
      </c>
      <c r="AQ38">
        <v>2.5252041087191279</v>
      </c>
      <c r="AR38">
        <v>2.4946161038044159</v>
      </c>
      <c r="AS38">
        <v>2.5968139816476081</v>
      </c>
      <c r="AT38">
        <v>1.808079259652448</v>
      </c>
      <c r="AU38">
        <v>1.8391123970262619</v>
      </c>
      <c r="AV38">
        <v>2.3552607457066941</v>
      </c>
      <c r="AW38">
        <v>1.627279509306595</v>
      </c>
      <c r="AX38">
        <v>0.92431541125183192</v>
      </c>
      <c r="AY38">
        <v>0.84689215039715671</v>
      </c>
      <c r="AZ38">
        <v>0.64382850460380636</v>
      </c>
      <c r="BA38">
        <v>0.49343947100979529</v>
      </c>
      <c r="BB38">
        <v>1.1783715662510861</v>
      </c>
      <c r="BC38">
        <v>1.341103188260752</v>
      </c>
      <c r="BD38">
        <v>1.426923910791313</v>
      </c>
      <c r="BE38">
        <v>0.90578402006009084</v>
      </c>
      <c r="BF38">
        <v>1.3733236520347649</v>
      </c>
      <c r="BG38">
        <v>1.5308275949247321</v>
      </c>
      <c r="BH38">
        <v>1.013745084734587</v>
      </c>
      <c r="BI38">
        <v>1.483175110603727</v>
      </c>
      <c r="BJ38">
        <v>1.0735580683391299</v>
      </c>
      <c r="BK38">
        <v>0.72115615552876222</v>
      </c>
      <c r="BL38">
        <v>0.78916718862356472</v>
      </c>
      <c r="BM38">
        <v>0.28920704976806172</v>
      </c>
      <c r="BN38">
        <v>0.3600273810590271</v>
      </c>
      <c r="BO38">
        <v>0.55448902298368985</v>
      </c>
      <c r="BP38">
        <v>0.35418020403434758</v>
      </c>
      <c r="BQ38">
        <v>0.36738062952409872</v>
      </c>
      <c r="BR38">
        <v>0.46839752329339812</v>
      </c>
      <c r="BS38">
        <v>0.59282752428646668</v>
      </c>
      <c r="BT38">
        <v>0.60689817551318659</v>
      </c>
      <c r="BU38">
        <v>0.1115611537117653</v>
      </c>
      <c r="BV38">
        <v>-0.46516191165052678</v>
      </c>
      <c r="BW38">
        <v>-8.4071442165095656E-3</v>
      </c>
      <c r="BX38">
        <v>-0.23224055847702529</v>
      </c>
      <c r="BY38">
        <v>-0.49702664339924207</v>
      </c>
      <c r="BZ38">
        <v>-0.28875864469415441</v>
      </c>
      <c r="CA38">
        <v>-0.27323098262846202</v>
      </c>
      <c r="CB38">
        <v>-0.78884759560841544</v>
      </c>
      <c r="CC38">
        <v>-0.49384742724940051</v>
      </c>
    </row>
    <row r="39" spans="1:81" x14ac:dyDescent="0.35">
      <c r="A39" t="s">
        <v>32</v>
      </c>
      <c r="B39">
        <v>1.2056624430017</v>
      </c>
      <c r="C39">
        <v>0.30688338425323952</v>
      </c>
      <c r="D39">
        <v>0.35133885390626918</v>
      </c>
      <c r="E39">
        <v>-0.16267949322011119</v>
      </c>
      <c r="F39">
        <v>3.2691734639292418E-2</v>
      </c>
      <c r="G39">
        <v>-5.8419141190347572E-2</v>
      </c>
      <c r="H39">
        <v>-0.22475538417943219</v>
      </c>
      <c r="I39">
        <v>-0.44722186106877299</v>
      </c>
      <c r="J39">
        <v>-0.45818798877664257</v>
      </c>
      <c r="K39">
        <v>-0.17853059381253281</v>
      </c>
      <c r="L39">
        <v>0.73622919357537731</v>
      </c>
      <c r="M39">
        <v>1.213741791096155</v>
      </c>
      <c r="N39">
        <v>0.13296608948788649</v>
      </c>
      <c r="O39">
        <v>-0.1042442079948805</v>
      </c>
      <c r="P39">
        <v>2.648492398372532E-2</v>
      </c>
      <c r="Q39">
        <v>6.2157517751910127E-2</v>
      </c>
      <c r="R39">
        <v>0.2560695903430546</v>
      </c>
      <c r="S39">
        <v>0.1036949057519784</v>
      </c>
      <c r="T39">
        <v>0.25056524506300187</v>
      </c>
      <c r="U39">
        <v>0.45140381358526882</v>
      </c>
      <c r="V39">
        <v>0.25273347301668297</v>
      </c>
      <c r="W39">
        <v>0.2420301817489853</v>
      </c>
      <c r="X39">
        <v>0.33892086120279408</v>
      </c>
      <c r="Y39">
        <v>5.6832610005660138E-2</v>
      </c>
      <c r="Z39">
        <v>-0.8085712847533294</v>
      </c>
      <c r="AA39">
        <v>-0.71123199946992577</v>
      </c>
      <c r="AB39">
        <v>-0.74630554318762921</v>
      </c>
      <c r="AC39">
        <v>-0.54195723851664268</v>
      </c>
      <c r="AD39">
        <v>-0.59980745054009599</v>
      </c>
      <c r="AE39">
        <v>-0.41325222720153709</v>
      </c>
      <c r="AF39">
        <v>-0.24463161848568971</v>
      </c>
      <c r="AG39">
        <v>-0.13639498102813419</v>
      </c>
      <c r="AH39">
        <v>-0.34291214448258672</v>
      </c>
      <c r="AI39">
        <v>-0.28711651179176678</v>
      </c>
      <c r="AJ39">
        <v>0.1473765617911266</v>
      </c>
      <c r="AK39">
        <v>-0.13873776566275589</v>
      </c>
      <c r="AL39">
        <v>-0.49594357449956877</v>
      </c>
      <c r="AM39">
        <v>-0.56154383408598962</v>
      </c>
      <c r="AN39">
        <v>-0.33919877849947538</v>
      </c>
      <c r="AO39">
        <v>1.393512786233841E-3</v>
      </c>
      <c r="AP39">
        <v>-0.9053015718367331</v>
      </c>
      <c r="AQ39">
        <v>-0.24405502344218011</v>
      </c>
      <c r="AR39">
        <v>-9.1861107485623206E-2</v>
      </c>
      <c r="AS39">
        <v>0.30009204583357851</v>
      </c>
      <c r="AT39">
        <v>0.37012104449048588</v>
      </c>
      <c r="AU39">
        <v>0.42166949195168951</v>
      </c>
      <c r="AV39">
        <v>3.8852692146746637E-2</v>
      </c>
      <c r="AW39">
        <v>0.11946644807421079</v>
      </c>
      <c r="AX39">
        <v>-9.2109088540340278E-3</v>
      </c>
      <c r="AY39">
        <v>-0.15021715125124871</v>
      </c>
      <c r="AZ39">
        <v>4.4983868740176007E-2</v>
      </c>
      <c r="BA39">
        <v>9.6446982652074742E-2</v>
      </c>
      <c r="BB39">
        <v>0.121121727748805</v>
      </c>
      <c r="BC39">
        <v>0.33458642936571609</v>
      </c>
      <c r="BD39">
        <v>0.30417299239976742</v>
      </c>
      <c r="BE39">
        <v>-7.9868673229234188E-2</v>
      </c>
      <c r="BF39">
        <v>5.7019699213756152E-2</v>
      </c>
      <c r="BG39">
        <v>-0.36660479453113431</v>
      </c>
      <c r="BH39">
        <v>-0.2554735402048014</v>
      </c>
      <c r="BI39">
        <v>-0.17270091498368451</v>
      </c>
      <c r="BJ39">
        <v>-0.46572001518278999</v>
      </c>
      <c r="BK39">
        <v>-0.29804081395175458</v>
      </c>
      <c r="BL39">
        <v>-0.51036508209646803</v>
      </c>
      <c r="BM39">
        <v>-0.47089861333617972</v>
      </c>
      <c r="BN39">
        <v>-0.51269777589642351</v>
      </c>
      <c r="BO39">
        <v>-0.56290353167152996</v>
      </c>
      <c r="BP39">
        <v>-0.65552912577760414</v>
      </c>
      <c r="BQ39">
        <v>-0.45399754123740688</v>
      </c>
      <c r="BR39">
        <v>-0.46232863930665191</v>
      </c>
      <c r="BS39">
        <v>-0.50882924884749126</v>
      </c>
      <c r="BT39">
        <v>-0.39948752989919373</v>
      </c>
      <c r="BU39">
        <v>-0.54869921200707905</v>
      </c>
      <c r="BV39">
        <v>-0.57764165419783187</v>
      </c>
      <c r="BW39">
        <v>-0.48232709439873062</v>
      </c>
      <c r="BX39">
        <v>-0.29466180402655667</v>
      </c>
      <c r="BY39">
        <v>-0.17645223111772859</v>
      </c>
      <c r="BZ39">
        <v>-0.44047773754927211</v>
      </c>
      <c r="CA39">
        <v>-0.29349783849776567</v>
      </c>
      <c r="CB39">
        <v>-0.5019929368126208</v>
      </c>
      <c r="CC39">
        <v>-0.64271540766909996</v>
      </c>
    </row>
    <row r="40" spans="1:81" x14ac:dyDescent="0.35">
      <c r="A40" t="s">
        <v>33</v>
      </c>
      <c r="B40">
        <v>130.39357275784479</v>
      </c>
      <c r="C40">
        <v>131.3501356131579</v>
      </c>
      <c r="D40">
        <v>130.2090817385193</v>
      </c>
      <c r="E40">
        <v>130.82621365589051</v>
      </c>
      <c r="F40">
        <v>134.96870752469081</v>
      </c>
      <c r="G40">
        <v>136.41594852479881</v>
      </c>
      <c r="H40">
        <v>139.01609931775729</v>
      </c>
      <c r="I40">
        <v>139.32543963002351</v>
      </c>
      <c r="J40">
        <v>140.95572924944051</v>
      </c>
      <c r="K40">
        <v>140.59780938938599</v>
      </c>
      <c r="L40">
        <v>145.7214510944406</v>
      </c>
      <c r="M40">
        <v>148.80425191832359</v>
      </c>
      <c r="N40">
        <v>143.60168243729569</v>
      </c>
      <c r="O40">
        <v>141.28571255114309</v>
      </c>
      <c r="P40">
        <v>139.80072391291819</v>
      </c>
      <c r="Q40">
        <v>139.02625371872509</v>
      </c>
      <c r="R40">
        <v>140.23690213237811</v>
      </c>
      <c r="S40">
        <v>137.82013143000049</v>
      </c>
      <c r="T40">
        <v>136.78053541798511</v>
      </c>
      <c r="U40">
        <v>139.55527503079961</v>
      </c>
      <c r="V40">
        <v>136.82100067888359</v>
      </c>
      <c r="W40">
        <v>137.4662115624763</v>
      </c>
      <c r="X40">
        <v>136.51017371836139</v>
      </c>
      <c r="Y40">
        <v>135.80861063576299</v>
      </c>
      <c r="Z40">
        <v>133.12492444549139</v>
      </c>
      <c r="AA40">
        <v>133.55173293970051</v>
      </c>
      <c r="AB40">
        <v>133.89610130937891</v>
      </c>
      <c r="AC40">
        <v>135.24574728444659</v>
      </c>
      <c r="AD40">
        <v>135.18115941677831</v>
      </c>
      <c r="AE40">
        <v>135.6108818458751</v>
      </c>
      <c r="AF40">
        <v>137.16928056677281</v>
      </c>
      <c r="AG40">
        <v>139.1151258047982</v>
      </c>
      <c r="AH40">
        <v>136.95213553620599</v>
      </c>
      <c r="AI40">
        <v>136.34038058598881</v>
      </c>
      <c r="AJ40">
        <v>141.85476262063861</v>
      </c>
      <c r="AK40">
        <v>144.676196744701</v>
      </c>
      <c r="AL40">
        <v>145.2352942193564</v>
      </c>
      <c r="AM40">
        <v>144.98199235465609</v>
      </c>
      <c r="AN40">
        <v>141.72837338256809</v>
      </c>
      <c r="AO40">
        <v>136.14712150406069</v>
      </c>
      <c r="AP40">
        <v>141.83793913480119</v>
      </c>
      <c r="AQ40">
        <v>139.92812427956761</v>
      </c>
      <c r="AR40">
        <v>141.92853197050499</v>
      </c>
      <c r="AS40">
        <v>142.12636014041229</v>
      </c>
      <c r="AT40">
        <v>141.44509899872989</v>
      </c>
      <c r="AU40">
        <v>143.74138816837171</v>
      </c>
      <c r="AV40">
        <v>144.9085367386437</v>
      </c>
      <c r="AW40">
        <v>143.7508522576735</v>
      </c>
      <c r="AX40">
        <v>141.70381770180541</v>
      </c>
      <c r="AY40">
        <v>141.02418336131819</v>
      </c>
      <c r="AZ40">
        <v>140.0105130859109</v>
      </c>
      <c r="BA40">
        <v>140.9889198975732</v>
      </c>
      <c r="BB40">
        <v>141.44401950291731</v>
      </c>
      <c r="BC40">
        <v>143.41110674213951</v>
      </c>
      <c r="BD40">
        <v>144.088678563749</v>
      </c>
      <c r="BE40">
        <v>144.99408674965119</v>
      </c>
      <c r="BF40">
        <v>146.5067445846035</v>
      </c>
      <c r="BG40">
        <v>145.68229232082831</v>
      </c>
      <c r="BH40">
        <v>144.08385572227539</v>
      </c>
      <c r="BI40">
        <v>144.0795962088059</v>
      </c>
      <c r="BJ40">
        <v>143.06984518939581</v>
      </c>
      <c r="BK40">
        <v>142.86275482980511</v>
      </c>
      <c r="BL40">
        <v>140.57275329452381</v>
      </c>
      <c r="BM40">
        <v>141.24044476737691</v>
      </c>
      <c r="BN40">
        <v>142.49720062665071</v>
      </c>
      <c r="BO40">
        <v>143.39507999887519</v>
      </c>
      <c r="BP40">
        <v>143.92345926278691</v>
      </c>
      <c r="BQ40">
        <v>142.19277812485109</v>
      </c>
      <c r="BR40">
        <v>143.66096417278931</v>
      </c>
      <c r="BS40">
        <v>142.39215774232451</v>
      </c>
      <c r="BT40">
        <v>142.91038126371379</v>
      </c>
      <c r="BU40">
        <v>145.09234664987221</v>
      </c>
      <c r="BV40">
        <v>144.10763477099269</v>
      </c>
      <c r="BW40">
        <v>143.98767954325001</v>
      </c>
      <c r="BX40">
        <v>143.55717645471091</v>
      </c>
      <c r="BY40">
        <v>143.74695735890799</v>
      </c>
      <c r="BZ40">
        <v>143.8162394336392</v>
      </c>
      <c r="CA40">
        <v>144.62571192310909</v>
      </c>
      <c r="CB40">
        <v>142.9687311477289</v>
      </c>
      <c r="CC40">
        <v>144.84495562946961</v>
      </c>
    </row>
    <row r="41" spans="1:81" x14ac:dyDescent="0.35">
      <c r="A41" t="s">
        <v>34</v>
      </c>
      <c r="B41">
        <v>8693307.8999999985</v>
      </c>
      <c r="C41">
        <v>7831743.7000000002</v>
      </c>
      <c r="D41">
        <v>12591328.98</v>
      </c>
      <c r="E41">
        <v>5497118.6900000004</v>
      </c>
      <c r="F41">
        <v>6454003.5099999998</v>
      </c>
      <c r="G41">
        <v>8245104.5</v>
      </c>
      <c r="H41">
        <v>7732723.8100000015</v>
      </c>
      <c r="I41">
        <v>6016946.9000000004</v>
      </c>
      <c r="J41">
        <v>4718331.04</v>
      </c>
      <c r="K41">
        <v>4069195.36</v>
      </c>
      <c r="L41">
        <v>2153732.8400000008</v>
      </c>
      <c r="M41">
        <v>2626829.71</v>
      </c>
      <c r="N41">
        <v>2445132.64</v>
      </c>
      <c r="O41">
        <v>2779732.09</v>
      </c>
      <c r="P41">
        <v>9756905.7599999998</v>
      </c>
      <c r="Q41">
        <v>11129742.640000001</v>
      </c>
      <c r="R41">
        <v>9885901.6900000013</v>
      </c>
      <c r="S41">
        <v>9242049.2300000004</v>
      </c>
      <c r="T41">
        <v>8582924.5799999982</v>
      </c>
      <c r="U41">
        <v>8198865.8399999999</v>
      </c>
      <c r="V41">
        <v>8560671.7999999989</v>
      </c>
      <c r="W41">
        <v>6360698.9800000004</v>
      </c>
      <c r="X41">
        <v>6008088.2800000003</v>
      </c>
      <c r="Y41">
        <v>6097229.7300000004</v>
      </c>
      <c r="Z41">
        <v>5124200.8699999992</v>
      </c>
      <c r="AA41">
        <v>5557417.870000001</v>
      </c>
      <c r="AB41">
        <v>8176771.9299999997</v>
      </c>
      <c r="AC41">
        <v>5947998.7599999998</v>
      </c>
      <c r="AD41">
        <v>6074314</v>
      </c>
      <c r="AE41">
        <v>5239119.5</v>
      </c>
      <c r="AF41">
        <v>4901308.2899999991</v>
      </c>
      <c r="AG41">
        <v>5525138.3599999994</v>
      </c>
      <c r="AH41">
        <v>4971272.6399999997</v>
      </c>
      <c r="AI41">
        <v>3631452.35</v>
      </c>
      <c r="AJ41">
        <v>2997585.54</v>
      </c>
      <c r="AK41">
        <v>2406739.2799999998</v>
      </c>
      <c r="AL41">
        <v>1939682.93</v>
      </c>
      <c r="AM41">
        <v>2098759.9700000002</v>
      </c>
      <c r="AN41">
        <v>2094798.94</v>
      </c>
      <c r="AO41">
        <v>910438.32</v>
      </c>
      <c r="AP41">
        <v>3439832.45</v>
      </c>
      <c r="AQ41">
        <v>4486914.49</v>
      </c>
      <c r="AR41">
        <v>4623214.3100000015</v>
      </c>
      <c r="AS41">
        <v>5429181.0999999996</v>
      </c>
      <c r="AT41">
        <v>4386937.0500000007</v>
      </c>
      <c r="AU41">
        <v>4505953.629999999</v>
      </c>
      <c r="AV41">
        <v>5232604.8</v>
      </c>
      <c r="AW41">
        <v>4296171.4300000006</v>
      </c>
      <c r="AX41">
        <v>5560463.6200000001</v>
      </c>
      <c r="AY41">
        <v>7359094.6900000004</v>
      </c>
      <c r="AZ41">
        <v>14065704.880000001</v>
      </c>
      <c r="BA41">
        <v>13443294.75</v>
      </c>
      <c r="BB41">
        <v>11614286.01</v>
      </c>
      <c r="BC41">
        <v>9852582.6600000001</v>
      </c>
      <c r="BD41">
        <v>9470462.5300000012</v>
      </c>
      <c r="BE41">
        <v>6276242.879999999</v>
      </c>
      <c r="BF41">
        <v>5799571.0600000015</v>
      </c>
      <c r="BG41">
        <v>6202571.0499999998</v>
      </c>
      <c r="BH41">
        <v>6432681.2699999996</v>
      </c>
      <c r="BI41">
        <v>8415075.6900000013</v>
      </c>
      <c r="BJ41">
        <v>10338839.33</v>
      </c>
      <c r="BK41">
        <v>11573934.640000001</v>
      </c>
      <c r="BL41">
        <v>21544150.359999999</v>
      </c>
      <c r="BM41">
        <v>14690857.789999999</v>
      </c>
      <c r="BN41">
        <v>13097759.619999999</v>
      </c>
      <c r="BO41">
        <v>12174617.5</v>
      </c>
      <c r="BP41">
        <v>12341720.619999999</v>
      </c>
      <c r="BQ41">
        <v>14023960.710000001</v>
      </c>
      <c r="BR41">
        <v>16268241.57</v>
      </c>
      <c r="BS41">
        <v>16171908.59</v>
      </c>
      <c r="BT41">
        <v>13413464.140000001</v>
      </c>
      <c r="BU41">
        <v>13425760.220000001</v>
      </c>
      <c r="BV41">
        <v>12367358.27</v>
      </c>
      <c r="BW41">
        <v>19125484.43</v>
      </c>
      <c r="BX41">
        <v>30391573.989999998</v>
      </c>
      <c r="BY41">
        <v>20947460.09</v>
      </c>
      <c r="BZ41">
        <v>17281542.120000001</v>
      </c>
      <c r="CA41">
        <v>14943408.119999999</v>
      </c>
      <c r="CB41">
        <v>14633499.640000001</v>
      </c>
      <c r="CC41">
        <v>9744764.7699999996</v>
      </c>
    </row>
    <row r="42" spans="1:81" x14ac:dyDescent="0.35">
      <c r="A42" t="s">
        <v>35</v>
      </c>
      <c r="B42">
        <v>1.4670398414343311</v>
      </c>
      <c r="C42">
        <v>1.430932270070596</v>
      </c>
      <c r="D42">
        <v>1.3855233609213711</v>
      </c>
      <c r="E42">
        <v>1.3989647773004099</v>
      </c>
      <c r="F42">
        <v>1.373769246185883</v>
      </c>
      <c r="G42">
        <v>1.3548615858883111</v>
      </c>
      <c r="H42">
        <v>1.2529674997467779</v>
      </c>
      <c r="I42">
        <v>1.208951690913751</v>
      </c>
      <c r="J42">
        <v>1.1943971987050781</v>
      </c>
      <c r="K42">
        <v>1.257646600100301</v>
      </c>
      <c r="L42">
        <v>1.3165293747745419</v>
      </c>
      <c r="M42">
        <v>1.248780540262227</v>
      </c>
      <c r="N42">
        <v>1.379076914634378</v>
      </c>
      <c r="O42">
        <v>1.299669561363066</v>
      </c>
      <c r="P42">
        <v>1.3356027278684071</v>
      </c>
      <c r="Q42">
        <v>1.235428464016189</v>
      </c>
      <c r="R42">
        <v>1.2133649576008361</v>
      </c>
      <c r="S42">
        <v>1.2547374483552709</v>
      </c>
      <c r="T42">
        <v>1.2525141176138641</v>
      </c>
      <c r="U42">
        <v>1.298513957643711</v>
      </c>
      <c r="V42">
        <v>1.2974028026126261</v>
      </c>
      <c r="W42">
        <v>1.3668720488979591</v>
      </c>
      <c r="X42">
        <v>1.325326850707552</v>
      </c>
      <c r="Y42">
        <v>1.3205098748085671</v>
      </c>
      <c r="Z42">
        <v>1.3991639194392109</v>
      </c>
      <c r="AA42">
        <v>1.3545929235459551</v>
      </c>
      <c r="AB42">
        <v>1.327890253839364</v>
      </c>
      <c r="AC42">
        <v>1.347184690915161</v>
      </c>
      <c r="AD42">
        <v>1.3461660077547499</v>
      </c>
      <c r="AE42">
        <v>1.373335498686785</v>
      </c>
      <c r="AF42">
        <v>1.347785780098403</v>
      </c>
      <c r="AG42">
        <v>1.2689896287050511</v>
      </c>
      <c r="AH42">
        <v>1.359433397292465</v>
      </c>
      <c r="AI42">
        <v>1.4169497577092689</v>
      </c>
      <c r="AJ42">
        <v>1.304374514934582</v>
      </c>
      <c r="AK42">
        <v>1.252018275071896</v>
      </c>
      <c r="AL42">
        <v>1.202522323306376</v>
      </c>
      <c r="AM42">
        <v>1.2838702453617721</v>
      </c>
      <c r="AN42">
        <v>1.382912588935987</v>
      </c>
      <c r="AO42">
        <v>1.628256947331199</v>
      </c>
      <c r="AP42">
        <v>1.3145995409497371</v>
      </c>
      <c r="AQ42">
        <v>1.2624707973727329</v>
      </c>
      <c r="AR42">
        <v>1.2644516757213551</v>
      </c>
      <c r="AS42">
        <v>1.2578575284270539</v>
      </c>
      <c r="AT42">
        <v>1.310606982228099</v>
      </c>
      <c r="AU42">
        <v>1.3084480563899059</v>
      </c>
      <c r="AV42">
        <v>1.2735555632061311</v>
      </c>
      <c r="AW42">
        <v>1.3233279710912329</v>
      </c>
      <c r="AX42">
        <v>1.3752268599628741</v>
      </c>
      <c r="AY42">
        <v>1.3811928593657941</v>
      </c>
      <c r="AZ42">
        <v>1.3970890724520511</v>
      </c>
      <c r="BA42">
        <v>1.409099682246598</v>
      </c>
      <c r="BB42">
        <v>1.3560070499254051</v>
      </c>
      <c r="BC42">
        <v>1.3439758637734109</v>
      </c>
      <c r="BD42">
        <v>1.337716491332787</v>
      </c>
      <c r="BE42">
        <v>1.3766501356424421</v>
      </c>
      <c r="BF42">
        <v>1.3416189943004739</v>
      </c>
      <c r="BG42">
        <v>1.33021581867996</v>
      </c>
      <c r="BH42">
        <v>1.368399512930222</v>
      </c>
      <c r="BI42">
        <v>1.333645320811703</v>
      </c>
      <c r="BJ42">
        <v>1.3638709050422859</v>
      </c>
      <c r="BK42">
        <v>1.3909927650126559</v>
      </c>
      <c r="BL42">
        <v>1.3856747614224481</v>
      </c>
      <c r="BM42">
        <v>1.425744970781103</v>
      </c>
      <c r="BN42">
        <v>1.4199286359936749</v>
      </c>
      <c r="BO42">
        <v>1.404199231759256</v>
      </c>
      <c r="BP42">
        <v>1.420407055256323</v>
      </c>
      <c r="BQ42">
        <v>1.4193274464253769</v>
      </c>
      <c r="BR42">
        <v>1.4111197072960029</v>
      </c>
      <c r="BS42">
        <v>1.401139183907264</v>
      </c>
      <c r="BT42">
        <v>1.4000194556859551</v>
      </c>
      <c r="BU42">
        <v>1.440546527495127</v>
      </c>
      <c r="BV42">
        <v>1.4907917373178581</v>
      </c>
      <c r="BW42">
        <v>1.4507174347465479</v>
      </c>
      <c r="BX42">
        <v>1.4700831131294601</v>
      </c>
      <c r="BY42">
        <v>1.4936702294402391</v>
      </c>
      <c r="BZ42">
        <v>1.475054992977741</v>
      </c>
      <c r="CA42">
        <v>1.4736856815802151</v>
      </c>
      <c r="CB42">
        <v>1.520558155589379</v>
      </c>
      <c r="CC42">
        <v>1.493382536684762</v>
      </c>
    </row>
    <row r="43" spans="1:81" x14ac:dyDescent="0.35">
      <c r="A43" t="s">
        <v>36</v>
      </c>
      <c r="B43">
        <v>0.21777625081426141</v>
      </c>
      <c r="C43">
        <v>0.23061595165352511</v>
      </c>
      <c r="D43">
        <v>0.22998087351562471</v>
      </c>
      <c r="E43">
        <v>0.23732399276028729</v>
      </c>
      <c r="F43">
        <v>0.23453297521943869</v>
      </c>
      <c r="G43">
        <v>0.23583455915986209</v>
      </c>
      <c r="H43">
        <v>0.2382107912025633</v>
      </c>
      <c r="I43">
        <v>0.24138888372955389</v>
      </c>
      <c r="J43">
        <v>0.2415455426968092</v>
      </c>
      <c r="K43">
        <v>0.23755043705446471</v>
      </c>
      <c r="L43">
        <v>0.22448244009178031</v>
      </c>
      <c r="M43">
        <v>0.21766083155576921</v>
      </c>
      <c r="N43">
        <v>0.2331004844358873</v>
      </c>
      <c r="O43">
        <v>0.23648920297135539</v>
      </c>
      <c r="P43">
        <v>0.2346216439430896</v>
      </c>
      <c r="Q43">
        <v>0.23411203546068701</v>
      </c>
      <c r="R43">
        <v>0.23134186299509921</v>
      </c>
      <c r="S43">
        <v>0.23351864420354321</v>
      </c>
      <c r="T43">
        <v>0.23142049649909999</v>
      </c>
      <c r="U43">
        <v>0.228551374091639</v>
      </c>
      <c r="V43">
        <v>0.2313895218140474</v>
      </c>
      <c r="W43">
        <v>0.23154242597501451</v>
      </c>
      <c r="X43">
        <v>0.23015827341138859</v>
      </c>
      <c r="Y43">
        <v>0.2341881055713477</v>
      </c>
      <c r="Z43">
        <v>0.24655101835361901</v>
      </c>
      <c r="AA43">
        <v>0.24516045713528459</v>
      </c>
      <c r="AB43">
        <v>0.24566150775982329</v>
      </c>
      <c r="AC43">
        <v>0.24274224626452351</v>
      </c>
      <c r="AD43">
        <v>0.2435686778648585</v>
      </c>
      <c r="AE43">
        <v>0.2409036032457362</v>
      </c>
      <c r="AF43">
        <v>0.23849473740693841</v>
      </c>
      <c r="AG43">
        <v>0.23694849972897331</v>
      </c>
      <c r="AH43">
        <v>0.2398987449211798</v>
      </c>
      <c r="AI43">
        <v>0.23910166445416811</v>
      </c>
      <c r="AJ43">
        <v>0.23289462054584101</v>
      </c>
      <c r="AK43">
        <v>0.2369819680808965</v>
      </c>
      <c r="AL43">
        <v>0.24208490820713671</v>
      </c>
      <c r="AM43">
        <v>0.24302205477265701</v>
      </c>
      <c r="AN43">
        <v>0.23984569683570681</v>
      </c>
      <c r="AO43">
        <v>0.23498009267448239</v>
      </c>
      <c r="AP43">
        <v>0.2479328795976676</v>
      </c>
      <c r="AQ43">
        <v>0.2384865003348883</v>
      </c>
      <c r="AR43">
        <v>0.23631230153550889</v>
      </c>
      <c r="AS43">
        <v>0.23071297077380601</v>
      </c>
      <c r="AT43">
        <v>0.22971255650727879</v>
      </c>
      <c r="AU43">
        <v>0.22897615011497591</v>
      </c>
      <c r="AV43">
        <v>0.23444496154076069</v>
      </c>
      <c r="AW43">
        <v>0.23329333645608269</v>
      </c>
      <c r="AX43">
        <v>0.2351315844122005</v>
      </c>
      <c r="AY43">
        <v>0.23714595930358931</v>
      </c>
      <c r="AZ43">
        <v>0.23435737330371181</v>
      </c>
      <c r="BA43">
        <v>0.2336221859621132</v>
      </c>
      <c r="BB43">
        <v>0.23326968960358849</v>
      </c>
      <c r="BC43">
        <v>0.23022019386620399</v>
      </c>
      <c r="BD43">
        <v>0.23065467153714619</v>
      </c>
      <c r="BE43">
        <v>0.2361409810461319</v>
      </c>
      <c r="BF43">
        <v>0.2341854328683749</v>
      </c>
      <c r="BG43">
        <v>0.24023721135044479</v>
      </c>
      <c r="BH43">
        <v>0.23864962200292569</v>
      </c>
      <c r="BI43">
        <v>0.23746715592833831</v>
      </c>
      <c r="BJ43">
        <v>0.24165314307403979</v>
      </c>
      <c r="BK43">
        <v>0.23925772591359651</v>
      </c>
      <c r="BL43">
        <v>0.24229092974423519</v>
      </c>
      <c r="BM43">
        <v>0.2417271230476597</v>
      </c>
      <c r="BN43">
        <v>0.24232425394137749</v>
      </c>
      <c r="BO43">
        <v>0.24304147902387899</v>
      </c>
      <c r="BP43">
        <v>0.2443647017968229</v>
      </c>
      <c r="BQ43">
        <v>0.2414856791605344</v>
      </c>
      <c r="BR43">
        <v>0.2416046948472379</v>
      </c>
      <c r="BS43">
        <v>0.24226898926924989</v>
      </c>
      <c r="BT43">
        <v>0.24070696471284561</v>
      </c>
      <c r="BU43">
        <v>0.24283856017152969</v>
      </c>
      <c r="BV43">
        <v>0.24325202363139761</v>
      </c>
      <c r="BW43">
        <v>0.241890387062839</v>
      </c>
      <c r="BX43">
        <v>0.23920945434323651</v>
      </c>
      <c r="BY43">
        <v>0.23752074615882471</v>
      </c>
      <c r="BZ43">
        <v>0.2412925391078467</v>
      </c>
      <c r="CA43">
        <v>0.23919282626425381</v>
      </c>
      <c r="CB43">
        <v>0.24217132766875171</v>
      </c>
      <c r="CC43">
        <v>0.2441816486809871</v>
      </c>
    </row>
    <row r="45" spans="1:81" x14ac:dyDescent="0.35">
      <c r="A45" t="s">
        <v>40</v>
      </c>
      <c r="B45" t="s">
        <v>75</v>
      </c>
      <c r="C45" t="s">
        <v>76</v>
      </c>
      <c r="D45" t="s">
        <v>77</v>
      </c>
      <c r="E45" t="s">
        <v>78</v>
      </c>
      <c r="F45" t="s">
        <v>79</v>
      </c>
      <c r="G45" t="s">
        <v>80</v>
      </c>
      <c r="H45" t="s">
        <v>81</v>
      </c>
      <c r="I45" t="s">
        <v>82</v>
      </c>
      <c r="J45" t="s">
        <v>83</v>
      </c>
      <c r="K45" t="s">
        <v>84</v>
      </c>
      <c r="L45" t="s">
        <v>85</v>
      </c>
      <c r="M45" t="s">
        <v>86</v>
      </c>
      <c r="N45" t="s">
        <v>87</v>
      </c>
      <c r="O45" t="s">
        <v>88</v>
      </c>
      <c r="P45" t="s">
        <v>89</v>
      </c>
      <c r="Q45" t="s">
        <v>90</v>
      </c>
      <c r="R45" t="s">
        <v>91</v>
      </c>
      <c r="S45" t="s">
        <v>92</v>
      </c>
      <c r="T45" t="s">
        <v>93</v>
      </c>
      <c r="U45" t="s">
        <v>94</v>
      </c>
      <c r="V45" t="s">
        <v>95</v>
      </c>
      <c r="W45" t="s">
        <v>96</v>
      </c>
      <c r="X45" t="s">
        <v>97</v>
      </c>
      <c r="Y45" t="s">
        <v>98</v>
      </c>
      <c r="Z45" t="s">
        <v>99</v>
      </c>
      <c r="AA45" t="s">
        <v>100</v>
      </c>
      <c r="AB45" t="s">
        <v>101</v>
      </c>
      <c r="AC45" t="s">
        <v>102</v>
      </c>
      <c r="AD45" t="s">
        <v>103</v>
      </c>
      <c r="AE45" t="s">
        <v>104</v>
      </c>
      <c r="AF45" t="s">
        <v>105</v>
      </c>
      <c r="AG45" t="s">
        <v>106</v>
      </c>
      <c r="AH45" t="s">
        <v>107</v>
      </c>
      <c r="AI45" t="s">
        <v>108</v>
      </c>
      <c r="AJ45" t="s">
        <v>109</v>
      </c>
      <c r="AK45" t="s">
        <v>110</v>
      </c>
      <c r="AL45" t="s">
        <v>111</v>
      </c>
      <c r="AM45" t="s">
        <v>112</v>
      </c>
      <c r="AN45" t="s">
        <v>113</v>
      </c>
      <c r="AO45" t="s">
        <v>114</v>
      </c>
      <c r="AP45" t="s">
        <v>115</v>
      </c>
      <c r="AQ45" t="s">
        <v>116</v>
      </c>
      <c r="AR45" t="s">
        <v>117</v>
      </c>
      <c r="AS45" t="s">
        <v>118</v>
      </c>
      <c r="AT45" t="s">
        <v>119</v>
      </c>
      <c r="AU45" t="s">
        <v>120</v>
      </c>
      <c r="AV45" t="s">
        <v>121</v>
      </c>
      <c r="AW45" t="s">
        <v>122</v>
      </c>
      <c r="AX45" t="s">
        <v>123</v>
      </c>
      <c r="AY45" t="s">
        <v>124</v>
      </c>
      <c r="AZ45" t="s">
        <v>125</v>
      </c>
      <c r="BA45" t="s">
        <v>126</v>
      </c>
      <c r="BB45" t="s">
        <v>127</v>
      </c>
      <c r="BC45" t="s">
        <v>46</v>
      </c>
      <c r="BD45" t="s">
        <v>47</v>
      </c>
      <c r="BE45" t="s">
        <v>48</v>
      </c>
      <c r="BF45" t="s">
        <v>49</v>
      </c>
      <c r="BG45" t="s">
        <v>50</v>
      </c>
      <c r="BH45" t="s">
        <v>51</v>
      </c>
      <c r="BI45" t="s">
        <v>52</v>
      </c>
      <c r="BJ45" t="s">
        <v>53</v>
      </c>
      <c r="BK45" t="s">
        <v>54</v>
      </c>
      <c r="BL45" t="s">
        <v>55</v>
      </c>
      <c r="BM45" t="s">
        <v>56</v>
      </c>
      <c r="BN45" t="s">
        <v>57</v>
      </c>
      <c r="BO45" t="s">
        <v>58</v>
      </c>
      <c r="BP45" t="s">
        <v>59</v>
      </c>
      <c r="BQ45" t="s">
        <v>60</v>
      </c>
      <c r="BR45" t="s">
        <v>61</v>
      </c>
      <c r="BS45" t="s">
        <v>62</v>
      </c>
      <c r="BT45" t="s">
        <v>63</v>
      </c>
      <c r="BU45" t="s">
        <v>64</v>
      </c>
      <c r="BV45" t="s">
        <v>65</v>
      </c>
      <c r="BW45" t="s">
        <v>66</v>
      </c>
      <c r="BX45" t="s">
        <v>67</v>
      </c>
      <c r="BY45" t="s">
        <v>68</v>
      </c>
      <c r="BZ45" t="s">
        <v>69</v>
      </c>
      <c r="CA45" t="s">
        <v>70</v>
      </c>
      <c r="CB45" t="s">
        <v>71</v>
      </c>
      <c r="CC45" t="s">
        <v>128</v>
      </c>
    </row>
    <row r="46" spans="1:81" x14ac:dyDescent="0.35">
      <c r="A46" t="s">
        <v>28</v>
      </c>
      <c r="B46">
        <v>129.50896574207951</v>
      </c>
      <c r="C46">
        <v>133.54080522686431</v>
      </c>
      <c r="D46">
        <v>133.15809205910679</v>
      </c>
      <c r="E46">
        <v>130.58215445135929</v>
      </c>
      <c r="F46">
        <v>133.63313200608499</v>
      </c>
      <c r="G46">
        <v>135.91160075831601</v>
      </c>
      <c r="H46">
        <v>136.50886546790491</v>
      </c>
      <c r="I46">
        <v>136.3207549062773</v>
      </c>
      <c r="J46">
        <v>136.1617216587853</v>
      </c>
      <c r="K46">
        <v>135.84763024625681</v>
      </c>
      <c r="L46">
        <v>135.80792530192389</v>
      </c>
      <c r="M46">
        <v>134.5790214664159</v>
      </c>
      <c r="N46">
        <v>134.65321931575821</v>
      </c>
      <c r="O46">
        <v>134.13136954259659</v>
      </c>
      <c r="P46">
        <v>133.38701226486921</v>
      </c>
      <c r="Q46">
        <v>132.19120302218431</v>
      </c>
      <c r="R46">
        <v>131.85768877296829</v>
      </c>
      <c r="S46">
        <v>131.46314719682849</v>
      </c>
      <c r="T46">
        <v>130.4329190396796</v>
      </c>
      <c r="U46">
        <v>132.16013807550411</v>
      </c>
      <c r="V46">
        <v>130.86696330641959</v>
      </c>
      <c r="W46">
        <v>129.98039310991371</v>
      </c>
      <c r="X46">
        <v>129.80978474257839</v>
      </c>
      <c r="Y46">
        <v>128.63716568475019</v>
      </c>
      <c r="Z46">
        <v>128.74015408953321</v>
      </c>
      <c r="AA46">
        <v>129.14211888729849</v>
      </c>
      <c r="AB46">
        <v>129.860220706821</v>
      </c>
      <c r="AC46">
        <v>130.64658420208801</v>
      </c>
      <c r="AD46">
        <v>131.73724619491881</v>
      </c>
      <c r="AE46">
        <v>132.02679572063431</v>
      </c>
      <c r="AF46">
        <v>132.27698549545019</v>
      </c>
      <c r="AG46">
        <v>131.79070254337901</v>
      </c>
      <c r="AH46">
        <v>131.17239876904861</v>
      </c>
      <c r="AI46">
        <v>130.56410185563109</v>
      </c>
      <c r="AJ46">
        <v>131.3226243725228</v>
      </c>
      <c r="AK46">
        <v>131.94604540729401</v>
      </c>
      <c r="AL46">
        <v>132.1000291223117</v>
      </c>
      <c r="AM46">
        <v>132.61410530369861</v>
      </c>
      <c r="AN46">
        <v>133.12916075839809</v>
      </c>
      <c r="AO46">
        <v>133.9007103571725</v>
      </c>
      <c r="AP46">
        <v>134.0931024757532</v>
      </c>
      <c r="AQ46">
        <v>132.5317543298211</v>
      </c>
      <c r="AR46">
        <v>132.38055365882431</v>
      </c>
      <c r="AS46">
        <v>134.16934165322161</v>
      </c>
      <c r="AT46">
        <v>135.03167684651919</v>
      </c>
      <c r="AU46">
        <v>135.0082733255629</v>
      </c>
      <c r="AV46">
        <v>135.037145020694</v>
      </c>
      <c r="AW46">
        <v>135.9245741436759</v>
      </c>
      <c r="AX46">
        <v>136.12984850870521</v>
      </c>
      <c r="AY46">
        <v>136.1431492752001</v>
      </c>
      <c r="AZ46">
        <v>136.2151630300956</v>
      </c>
      <c r="BA46">
        <v>136.55767228677831</v>
      </c>
      <c r="BB46">
        <v>136.8403864333776</v>
      </c>
      <c r="BC46">
        <v>137.211087709385</v>
      </c>
      <c r="BD46">
        <v>136.77059547795989</v>
      </c>
      <c r="BE46">
        <v>136.58985979209541</v>
      </c>
      <c r="BF46">
        <v>136.6665084773818</v>
      </c>
      <c r="BG46">
        <v>135.50773650731509</v>
      </c>
      <c r="BH46">
        <v>134.75081290653699</v>
      </c>
      <c r="BI46">
        <v>134.55860916012759</v>
      </c>
      <c r="BJ46">
        <v>134.36428329235119</v>
      </c>
      <c r="BK46">
        <v>134.03043325043319</v>
      </c>
      <c r="BL46">
        <v>135.01082013108359</v>
      </c>
      <c r="BM46">
        <v>136.09272166002839</v>
      </c>
      <c r="BN46">
        <v>136.37059792706319</v>
      </c>
      <c r="BO46">
        <v>136.8923781864508</v>
      </c>
      <c r="BP46">
        <v>137.17727947788671</v>
      </c>
      <c r="BQ46">
        <v>137.004396017923</v>
      </c>
      <c r="BR46">
        <v>136.7968899413944</v>
      </c>
      <c r="BS46">
        <v>136.93947473087951</v>
      </c>
      <c r="BT46">
        <v>136.85220404335959</v>
      </c>
      <c r="BU46">
        <v>137.94895532856131</v>
      </c>
      <c r="BV46">
        <v>139.5511416970518</v>
      </c>
      <c r="BW46">
        <v>139.650374971064</v>
      </c>
      <c r="BX46">
        <v>140.14787275293409</v>
      </c>
      <c r="BY46">
        <v>140.4932955574796</v>
      </c>
      <c r="BZ46">
        <v>141.8914668568255</v>
      </c>
      <c r="CA46">
        <v>144.0745300312725</v>
      </c>
      <c r="CB46">
        <v>144.7910778711163</v>
      </c>
      <c r="CC46">
        <v>145.56697710442569</v>
      </c>
    </row>
    <row r="47" spans="1:81" x14ac:dyDescent="0.35">
      <c r="A47" t="s">
        <v>29</v>
      </c>
      <c r="B47">
        <v>0.25864226156951992</v>
      </c>
      <c r="C47">
        <v>0.46589499531066281</v>
      </c>
      <c r="D47">
        <v>0.69963703185612758</v>
      </c>
      <c r="E47">
        <v>0.54579551496945555</v>
      </c>
      <c r="F47">
        <v>0.63390039674698073</v>
      </c>
      <c r="G47">
        <v>0.6843845191734772</v>
      </c>
      <c r="H47">
        <v>0.29848049762722439</v>
      </c>
      <c r="I47">
        <v>0.45336231046522357</v>
      </c>
      <c r="J47">
        <v>0.19769280220032209</v>
      </c>
      <c r="K47">
        <v>-0.75323066710905096</v>
      </c>
      <c r="L47">
        <v>-0.80079565284287924</v>
      </c>
      <c r="M47">
        <v>-1.091844947674844</v>
      </c>
      <c r="N47">
        <v>-0.44963383533320211</v>
      </c>
      <c r="O47">
        <v>-0.53174221336001892</v>
      </c>
      <c r="P47">
        <v>-0.29272531465889529</v>
      </c>
      <c r="Q47">
        <v>-0.43718361603961847</v>
      </c>
      <c r="R47">
        <v>-0.54870964025920443</v>
      </c>
      <c r="S47">
        <v>-0.84422664381418144</v>
      </c>
      <c r="T47">
        <v>-0.86874304094266108</v>
      </c>
      <c r="U47">
        <v>-1.162692376160152</v>
      </c>
      <c r="V47">
        <v>-1.356901215266419</v>
      </c>
      <c r="W47">
        <v>-1.009066468978006</v>
      </c>
      <c r="X47">
        <v>-1.3680478779658931</v>
      </c>
      <c r="Y47">
        <v>-1.379421871876886</v>
      </c>
      <c r="Z47">
        <v>-1.1207186438132339</v>
      </c>
      <c r="AA47">
        <v>-0.96308209358750219</v>
      </c>
      <c r="AB47">
        <v>-0.8973779409895144</v>
      </c>
      <c r="AC47">
        <v>-0.93031290690075252</v>
      </c>
      <c r="AD47">
        <v>-0.88190483670211961</v>
      </c>
      <c r="AE47">
        <v>-1.076319980322211</v>
      </c>
      <c r="AF47">
        <v>-1.5007860713465111</v>
      </c>
      <c r="AG47">
        <v>-1.7452891472284759</v>
      </c>
      <c r="AH47">
        <v>-1.693832607343239</v>
      </c>
      <c r="AI47">
        <v>-1.5236974424254299</v>
      </c>
      <c r="AJ47">
        <v>-1.5006727926063661</v>
      </c>
      <c r="AK47">
        <v>-1.467186621079662</v>
      </c>
      <c r="AL47">
        <v>-2.1747359677311242</v>
      </c>
      <c r="AM47">
        <v>-1.6213957308068809</v>
      </c>
      <c r="AN47">
        <v>-1.729755430721696</v>
      </c>
      <c r="AO47">
        <v>-1.308346165652694</v>
      </c>
      <c r="AP47">
        <v>-0.81997547562170325</v>
      </c>
      <c r="AQ47">
        <v>-1.345060014773509</v>
      </c>
      <c r="AR47">
        <v>-1.224344818529687</v>
      </c>
      <c r="AS47">
        <v>-0.75241872880775418</v>
      </c>
      <c r="AT47">
        <v>-0.34005976364815638</v>
      </c>
      <c r="AU47">
        <v>0.22196809674292689</v>
      </c>
      <c r="AV47">
        <v>0.50966357969443266</v>
      </c>
      <c r="AW47">
        <v>0.27564034090289619</v>
      </c>
      <c r="AX47">
        <v>-0.47441900326802511</v>
      </c>
      <c r="AY47">
        <v>-0.32116639033375799</v>
      </c>
      <c r="AZ47">
        <v>-1.0293095735613631</v>
      </c>
      <c r="BA47">
        <v>-0.6460919185969658</v>
      </c>
      <c r="BB47">
        <v>-0.3024482694017081</v>
      </c>
      <c r="BC47">
        <v>-0.29443970952630139</v>
      </c>
      <c r="BD47">
        <v>-0.86914088884631724</v>
      </c>
      <c r="BE47">
        <v>-0.63202742883200358</v>
      </c>
      <c r="BF47">
        <v>-0.44114673240093788</v>
      </c>
      <c r="BG47">
        <v>-0.28153799288813269</v>
      </c>
      <c r="BH47">
        <v>-0.36605172456350488</v>
      </c>
      <c r="BI47">
        <v>-0.65417566079463541</v>
      </c>
      <c r="BJ47">
        <v>-0.75213908871114654</v>
      </c>
      <c r="BK47">
        <v>-0.98302776466067598</v>
      </c>
      <c r="BL47">
        <v>-1.3988248952862821</v>
      </c>
      <c r="BM47">
        <v>-0.45225019566876767</v>
      </c>
      <c r="BN47">
        <v>0.36186277770775632</v>
      </c>
      <c r="BO47">
        <v>0.81192011957551813</v>
      </c>
      <c r="BP47">
        <v>0.45200490862120551</v>
      </c>
      <c r="BQ47">
        <v>-0.1833574831200053</v>
      </c>
      <c r="BR47">
        <v>-0.10857939887571889</v>
      </c>
      <c r="BS47">
        <v>0.81871955745259584</v>
      </c>
      <c r="BT47">
        <v>0.96292588800844214</v>
      </c>
      <c r="BU47">
        <v>1.3578924639387251</v>
      </c>
      <c r="BV47">
        <v>1.4694863103051721</v>
      </c>
      <c r="BW47">
        <v>1.233130597636688</v>
      </c>
      <c r="BX47">
        <v>0.57640088741109707</v>
      </c>
      <c r="BY47">
        <v>0.60625079185169284</v>
      </c>
      <c r="BZ47">
        <v>0.44774557167454532</v>
      </c>
      <c r="CA47">
        <v>0.41410929300525368</v>
      </c>
      <c r="CB47">
        <v>0.45414406432951182</v>
      </c>
      <c r="CC47">
        <v>0.42930089592010751</v>
      </c>
    </row>
    <row r="48" spans="1:81" x14ac:dyDescent="0.35">
      <c r="A48" t="s">
        <v>30</v>
      </c>
      <c r="B48">
        <v>-0.47191916390630212</v>
      </c>
      <c r="C48">
        <v>-0.96036299361748845</v>
      </c>
      <c r="D48">
        <v>-1.1405447972070439</v>
      </c>
      <c r="E48">
        <v>-0.98793648858794791</v>
      </c>
      <c r="F48">
        <v>-0.70756751094217252</v>
      </c>
      <c r="G48">
        <v>-0.40833450367759683</v>
      </c>
      <c r="H48">
        <v>-0.68181275698713839</v>
      </c>
      <c r="I48">
        <v>-0.18506584573718171</v>
      </c>
      <c r="J48">
        <v>-0.18713640030353931</v>
      </c>
      <c r="K48">
        <v>-0.57028594267062638</v>
      </c>
      <c r="L48">
        <v>-0.50347804747454594</v>
      </c>
      <c r="M48">
        <v>-0.50285925270056209</v>
      </c>
      <c r="N48">
        <v>-0.65836312472613689</v>
      </c>
      <c r="O48">
        <v>-0.351485734858067</v>
      </c>
      <c r="P48">
        <v>-0.45412079843513431</v>
      </c>
      <c r="Q48">
        <v>-3.4742390346046398E-2</v>
      </c>
      <c r="R48">
        <v>0.35861087451340429</v>
      </c>
      <c r="S48">
        <v>-0.2363289588805533</v>
      </c>
      <c r="T48">
        <v>-0.47998297186376992</v>
      </c>
      <c r="U48">
        <v>-0.74924362185788507</v>
      </c>
      <c r="V48">
        <v>-0.73896286310447623</v>
      </c>
      <c r="W48">
        <v>-0.43578993819827011</v>
      </c>
      <c r="X48">
        <v>-0.57276408736972506</v>
      </c>
      <c r="Y48">
        <v>-0.82800909168326542</v>
      </c>
      <c r="Z48">
        <v>-1.357528993930764</v>
      </c>
      <c r="AA48">
        <v>-1.6511197604074219</v>
      </c>
      <c r="AB48">
        <v>-1.7083809580089959</v>
      </c>
      <c r="AC48">
        <v>-1.9118386246252721</v>
      </c>
      <c r="AD48">
        <v>-1.674059360790819</v>
      </c>
      <c r="AE48">
        <v>-2.1107910504848482</v>
      </c>
      <c r="AF48">
        <v>-2.3753766900139071</v>
      </c>
      <c r="AG48">
        <v>-2.5028402422830132</v>
      </c>
      <c r="AH48">
        <v>-2.9193926243153818</v>
      </c>
      <c r="AI48">
        <v>-2.7468919121732598</v>
      </c>
      <c r="AJ48">
        <v>-2.7755569480481759</v>
      </c>
      <c r="AK48">
        <v>-2.835824332596256</v>
      </c>
      <c r="AL48">
        <v>-2.8720745760312192</v>
      </c>
      <c r="AM48">
        <v>-2.3980295389054849</v>
      </c>
      <c r="AN48">
        <v>-2.2936712851096148</v>
      </c>
      <c r="AO48">
        <v>-2.2136456372912212</v>
      </c>
      <c r="AP48">
        <v>-2.06232766929935</v>
      </c>
      <c r="AQ48">
        <v>-1.9329842050626651</v>
      </c>
      <c r="AR48">
        <v>-1.864130317530829</v>
      </c>
      <c r="AS48">
        <v>-1.7522059286105409</v>
      </c>
      <c r="AT48">
        <v>-1.8313056306852591</v>
      </c>
      <c r="AU48">
        <v>-1.1995815100253091</v>
      </c>
      <c r="AV48">
        <v>-0.9033179639277118</v>
      </c>
      <c r="AW48">
        <v>-1.310564833157942</v>
      </c>
      <c r="AX48">
        <v>-1.8257419406402791</v>
      </c>
      <c r="AY48">
        <v>-1.540952265480247</v>
      </c>
      <c r="AZ48">
        <v>-1.646576489153597</v>
      </c>
      <c r="BA48">
        <v>-1.473449519246131</v>
      </c>
      <c r="BB48">
        <v>-0.98466865761411715</v>
      </c>
      <c r="BC48">
        <v>-0.88889475705228393</v>
      </c>
      <c r="BD48">
        <v>-0.42373910882117732</v>
      </c>
      <c r="BE48">
        <v>-0.29510391965288502</v>
      </c>
      <c r="BF48">
        <v>0.1106303963927905</v>
      </c>
      <c r="BG48">
        <v>1.4191108951630791</v>
      </c>
      <c r="BH48">
        <v>2.503881537717108</v>
      </c>
      <c r="BI48">
        <v>3.423951151817648</v>
      </c>
      <c r="BJ48">
        <v>3.864845707244096</v>
      </c>
      <c r="BK48">
        <v>4.6140465727266902</v>
      </c>
      <c r="BL48">
        <v>3.4831440120570738</v>
      </c>
      <c r="BM48">
        <v>2.4578883662240032</v>
      </c>
      <c r="BN48">
        <v>2.9505974095340419</v>
      </c>
      <c r="BO48">
        <v>3.085236614358565</v>
      </c>
      <c r="BP48">
        <v>3.0320906533575012</v>
      </c>
      <c r="BQ48">
        <v>2.892285235405172</v>
      </c>
      <c r="BR48">
        <v>3.0469692189403279</v>
      </c>
      <c r="BS48">
        <v>3.6420917482957091</v>
      </c>
      <c r="BT48">
        <v>3.9554066625073312</v>
      </c>
      <c r="BU48">
        <v>4.5941227012333057</v>
      </c>
      <c r="BV48">
        <v>3.1997897890860938</v>
      </c>
      <c r="BW48">
        <v>3.2140356428154511</v>
      </c>
      <c r="BX48">
        <v>2.8139128895943899</v>
      </c>
      <c r="BY48">
        <v>2.1979391532463719</v>
      </c>
      <c r="BZ48">
        <v>1.139708091584424</v>
      </c>
      <c r="CA48">
        <v>0.54957422380212628</v>
      </c>
      <c r="CB48">
        <v>-0.32756820899011779</v>
      </c>
      <c r="CC48">
        <v>-1.3396638880393641</v>
      </c>
    </row>
    <row r="49" spans="1:81" x14ac:dyDescent="0.35">
      <c r="A49" t="s">
        <v>31</v>
      </c>
      <c r="B49">
        <v>-1.126586996224566</v>
      </c>
      <c r="C49">
        <v>-0.39336878335328118</v>
      </c>
      <c r="D49">
        <v>0.27193567840667088</v>
      </c>
      <c r="E49">
        <v>0.16167679428442189</v>
      </c>
      <c r="F49">
        <v>-0.37577756404673418</v>
      </c>
      <c r="G49">
        <v>0.29398524723773822</v>
      </c>
      <c r="H49">
        <v>2.1612879838730512</v>
      </c>
      <c r="I49">
        <v>2.9851766068127752</v>
      </c>
      <c r="J49">
        <v>2.1558056048429899</v>
      </c>
      <c r="K49">
        <v>1.364922620538894</v>
      </c>
      <c r="L49">
        <v>0.88114633629875372</v>
      </c>
      <c r="M49">
        <v>0.81586747640892776</v>
      </c>
      <c r="N49">
        <v>0.64464109274709314</v>
      </c>
      <c r="O49">
        <v>0.49334400864688649</v>
      </c>
      <c r="P49">
        <v>1.701801127747296</v>
      </c>
      <c r="Q49">
        <v>2.5193222274512741</v>
      </c>
      <c r="R49">
        <v>2.4646584743500162</v>
      </c>
      <c r="S49">
        <v>2.589126255430275</v>
      </c>
      <c r="T49">
        <v>2.015163253329082</v>
      </c>
      <c r="U49">
        <v>1.2559699188884901</v>
      </c>
      <c r="V49">
        <v>0.9149352278972589</v>
      </c>
      <c r="W49">
        <v>1.0037121413880581</v>
      </c>
      <c r="X49">
        <v>1.260438058572944</v>
      </c>
      <c r="Y49">
        <v>0.55307430096619958</v>
      </c>
      <c r="Z49">
        <v>0.74447507762015341</v>
      </c>
      <c r="AA49">
        <v>0.61852560509265175</v>
      </c>
      <c r="AB49">
        <v>0.71229189705102236</v>
      </c>
      <c r="AC49">
        <v>0.93848272943576361</v>
      </c>
      <c r="AD49">
        <v>1.00091868069431</v>
      </c>
      <c r="AE49">
        <v>2.0760687777905229</v>
      </c>
      <c r="AF49">
        <v>2.1064586597833022</v>
      </c>
      <c r="AG49">
        <v>1.8708860230212949</v>
      </c>
      <c r="AH49">
        <v>2.2576576475808632</v>
      </c>
      <c r="AI49">
        <v>1.7996751066313981</v>
      </c>
      <c r="AJ49">
        <v>1.082855625076401</v>
      </c>
      <c r="AK49">
        <v>0.96873270826363855</v>
      </c>
      <c r="AL49">
        <v>1.2729266172351421</v>
      </c>
      <c r="AM49">
        <v>1.751575657114149</v>
      </c>
      <c r="AN49">
        <v>-0.28231371371960973</v>
      </c>
      <c r="AO49">
        <v>-2.8109894550942989</v>
      </c>
      <c r="AP49">
        <v>2.1012722680885298</v>
      </c>
      <c r="AQ49">
        <v>2.5362426567243679</v>
      </c>
      <c r="AR49">
        <v>2.7868879031597378</v>
      </c>
      <c r="AS49">
        <v>2.8021392583910298</v>
      </c>
      <c r="AT49">
        <v>2.2163201316377008</v>
      </c>
      <c r="AU49">
        <v>2.2361430763722652</v>
      </c>
      <c r="AV49">
        <v>1.858089813913246</v>
      </c>
      <c r="AW49">
        <v>1.4593315195459551</v>
      </c>
      <c r="AX49">
        <v>1.3332884527112721</v>
      </c>
      <c r="AY49">
        <v>1.5489277691005729</v>
      </c>
      <c r="AZ49">
        <v>2.0166038730326639</v>
      </c>
      <c r="BA49">
        <v>2.052197121756496</v>
      </c>
      <c r="BB49">
        <v>1.8874195262666551</v>
      </c>
      <c r="BC49">
        <v>1.910628899307919</v>
      </c>
      <c r="BD49">
        <v>1.689610603855346</v>
      </c>
      <c r="BE49">
        <v>1.7704167869629299</v>
      </c>
      <c r="BF49">
        <v>1.806899913453403</v>
      </c>
      <c r="BG49">
        <v>1.3645369943908821</v>
      </c>
      <c r="BH49">
        <v>1.259154890703819</v>
      </c>
      <c r="BI49">
        <v>1.342396102933344</v>
      </c>
      <c r="BJ49">
        <v>1.2207782028247669</v>
      </c>
      <c r="BK49">
        <v>1.402996430927991</v>
      </c>
      <c r="BL49">
        <v>1.7532831274052469</v>
      </c>
      <c r="BM49">
        <v>1.7895293066244511</v>
      </c>
      <c r="BN49">
        <v>2.0353909161904542</v>
      </c>
      <c r="BO49">
        <v>1.988542750024207</v>
      </c>
      <c r="BP49">
        <v>1.8775045541680739</v>
      </c>
      <c r="BQ49">
        <v>1.839563961507285</v>
      </c>
      <c r="BR49">
        <v>1.829141291391555</v>
      </c>
      <c r="BS49">
        <v>1.9111547785505241</v>
      </c>
      <c r="BT49">
        <v>1.801875150708957</v>
      </c>
      <c r="BU49">
        <v>1.2718203376049111</v>
      </c>
      <c r="BV49">
        <v>1.2385118029466919</v>
      </c>
      <c r="BW49">
        <v>1.362061457600886</v>
      </c>
      <c r="BX49">
        <v>1.779619543846293</v>
      </c>
      <c r="BY49">
        <v>1.869089311413884</v>
      </c>
      <c r="BZ49">
        <v>1.961077621487693</v>
      </c>
      <c r="CA49">
        <v>1.473554634892926</v>
      </c>
      <c r="CB49">
        <v>1.3475160918740201</v>
      </c>
      <c r="CC49">
        <v>1.603715709288219</v>
      </c>
    </row>
    <row r="50" spans="1:81" x14ac:dyDescent="0.35">
      <c r="A50" t="s">
        <v>32</v>
      </c>
      <c r="B50">
        <v>1.8541889078814171</v>
      </c>
      <c r="C50">
        <v>0.6873494527766244</v>
      </c>
      <c r="D50">
        <v>0.5330813281420721</v>
      </c>
      <c r="E50">
        <v>0.29838697727181263</v>
      </c>
      <c r="F50">
        <v>0.25397531808856227</v>
      </c>
      <c r="G50">
        <v>0.2139118938179588</v>
      </c>
      <c r="H50">
        <v>0.38510767568281029</v>
      </c>
      <c r="I50">
        <v>0.29639673281833528</v>
      </c>
      <c r="J50">
        <v>5.9372535056488873E-2</v>
      </c>
      <c r="K50">
        <v>6.0509901986047769E-2</v>
      </c>
      <c r="L50">
        <v>6.8309501003326056E-2</v>
      </c>
      <c r="M50">
        <v>5.0075235852603261E-2</v>
      </c>
      <c r="N50">
        <v>-6.5684858359965634E-3</v>
      </c>
      <c r="O50">
        <v>8.8570567084193808E-2</v>
      </c>
      <c r="P50">
        <v>0.30910969135036492</v>
      </c>
      <c r="Q50">
        <v>0.35890609812674751</v>
      </c>
      <c r="R50">
        <v>0.3690711383880102</v>
      </c>
      <c r="S50">
        <v>0.39106251796391273</v>
      </c>
      <c r="T50">
        <v>0.18083960679530939</v>
      </c>
      <c r="U50">
        <v>0.35933285781573809</v>
      </c>
      <c r="V50">
        <v>0.50709848457786144</v>
      </c>
      <c r="W50">
        <v>0.36410481857944987</v>
      </c>
      <c r="X50">
        <v>0.45712530440503629</v>
      </c>
      <c r="Y50">
        <v>0.40389073642975137</v>
      </c>
      <c r="Z50">
        <v>3.1077253230060439E-2</v>
      </c>
      <c r="AA50">
        <v>3.9233871338937021E-2</v>
      </c>
      <c r="AB50">
        <v>-2.9229897452554551E-2</v>
      </c>
      <c r="AC50">
        <v>-4.8872462495620772E-2</v>
      </c>
      <c r="AD50">
        <v>4.3947110436495804E-3</v>
      </c>
      <c r="AE50">
        <v>3.050682040105001E-2</v>
      </c>
      <c r="AF50">
        <v>8.4381675041749482E-2</v>
      </c>
      <c r="AG50">
        <v>2.6273004637388239E-2</v>
      </c>
      <c r="AH50">
        <v>-9.4187660492995318E-2</v>
      </c>
      <c r="AI50">
        <v>-1.0322606064557369</v>
      </c>
      <c r="AJ50">
        <v>-1.102280448575659</v>
      </c>
      <c r="AK50">
        <v>-0.27489676213973357</v>
      </c>
      <c r="AL50">
        <v>-0.18928761858189089</v>
      </c>
      <c r="AM50">
        <v>-0.21076080881891701</v>
      </c>
      <c r="AN50">
        <v>-0.13360302311651279</v>
      </c>
      <c r="AO50">
        <v>-0.21988225077132709</v>
      </c>
      <c r="AP50">
        <v>-0.22943349634487989</v>
      </c>
      <c r="AQ50">
        <v>1.0099572318441051E-2</v>
      </c>
      <c r="AR50">
        <v>2.7315686974703771E-2</v>
      </c>
      <c r="AS50">
        <v>4.6474769578570267E-2</v>
      </c>
      <c r="AT50">
        <v>9.6615793231934755E-2</v>
      </c>
      <c r="AU50">
        <v>-3.1583136874673852E-2</v>
      </c>
      <c r="AV50">
        <v>-4.1267889821135488E-2</v>
      </c>
      <c r="AW50">
        <v>-9.6201617591021304E-2</v>
      </c>
      <c r="AX50">
        <v>-0.17153100755525899</v>
      </c>
      <c r="AY50">
        <v>-0.30242677410225433</v>
      </c>
      <c r="AZ50">
        <v>-0.22396070003210999</v>
      </c>
      <c r="BA50">
        <v>-0.24407812851072769</v>
      </c>
      <c r="BB50">
        <v>-0.2476875898953676</v>
      </c>
      <c r="BC50">
        <v>-0.14973927167810849</v>
      </c>
      <c r="BD50">
        <v>-9.613396141909869E-2</v>
      </c>
      <c r="BE50">
        <v>-0.27575975327209118</v>
      </c>
      <c r="BF50">
        <v>-0.18584815368561461</v>
      </c>
      <c r="BG50">
        <v>-0.25363846906603682</v>
      </c>
      <c r="BH50">
        <v>-0.22066962721569161</v>
      </c>
      <c r="BI50">
        <v>-0.19645549909395349</v>
      </c>
      <c r="BJ50">
        <v>-0.19157208768096901</v>
      </c>
      <c r="BK50">
        <v>-0.21915980175881419</v>
      </c>
      <c r="BL50">
        <v>-0.26016234600327148</v>
      </c>
      <c r="BM50">
        <v>-0.1432872943581642</v>
      </c>
      <c r="BN50">
        <v>-0.17703763858216229</v>
      </c>
      <c r="BO50">
        <v>-0.23404375152464879</v>
      </c>
      <c r="BP50">
        <v>-0.24190845877709949</v>
      </c>
      <c r="BQ50">
        <v>-0.1707350117025655</v>
      </c>
      <c r="BR50">
        <v>-0.16039278947698629</v>
      </c>
      <c r="BS50">
        <v>-0.17358391233358361</v>
      </c>
      <c r="BT50">
        <v>-0.1081127515810654</v>
      </c>
      <c r="BU50">
        <v>-0.26644132432141032</v>
      </c>
      <c r="BV50">
        <v>-0.10613986551781671</v>
      </c>
      <c r="BW50">
        <v>-0.2022881484111963</v>
      </c>
      <c r="BX50">
        <v>-0.16327198012711819</v>
      </c>
      <c r="BY50">
        <v>-0.1012741240132797</v>
      </c>
      <c r="BZ50">
        <v>-7.0917937077019377E-2</v>
      </c>
      <c r="CA50">
        <v>-0.1130727821776789</v>
      </c>
      <c r="CB50">
        <v>-0.36425744801673571</v>
      </c>
      <c r="CC50">
        <v>-0.39499603270446848</v>
      </c>
    </row>
    <row r="51" spans="1:81" x14ac:dyDescent="0.35">
      <c r="A51" t="s">
        <v>33</v>
      </c>
      <c r="B51">
        <v>130.0232907513996</v>
      </c>
      <c r="C51">
        <v>133.3403178979809</v>
      </c>
      <c r="D51">
        <v>133.5222013003046</v>
      </c>
      <c r="E51">
        <v>130.6000772492971</v>
      </c>
      <c r="F51">
        <v>133.43766264593171</v>
      </c>
      <c r="G51">
        <v>136.6955479148676</v>
      </c>
      <c r="H51">
        <v>138.67192886810079</v>
      </c>
      <c r="I51">
        <v>139.87062471063649</v>
      </c>
      <c r="J51">
        <v>138.3874562005816</v>
      </c>
      <c r="K51">
        <v>135.94954615900201</v>
      </c>
      <c r="L51">
        <v>135.4531074389086</v>
      </c>
      <c r="M51">
        <v>133.85025997830201</v>
      </c>
      <c r="N51">
        <v>134.18329496260989</v>
      </c>
      <c r="O51">
        <v>133.8300561701096</v>
      </c>
      <c r="P51">
        <v>134.65107697087279</v>
      </c>
      <c r="Q51">
        <v>134.59750534137669</v>
      </c>
      <c r="R51">
        <v>134.50131961996061</v>
      </c>
      <c r="S51">
        <v>133.36278036752799</v>
      </c>
      <c r="T51">
        <v>131.2801958869976</v>
      </c>
      <c r="U51">
        <v>131.8635048541903</v>
      </c>
      <c r="V51">
        <v>130.19313294052381</v>
      </c>
      <c r="W51">
        <v>129.90335366270489</v>
      </c>
      <c r="X51">
        <v>129.5865361402208</v>
      </c>
      <c r="Y51">
        <v>127.386699758586</v>
      </c>
      <c r="Z51">
        <v>127.0374587826394</v>
      </c>
      <c r="AA51">
        <v>127.1856765097352</v>
      </c>
      <c r="AB51">
        <v>127.9375238074209</v>
      </c>
      <c r="AC51">
        <v>128.69404293750219</v>
      </c>
      <c r="AD51">
        <v>130.1865953891639</v>
      </c>
      <c r="AE51">
        <v>130.94626028801881</v>
      </c>
      <c r="AF51">
        <v>130.59166306891481</v>
      </c>
      <c r="AG51">
        <v>129.43973218152621</v>
      </c>
      <c r="AH51">
        <v>128.72264352447789</v>
      </c>
      <c r="AI51">
        <v>127.060927001208</v>
      </c>
      <c r="AJ51">
        <v>127.026969808369</v>
      </c>
      <c r="AK51">
        <v>128.336870399742</v>
      </c>
      <c r="AL51">
        <v>128.13685757720259</v>
      </c>
      <c r="AM51">
        <v>130.13549488228139</v>
      </c>
      <c r="AN51">
        <v>128.68981730573071</v>
      </c>
      <c r="AO51">
        <v>127.34784684836301</v>
      </c>
      <c r="AP51">
        <v>133.0826381025758</v>
      </c>
      <c r="AQ51">
        <v>131.80005233902779</v>
      </c>
      <c r="AR51">
        <v>132.10628211289821</v>
      </c>
      <c r="AS51">
        <v>134.51333102377291</v>
      </c>
      <c r="AT51">
        <v>135.17324737705539</v>
      </c>
      <c r="AU51">
        <v>136.23521985177811</v>
      </c>
      <c r="AV51">
        <v>136.46031256055281</v>
      </c>
      <c r="AW51">
        <v>136.25277955337569</v>
      </c>
      <c r="AX51">
        <v>134.99144500995291</v>
      </c>
      <c r="AY51">
        <v>135.5275316143844</v>
      </c>
      <c r="AZ51">
        <v>135.33192014038119</v>
      </c>
      <c r="BA51">
        <v>136.2462498421809</v>
      </c>
      <c r="BB51">
        <v>137.19300144273299</v>
      </c>
      <c r="BC51">
        <v>137.78864287043621</v>
      </c>
      <c r="BD51">
        <v>137.0711921227286</v>
      </c>
      <c r="BE51">
        <v>137.15738547730129</v>
      </c>
      <c r="BF51">
        <v>137.9570439011415</v>
      </c>
      <c r="BG51">
        <v>137.7562079349149</v>
      </c>
      <c r="BH51">
        <v>137.92712798317871</v>
      </c>
      <c r="BI51">
        <v>138.47432525498999</v>
      </c>
      <c r="BJ51">
        <v>138.50619602602799</v>
      </c>
      <c r="BK51">
        <v>138.84528868766839</v>
      </c>
      <c r="BL51">
        <v>138.5882600292563</v>
      </c>
      <c r="BM51">
        <v>139.7446018428499</v>
      </c>
      <c r="BN51">
        <v>141.5414113919133</v>
      </c>
      <c r="BO51">
        <v>142.54403391888451</v>
      </c>
      <c r="BP51">
        <v>142.2969711352564</v>
      </c>
      <c r="BQ51">
        <v>141.3821527200129</v>
      </c>
      <c r="BR51">
        <v>141.40402826337359</v>
      </c>
      <c r="BS51">
        <v>143.13785690284479</v>
      </c>
      <c r="BT51">
        <v>143.46429899300321</v>
      </c>
      <c r="BU51">
        <v>144.90634950701681</v>
      </c>
      <c r="BV51">
        <v>145.35278973387199</v>
      </c>
      <c r="BW51">
        <v>145.25731452070579</v>
      </c>
      <c r="BX51">
        <v>145.15453409365881</v>
      </c>
      <c r="BY51">
        <v>145.06530068997819</v>
      </c>
      <c r="BZ51">
        <v>145.36908020449519</v>
      </c>
      <c r="CA51">
        <v>146.39869540079511</v>
      </c>
      <c r="CB51">
        <v>145.90091237031299</v>
      </c>
      <c r="CC51">
        <v>145.86533378889021</v>
      </c>
    </row>
    <row r="52" spans="1:81" x14ac:dyDescent="0.35">
      <c r="A52" t="s">
        <v>34</v>
      </c>
      <c r="B52">
        <v>10041597.66</v>
      </c>
      <c r="C52">
        <v>11064314.49</v>
      </c>
      <c r="D52">
        <v>21657617.34</v>
      </c>
      <c r="E52">
        <v>17067045.460000001</v>
      </c>
      <c r="F52">
        <v>15936093.970000001</v>
      </c>
      <c r="G52">
        <v>14048681.390000001</v>
      </c>
      <c r="H52">
        <v>15706479.27</v>
      </c>
      <c r="I52">
        <v>16579333.99</v>
      </c>
      <c r="J52">
        <v>15094316.5</v>
      </c>
      <c r="K52">
        <v>15703649.17</v>
      </c>
      <c r="L52">
        <v>15163800.18</v>
      </c>
      <c r="M52">
        <v>18824777.43</v>
      </c>
      <c r="N52">
        <v>19909933.129999999</v>
      </c>
      <c r="O52">
        <v>23184104.370000001</v>
      </c>
      <c r="P52">
        <v>47480224.489999987</v>
      </c>
      <c r="Q52">
        <v>50856460.630000003</v>
      </c>
      <c r="R52">
        <v>38000763.100000001</v>
      </c>
      <c r="S52">
        <v>39133687.979999997</v>
      </c>
      <c r="T52">
        <v>34414946.759999998</v>
      </c>
      <c r="U52">
        <v>31785006.870000001</v>
      </c>
      <c r="V52">
        <v>30421491.719999999</v>
      </c>
      <c r="W52">
        <v>26293113.629999999</v>
      </c>
      <c r="X52">
        <v>23938939.329999998</v>
      </c>
      <c r="Y52">
        <v>23549205.780000001</v>
      </c>
      <c r="Z52">
        <v>21438415.050000001</v>
      </c>
      <c r="AA52">
        <v>21491930.960000001</v>
      </c>
      <c r="AB52">
        <v>32895061.02</v>
      </c>
      <c r="AC52">
        <v>24004697.48</v>
      </c>
      <c r="AD52">
        <v>22096908.789999999</v>
      </c>
      <c r="AE52">
        <v>22364411.390000001</v>
      </c>
      <c r="AF52">
        <v>16092799.34</v>
      </c>
      <c r="AG52">
        <v>20206372.289999999</v>
      </c>
      <c r="AH52">
        <v>21017358.140000001</v>
      </c>
      <c r="AI52">
        <v>22858489.07</v>
      </c>
      <c r="AJ52">
        <v>20338183.449999999</v>
      </c>
      <c r="AK52">
        <v>21835070.43</v>
      </c>
      <c r="AL52">
        <v>23461711.359999999</v>
      </c>
      <c r="AM52">
        <v>21934343.09</v>
      </c>
      <c r="AN52">
        <v>23093053.73</v>
      </c>
      <c r="AO52">
        <v>7685143.9299999997</v>
      </c>
      <c r="AP52">
        <v>22423618.18</v>
      </c>
      <c r="AQ52">
        <v>30543973.140000001</v>
      </c>
      <c r="AR52">
        <v>27008766.890000001</v>
      </c>
      <c r="AS52">
        <v>26268887.02</v>
      </c>
      <c r="AT52">
        <v>21025892.57</v>
      </c>
      <c r="AU52">
        <v>25211873.350000001</v>
      </c>
      <c r="AV52">
        <v>27070990.190000001</v>
      </c>
      <c r="AW52">
        <v>25501042.91</v>
      </c>
      <c r="AX52">
        <v>28647685.140000001</v>
      </c>
      <c r="AY52">
        <v>30945596.02</v>
      </c>
      <c r="AZ52">
        <v>56065715.780000001</v>
      </c>
      <c r="BA52">
        <v>43143733.43</v>
      </c>
      <c r="BB52">
        <v>33186840.329999998</v>
      </c>
      <c r="BC52">
        <v>25605018.440000001</v>
      </c>
      <c r="BD52">
        <v>29704983.620000001</v>
      </c>
      <c r="BE52">
        <v>24903477.030000001</v>
      </c>
      <c r="BF52">
        <v>26538139.870000001</v>
      </c>
      <c r="BG52">
        <v>31791622.100000001</v>
      </c>
      <c r="BH52">
        <v>28126678.32</v>
      </c>
      <c r="BI52">
        <v>32172142.370000001</v>
      </c>
      <c r="BJ52">
        <v>38452559.130000003</v>
      </c>
      <c r="BK52">
        <v>41691974.539999999</v>
      </c>
      <c r="BL52">
        <v>70978039.359999999</v>
      </c>
      <c r="BM52">
        <v>53071976.030000001</v>
      </c>
      <c r="BN52">
        <v>39675697.229999997</v>
      </c>
      <c r="BO52">
        <v>37422826.590000004</v>
      </c>
      <c r="BP52">
        <v>39053427.369999997</v>
      </c>
      <c r="BQ52">
        <v>33437034.600000001</v>
      </c>
      <c r="BR52">
        <v>36195578.530000001</v>
      </c>
      <c r="BS52">
        <v>38482419.890000001</v>
      </c>
      <c r="BT52">
        <v>27220312.309999999</v>
      </c>
      <c r="BU52">
        <v>25710349.010000002</v>
      </c>
      <c r="BV52">
        <v>27176409.02</v>
      </c>
      <c r="BW52">
        <v>26545115.27</v>
      </c>
      <c r="BX52">
        <v>42828165.989999987</v>
      </c>
      <c r="BY52">
        <v>26319309.84</v>
      </c>
      <c r="BZ52">
        <v>17392589.59</v>
      </c>
      <c r="CA52">
        <v>16770443.52</v>
      </c>
      <c r="CB52">
        <v>15961965.34</v>
      </c>
      <c r="CC52">
        <v>13992728.68</v>
      </c>
    </row>
    <row r="53" spans="1:81" x14ac:dyDescent="0.35">
      <c r="A53" t="s">
        <v>35</v>
      </c>
      <c r="B53">
        <v>1.552911147346641</v>
      </c>
      <c r="C53">
        <v>1.4843468057079809</v>
      </c>
      <c r="D53">
        <v>1.4271706691692561</v>
      </c>
      <c r="E53">
        <v>1.4363398341244551</v>
      </c>
      <c r="F53">
        <v>1.482776117497643</v>
      </c>
      <c r="G53">
        <v>1.4253510482170211</v>
      </c>
      <c r="H53">
        <v>1.286447968463627</v>
      </c>
      <c r="I53">
        <v>1.233414169159607</v>
      </c>
      <c r="J53">
        <v>1.2868161490304519</v>
      </c>
      <c r="K53">
        <v>1.342232717737238</v>
      </c>
      <c r="L53">
        <v>1.3785469642939201</v>
      </c>
      <c r="M53">
        <v>1.3835980780975481</v>
      </c>
      <c r="N53">
        <v>1.397024732349613</v>
      </c>
      <c r="O53">
        <v>1.409107371798989</v>
      </c>
      <c r="P53">
        <v>1.318054867101947</v>
      </c>
      <c r="Q53">
        <v>1.2628512257117781</v>
      </c>
      <c r="R53">
        <v>1.266397765595686</v>
      </c>
      <c r="S53">
        <v>1.2583511729200689</v>
      </c>
      <c r="T53">
        <v>1.296333861119199</v>
      </c>
      <c r="U53">
        <v>1.350243241499645</v>
      </c>
      <c r="V53">
        <v>1.3759469228565699</v>
      </c>
      <c r="W53">
        <v>1.3691620820426831</v>
      </c>
      <c r="X53">
        <v>1.349912850991396</v>
      </c>
      <c r="Y53">
        <v>1.404312405755791</v>
      </c>
      <c r="Z53">
        <v>1.3891647902895301</v>
      </c>
      <c r="AA53">
        <v>1.399095506202567</v>
      </c>
      <c r="AB53">
        <v>1.3916888984933711</v>
      </c>
      <c r="AC53">
        <v>1.374140743773782</v>
      </c>
      <c r="AD53">
        <v>1.3693745545574141</v>
      </c>
      <c r="AE53">
        <v>1.292194963602719</v>
      </c>
      <c r="AF53">
        <v>1.290139655858108</v>
      </c>
      <c r="AG53">
        <v>1.306244972807771</v>
      </c>
      <c r="AH53">
        <v>1.280010292585948</v>
      </c>
      <c r="AI53">
        <v>1.311192872227082</v>
      </c>
      <c r="AJ53">
        <v>1.3631696514690199</v>
      </c>
      <c r="AK53">
        <v>1.371827407097203</v>
      </c>
      <c r="AL53">
        <v>1.3489902584488001</v>
      </c>
      <c r="AM53">
        <v>1.314556197875993</v>
      </c>
      <c r="AN53">
        <v>1.474486336080453</v>
      </c>
      <c r="AO53">
        <v>1.737259967633904</v>
      </c>
      <c r="AP53">
        <v>1.290489955539843</v>
      </c>
      <c r="AQ53">
        <v>1.2617574644792551</v>
      </c>
      <c r="AR53">
        <v>1.2457744805874029</v>
      </c>
      <c r="AS53">
        <v>1.244815000962824</v>
      </c>
      <c r="AT53">
        <v>1.282763808634531</v>
      </c>
      <c r="AU53">
        <v>1.2814419139082811</v>
      </c>
      <c r="AV53">
        <v>1.3071313289543021</v>
      </c>
      <c r="AW53">
        <v>1.33536796681391</v>
      </c>
      <c r="AX53">
        <v>1.3445487460464061</v>
      </c>
      <c r="AY53">
        <v>1.3289177847283871</v>
      </c>
      <c r="AZ53">
        <v>1.2962356561970569</v>
      </c>
      <c r="BA53">
        <v>1.29381403323038</v>
      </c>
      <c r="BB53">
        <v>1.3051015235680741</v>
      </c>
      <c r="BC53">
        <v>1.303499747747793</v>
      </c>
      <c r="BD53">
        <v>1.3189145842832659</v>
      </c>
      <c r="BE53">
        <v>1.313236689401631</v>
      </c>
      <c r="BF53">
        <v>1.310689167988115</v>
      </c>
      <c r="BG53">
        <v>1.3422609024953309</v>
      </c>
      <c r="BH53">
        <v>1.35000771654278</v>
      </c>
      <c r="BI53">
        <v>1.343881129906356</v>
      </c>
      <c r="BJ53">
        <v>1.3528511090804289</v>
      </c>
      <c r="BK53">
        <v>1.339455783329573</v>
      </c>
      <c r="BL53">
        <v>1.314436508665384</v>
      </c>
      <c r="BM53">
        <v>1.3119008782891319</v>
      </c>
      <c r="BN53">
        <v>1.294956332051687</v>
      </c>
      <c r="BO53">
        <v>1.298151223319576</v>
      </c>
      <c r="BP53">
        <v>1.3057869979195631</v>
      </c>
      <c r="BQ53">
        <v>1.308416694269809</v>
      </c>
      <c r="BR53">
        <v>1.3091409543604451</v>
      </c>
      <c r="BS53">
        <v>1.3034635001749659</v>
      </c>
      <c r="BT53">
        <v>1.311039446992101</v>
      </c>
      <c r="BU53">
        <v>1.3490719339697239</v>
      </c>
      <c r="BV53">
        <v>1.3515357100581771</v>
      </c>
      <c r="BW53">
        <v>1.342441863454076</v>
      </c>
      <c r="BX53">
        <v>1.3125931514452489</v>
      </c>
      <c r="BY53">
        <v>1.3063693532410841</v>
      </c>
      <c r="BZ53">
        <v>1.3000315958870039</v>
      </c>
      <c r="CA53">
        <v>1.334339843477713</v>
      </c>
      <c r="CB53">
        <v>1.3435061114848841</v>
      </c>
      <c r="CC53">
        <v>1.325004122036388</v>
      </c>
    </row>
    <row r="54" spans="1:81" x14ac:dyDescent="0.35">
      <c r="A54" t="s">
        <v>36</v>
      </c>
      <c r="B54">
        <v>0.20851158703026551</v>
      </c>
      <c r="C54">
        <v>0.22518072210319109</v>
      </c>
      <c r="D54">
        <v>0.22738455245511319</v>
      </c>
      <c r="E54">
        <v>0.23073732889611689</v>
      </c>
      <c r="F54">
        <v>0.23137178117016341</v>
      </c>
      <c r="G54">
        <v>0.2319441158026006</v>
      </c>
      <c r="H54">
        <v>0.22949846177595981</v>
      </c>
      <c r="I54">
        <v>0.23076576095973811</v>
      </c>
      <c r="J54">
        <v>0.2341518209277644</v>
      </c>
      <c r="K54">
        <v>0.2341355728287707</v>
      </c>
      <c r="L54">
        <v>0.23402414998566681</v>
      </c>
      <c r="M54">
        <v>0.23428463948781991</v>
      </c>
      <c r="N54">
        <v>0.23509383551194279</v>
      </c>
      <c r="O54">
        <v>0.2337347061845115</v>
      </c>
      <c r="P54">
        <v>0.23058414726642329</v>
      </c>
      <c r="Q54">
        <v>0.22987277002676071</v>
      </c>
      <c r="R54">
        <v>0.22972755516588561</v>
      </c>
      <c r="S54">
        <v>0.22941339260051549</v>
      </c>
      <c r="T54">
        <v>0.23241657704578131</v>
      </c>
      <c r="U54">
        <v>0.22986667345977521</v>
      </c>
      <c r="V54">
        <v>0.22775573593460199</v>
      </c>
      <c r="W54">
        <v>0.2297985025917221</v>
      </c>
      <c r="X54">
        <v>0.2284696385084995</v>
      </c>
      <c r="Y54">
        <v>0.2292301323367178</v>
      </c>
      <c r="Z54">
        <v>0.23455603923957061</v>
      </c>
      <c r="AA54">
        <v>0.23443951612372951</v>
      </c>
      <c r="AB54">
        <v>0.23541756996360791</v>
      </c>
      <c r="AC54">
        <v>0.23569817803565171</v>
      </c>
      <c r="AD54">
        <v>0.23493721841366211</v>
      </c>
      <c r="AE54">
        <v>0.23456418827998499</v>
      </c>
      <c r="AF54">
        <v>0.23379454749940359</v>
      </c>
      <c r="AG54">
        <v>0.23462467136232301</v>
      </c>
      <c r="AH54">
        <v>0.2363455380070428</v>
      </c>
      <c r="AI54">
        <v>0.24974658009222481</v>
      </c>
      <c r="AJ54">
        <v>0.25074686355108078</v>
      </c>
      <c r="AK54">
        <v>0.23892709660199621</v>
      </c>
      <c r="AL54">
        <v>0.23770410883688409</v>
      </c>
      <c r="AM54">
        <v>0.23801086869741311</v>
      </c>
      <c r="AN54">
        <v>0.2369086146159502</v>
      </c>
      <c r="AO54">
        <v>0.23814117501101889</v>
      </c>
      <c r="AP54">
        <v>0.23827762137635539</v>
      </c>
      <c r="AQ54">
        <v>0.2348557203954508</v>
      </c>
      <c r="AR54">
        <v>0.23460977590036139</v>
      </c>
      <c r="AS54">
        <v>0.2343360747203061</v>
      </c>
      <c r="AT54">
        <v>0.23361977438240089</v>
      </c>
      <c r="AU54">
        <v>0.23545118766963821</v>
      </c>
      <c r="AV54">
        <v>0.23558954128315909</v>
      </c>
      <c r="AW54">
        <v>0.23637430882272889</v>
      </c>
      <c r="AX54">
        <v>0.23745044296507509</v>
      </c>
      <c r="AY54">
        <v>0.23932038248717499</v>
      </c>
      <c r="AZ54">
        <v>0.2381994385718873</v>
      </c>
      <c r="BA54">
        <v>0.2384868304072961</v>
      </c>
      <c r="BB54">
        <v>0.23853839414136241</v>
      </c>
      <c r="BC54">
        <v>0.23713913245254439</v>
      </c>
      <c r="BD54">
        <v>0.23637334230598711</v>
      </c>
      <c r="BE54">
        <v>0.23893942504674409</v>
      </c>
      <c r="BF54">
        <v>0.2376549736240802</v>
      </c>
      <c r="BG54">
        <v>0.2386234067009434</v>
      </c>
      <c r="BH54">
        <v>0.23815242324593841</v>
      </c>
      <c r="BI54">
        <v>0.23780650712991361</v>
      </c>
      <c r="BJ54">
        <v>0.23773674410972809</v>
      </c>
      <c r="BK54">
        <v>0.23813085431084019</v>
      </c>
      <c r="BL54">
        <v>0.23871660494290389</v>
      </c>
      <c r="BM54">
        <v>0.23704696134797379</v>
      </c>
      <c r="BN54">
        <v>0.23752910912260231</v>
      </c>
      <c r="BO54">
        <v>0.2383434821646378</v>
      </c>
      <c r="BP54">
        <v>0.23845583512538709</v>
      </c>
      <c r="BQ54">
        <v>0.23743907159575089</v>
      </c>
      <c r="BR54">
        <v>0.23729132556395691</v>
      </c>
      <c r="BS54">
        <v>0.23747977017619401</v>
      </c>
      <c r="BT54">
        <v>0.23654446787972949</v>
      </c>
      <c r="BU54">
        <v>0.23880630463316299</v>
      </c>
      <c r="BV54">
        <v>0.23651628379311171</v>
      </c>
      <c r="BW54">
        <v>0.23788983069158851</v>
      </c>
      <c r="BX54">
        <v>0.23733245685895879</v>
      </c>
      <c r="BY54">
        <v>0.2364467732001897</v>
      </c>
      <c r="BZ54">
        <v>0.23601311338681449</v>
      </c>
      <c r="CA54">
        <v>0.23661532545968109</v>
      </c>
      <c r="CB54">
        <v>0.2402036778288105</v>
      </c>
      <c r="CC54">
        <v>0.24064280046720671</v>
      </c>
    </row>
    <row r="56" spans="1:81" x14ac:dyDescent="0.35">
      <c r="A56" t="s">
        <v>41</v>
      </c>
      <c r="B56" t="s">
        <v>75</v>
      </c>
      <c r="C56" t="s">
        <v>76</v>
      </c>
      <c r="D56" t="s">
        <v>77</v>
      </c>
      <c r="E56" t="s">
        <v>78</v>
      </c>
      <c r="F56" t="s">
        <v>79</v>
      </c>
      <c r="G56" t="s">
        <v>80</v>
      </c>
      <c r="H56" t="s">
        <v>81</v>
      </c>
      <c r="I56" t="s">
        <v>82</v>
      </c>
      <c r="J56" t="s">
        <v>83</v>
      </c>
      <c r="K56" t="s">
        <v>84</v>
      </c>
      <c r="L56" t="s">
        <v>85</v>
      </c>
      <c r="M56" t="s">
        <v>86</v>
      </c>
      <c r="N56" t="s">
        <v>87</v>
      </c>
      <c r="O56" t="s">
        <v>88</v>
      </c>
      <c r="P56" t="s">
        <v>89</v>
      </c>
      <c r="Q56" t="s">
        <v>90</v>
      </c>
      <c r="R56" t="s">
        <v>91</v>
      </c>
      <c r="S56" t="s">
        <v>92</v>
      </c>
      <c r="T56" t="s">
        <v>93</v>
      </c>
      <c r="U56" t="s">
        <v>94</v>
      </c>
      <c r="V56" t="s">
        <v>95</v>
      </c>
      <c r="W56" t="s">
        <v>96</v>
      </c>
      <c r="X56" t="s">
        <v>97</v>
      </c>
      <c r="Y56" t="s">
        <v>98</v>
      </c>
      <c r="Z56" t="s">
        <v>99</v>
      </c>
      <c r="AA56" t="s">
        <v>100</v>
      </c>
      <c r="AB56" t="s">
        <v>101</v>
      </c>
      <c r="AC56" t="s">
        <v>102</v>
      </c>
      <c r="AD56" t="s">
        <v>103</v>
      </c>
      <c r="AE56" t="s">
        <v>104</v>
      </c>
      <c r="AF56" t="s">
        <v>105</v>
      </c>
      <c r="AG56" t="s">
        <v>106</v>
      </c>
      <c r="AH56" t="s">
        <v>107</v>
      </c>
      <c r="AI56" t="s">
        <v>108</v>
      </c>
      <c r="AJ56" t="s">
        <v>109</v>
      </c>
      <c r="AK56" t="s">
        <v>110</v>
      </c>
      <c r="AL56" t="s">
        <v>111</v>
      </c>
      <c r="AM56" t="s">
        <v>112</v>
      </c>
      <c r="AN56" t="s">
        <v>113</v>
      </c>
      <c r="AO56" t="s">
        <v>114</v>
      </c>
      <c r="AP56" t="s">
        <v>115</v>
      </c>
      <c r="AQ56" t="s">
        <v>116</v>
      </c>
      <c r="AR56" t="s">
        <v>117</v>
      </c>
      <c r="AS56" t="s">
        <v>118</v>
      </c>
      <c r="AT56" t="s">
        <v>119</v>
      </c>
      <c r="AU56" t="s">
        <v>120</v>
      </c>
      <c r="AV56" t="s">
        <v>121</v>
      </c>
      <c r="AW56" t="s">
        <v>122</v>
      </c>
      <c r="AX56" t="s">
        <v>123</v>
      </c>
      <c r="AY56" t="s">
        <v>124</v>
      </c>
      <c r="AZ56" t="s">
        <v>125</v>
      </c>
      <c r="BA56" t="s">
        <v>126</v>
      </c>
      <c r="BB56" t="s">
        <v>127</v>
      </c>
      <c r="BC56" t="s">
        <v>46</v>
      </c>
      <c r="BD56" t="s">
        <v>47</v>
      </c>
      <c r="BE56" t="s">
        <v>48</v>
      </c>
      <c r="BF56" t="s">
        <v>49</v>
      </c>
      <c r="BG56" t="s">
        <v>50</v>
      </c>
      <c r="BH56" t="s">
        <v>51</v>
      </c>
      <c r="BI56" t="s">
        <v>52</v>
      </c>
      <c r="BJ56" t="s">
        <v>53</v>
      </c>
      <c r="BK56" t="s">
        <v>54</v>
      </c>
      <c r="BL56" t="s">
        <v>55</v>
      </c>
      <c r="BM56" t="s">
        <v>56</v>
      </c>
      <c r="BN56" t="s">
        <v>57</v>
      </c>
      <c r="BO56" t="s">
        <v>58</v>
      </c>
      <c r="BP56" t="s">
        <v>59</v>
      </c>
      <c r="BQ56" t="s">
        <v>60</v>
      </c>
      <c r="BR56" t="s">
        <v>61</v>
      </c>
      <c r="BS56" t="s">
        <v>62</v>
      </c>
      <c r="BT56" t="s">
        <v>63</v>
      </c>
      <c r="BU56" t="s">
        <v>64</v>
      </c>
      <c r="BV56" t="s">
        <v>65</v>
      </c>
      <c r="BW56" t="s">
        <v>66</v>
      </c>
      <c r="BX56" t="s">
        <v>67</v>
      </c>
      <c r="BY56" t="s">
        <v>68</v>
      </c>
      <c r="BZ56" t="s">
        <v>69</v>
      </c>
      <c r="CA56" t="s">
        <v>70</v>
      </c>
      <c r="CB56" t="s">
        <v>71</v>
      </c>
      <c r="CC56" t="s">
        <v>128</v>
      </c>
    </row>
    <row r="57" spans="1:81" x14ac:dyDescent="0.35">
      <c r="A57" t="s">
        <v>28</v>
      </c>
      <c r="B57">
        <v>136.0708942400334</v>
      </c>
      <c r="C57">
        <v>136.0717702129958</v>
      </c>
      <c r="D57">
        <v>135.58402948497471</v>
      </c>
      <c r="E57">
        <v>136.45711056261709</v>
      </c>
      <c r="F57">
        <v>138.3985631473594</v>
      </c>
      <c r="G57">
        <v>139.2246442603859</v>
      </c>
      <c r="H57">
        <v>139.32141826250611</v>
      </c>
      <c r="I57">
        <v>138.63634050953041</v>
      </c>
      <c r="J57">
        <v>138.29049839883641</v>
      </c>
      <c r="K57">
        <v>137.41781088566611</v>
      </c>
      <c r="L57">
        <v>136.54367446029769</v>
      </c>
      <c r="M57">
        <v>136.9216517393356</v>
      </c>
      <c r="N57">
        <v>136.31498217147461</v>
      </c>
      <c r="O57">
        <v>135.27071944744381</v>
      </c>
      <c r="P57">
        <v>135.1657296209581</v>
      </c>
      <c r="Q57">
        <v>135.83368035558809</v>
      </c>
      <c r="R57">
        <v>135.81796176161211</v>
      </c>
      <c r="S57">
        <v>135.53010207937999</v>
      </c>
      <c r="T57">
        <v>133.76718360786771</v>
      </c>
      <c r="U57">
        <v>136.00608653750629</v>
      </c>
      <c r="V57">
        <v>133.71151080806931</v>
      </c>
      <c r="W57">
        <v>133.80574031330471</v>
      </c>
      <c r="X57">
        <v>133.04793501495979</v>
      </c>
      <c r="Y57">
        <v>132.60728040402381</v>
      </c>
      <c r="Z57">
        <v>132.0790800099646</v>
      </c>
      <c r="AA57">
        <v>133.43161162186709</v>
      </c>
      <c r="AB57">
        <v>133.82978415814731</v>
      </c>
      <c r="AC57">
        <v>134.73083165300341</v>
      </c>
      <c r="AD57">
        <v>134.32815858542619</v>
      </c>
      <c r="AE57">
        <v>135.10463312148701</v>
      </c>
      <c r="AF57">
        <v>135.80842841479489</v>
      </c>
      <c r="AG57">
        <v>136.29524377822699</v>
      </c>
      <c r="AH57">
        <v>136.06811943254249</v>
      </c>
      <c r="AI57">
        <v>137.28382467968271</v>
      </c>
      <c r="AJ57">
        <v>138.6338471717923</v>
      </c>
      <c r="AK57">
        <v>139.28453224403339</v>
      </c>
      <c r="AL57">
        <v>140.3736864373499</v>
      </c>
      <c r="AM57">
        <v>139.82757650304791</v>
      </c>
      <c r="AN57">
        <v>140.15690615231989</v>
      </c>
      <c r="AO57">
        <v>140.4390194777973</v>
      </c>
      <c r="AP57">
        <v>140.74135284998039</v>
      </c>
      <c r="AQ57">
        <v>140.77825405368159</v>
      </c>
      <c r="AR57">
        <v>140.66079117173891</v>
      </c>
      <c r="AS57">
        <v>140.62777803319679</v>
      </c>
      <c r="AT57">
        <v>140.19163100764919</v>
      </c>
      <c r="AU57">
        <v>140.05399519862749</v>
      </c>
      <c r="AV57">
        <v>140.96294347745771</v>
      </c>
      <c r="AW57">
        <v>140.86159437364509</v>
      </c>
      <c r="AX57">
        <v>140.35898612743091</v>
      </c>
      <c r="AY57">
        <v>138.53189748075209</v>
      </c>
      <c r="AZ57">
        <v>140.07232098893601</v>
      </c>
      <c r="BA57">
        <v>140.5631436539216</v>
      </c>
      <c r="BB57">
        <v>140.57461032160171</v>
      </c>
      <c r="BC57">
        <v>140.16196181414921</v>
      </c>
      <c r="BD57">
        <v>139.70411415220599</v>
      </c>
      <c r="BE57">
        <v>139.74482952016109</v>
      </c>
      <c r="BF57">
        <v>140.25780253004771</v>
      </c>
      <c r="BG57">
        <v>140.2329979866775</v>
      </c>
      <c r="BH57">
        <v>139.560453990214</v>
      </c>
      <c r="BI57">
        <v>139.61342902766739</v>
      </c>
      <c r="BJ57">
        <v>140.00187422513321</v>
      </c>
      <c r="BK57">
        <v>139.58231385995111</v>
      </c>
      <c r="BL57">
        <v>139.6924347793103</v>
      </c>
      <c r="BM57">
        <v>139.81185596064211</v>
      </c>
      <c r="BN57">
        <v>139.80736887266229</v>
      </c>
      <c r="BO57">
        <v>139.99039728109071</v>
      </c>
      <c r="BP57">
        <v>140.13812276144949</v>
      </c>
      <c r="BQ57">
        <v>139.74641615198391</v>
      </c>
      <c r="BR57">
        <v>139.852726401778</v>
      </c>
      <c r="BS57">
        <v>140.19002198155829</v>
      </c>
      <c r="BT57">
        <v>140.75184859632159</v>
      </c>
      <c r="BU57">
        <v>141.8630778429746</v>
      </c>
      <c r="BV57">
        <v>141.74660826253341</v>
      </c>
      <c r="BW57">
        <v>142.07628750630369</v>
      </c>
      <c r="BX57">
        <v>142.44616016064541</v>
      </c>
      <c r="BY57">
        <v>142.9128287488243</v>
      </c>
      <c r="BZ57">
        <v>142.98220859294011</v>
      </c>
      <c r="CA57">
        <v>142.94548344593511</v>
      </c>
      <c r="CB57">
        <v>143.2970837804919</v>
      </c>
      <c r="CC57">
        <v>143.92994406619269</v>
      </c>
    </row>
    <row r="58" spans="1:81" x14ac:dyDescent="0.35">
      <c r="A58" t="s">
        <v>29</v>
      </c>
      <c r="B58">
        <v>4.5529412273308756</v>
      </c>
      <c r="C58">
        <v>4.461128297127658</v>
      </c>
      <c r="D58">
        <v>4.4094759825547953</v>
      </c>
      <c r="E58">
        <v>4.3183294576041362</v>
      </c>
      <c r="F58">
        <v>4.5320525712752726</v>
      </c>
      <c r="G58">
        <v>4.6376044275102402</v>
      </c>
      <c r="H58">
        <v>4.4974553317462949</v>
      </c>
      <c r="I58">
        <v>4.2855121861326211</v>
      </c>
      <c r="J58">
        <v>4.3828995530763279</v>
      </c>
      <c r="K58">
        <v>4.2765798798081107</v>
      </c>
      <c r="L58">
        <v>3.984504736665087</v>
      </c>
      <c r="M58">
        <v>3.9485567117617681</v>
      </c>
      <c r="N58">
        <v>3.860878393202142</v>
      </c>
      <c r="O58">
        <v>3.934778523625738</v>
      </c>
      <c r="P58">
        <v>3.8188716445557991</v>
      </c>
      <c r="Q58">
        <v>3.6593521668934561</v>
      </c>
      <c r="R58">
        <v>3.5480356504450299</v>
      </c>
      <c r="S58">
        <v>3.596886307285502</v>
      </c>
      <c r="T58">
        <v>3.690448511352201</v>
      </c>
      <c r="U58">
        <v>2.8191109338370381</v>
      </c>
      <c r="V58">
        <v>2.5611574587784109</v>
      </c>
      <c r="W58">
        <v>2.566014287106043</v>
      </c>
      <c r="X58">
        <v>2.2867707963595478</v>
      </c>
      <c r="Y58">
        <v>2.315471777390997</v>
      </c>
      <c r="Z58">
        <v>2.0348180108007341</v>
      </c>
      <c r="AA58">
        <v>1.4680778874669611</v>
      </c>
      <c r="AB58">
        <v>1.3298727129845249</v>
      </c>
      <c r="AC58">
        <v>1.523533438553244</v>
      </c>
      <c r="AD58">
        <v>1.3938229683905661</v>
      </c>
      <c r="AE58">
        <v>1.2784986870964301</v>
      </c>
      <c r="AF58">
        <v>1.2378038067083139</v>
      </c>
      <c r="AG58">
        <v>1.2186704018330941</v>
      </c>
      <c r="AH58">
        <v>1.1218291627424151</v>
      </c>
      <c r="AI58">
        <v>1.5888176141944541</v>
      </c>
      <c r="AJ58">
        <v>1.248062219926567</v>
      </c>
      <c r="AK58">
        <v>1.2490267203680501</v>
      </c>
      <c r="AL58">
        <v>1.6857072621788229</v>
      </c>
      <c r="AM58">
        <v>1.1028445119647761</v>
      </c>
      <c r="AN58">
        <v>0.69699365467113239</v>
      </c>
      <c r="AO58">
        <v>1.001792067755702</v>
      </c>
      <c r="AP58">
        <v>1.414508322137408</v>
      </c>
      <c r="AQ58">
        <v>1.459697419346611</v>
      </c>
      <c r="AR58">
        <v>1.5058327177393951</v>
      </c>
      <c r="AS58">
        <v>1.361426124041287</v>
      </c>
      <c r="AT58">
        <v>1.516829759612534</v>
      </c>
      <c r="AU58">
        <v>1.2330577704697701</v>
      </c>
      <c r="AV58">
        <v>1.663054432805694</v>
      </c>
      <c r="AW58">
        <v>2.1516677110681428</v>
      </c>
      <c r="AX58">
        <v>1.381532758058853</v>
      </c>
      <c r="AY58">
        <v>0.88407265342812025</v>
      </c>
      <c r="AZ58">
        <v>1.478148107468428</v>
      </c>
      <c r="BA58">
        <v>1.9708698708330989</v>
      </c>
      <c r="BB58">
        <v>2.2814787335276492</v>
      </c>
      <c r="BC58">
        <v>2.295105851930288</v>
      </c>
      <c r="BD58">
        <v>2.0177801619990419</v>
      </c>
      <c r="BE58">
        <v>1.807590249584337</v>
      </c>
      <c r="BF58">
        <v>1.7205146094077579</v>
      </c>
      <c r="BG58">
        <v>1.7353923185441431</v>
      </c>
      <c r="BH58">
        <v>1.2623129386296059</v>
      </c>
      <c r="BI58">
        <v>0.85421663751057508</v>
      </c>
      <c r="BJ58">
        <v>0.94280704838453744</v>
      </c>
      <c r="BK58">
        <v>0.52067715819572413</v>
      </c>
      <c r="BL58">
        <v>0.41485391360532731</v>
      </c>
      <c r="BM58">
        <v>1.4746963197538041</v>
      </c>
      <c r="BN58">
        <v>1.922845900516478</v>
      </c>
      <c r="BO58">
        <v>2.007654304930298</v>
      </c>
      <c r="BP58">
        <v>1.8598833808929101</v>
      </c>
      <c r="BQ58">
        <v>0.96314075878436256</v>
      </c>
      <c r="BR58">
        <v>1.0412795717616059</v>
      </c>
      <c r="BS58">
        <v>1.56422376569688</v>
      </c>
      <c r="BT58">
        <v>1.2930294164902421</v>
      </c>
      <c r="BU58">
        <v>1.143551870866901</v>
      </c>
      <c r="BV58">
        <v>0.7603640382312733</v>
      </c>
      <c r="BW58">
        <v>0.28407522597893831</v>
      </c>
      <c r="BX58">
        <v>0.15178075701959409</v>
      </c>
      <c r="BY58">
        <v>0.41731587835522532</v>
      </c>
      <c r="BZ58">
        <v>0.35655263898010497</v>
      </c>
      <c r="CA58">
        <v>0.16053064577158691</v>
      </c>
      <c r="CB58">
        <v>0.26738545807666009</v>
      </c>
      <c r="CC58">
        <v>0.40619822758228002</v>
      </c>
    </row>
    <row r="59" spans="1:81" x14ac:dyDescent="0.35">
      <c r="A59" t="s">
        <v>30</v>
      </c>
      <c r="B59">
        <v>0.38814750579891311</v>
      </c>
      <c r="C59">
        <v>0.26747278184256229</v>
      </c>
      <c r="D59">
        <v>0.2347208673572336</v>
      </c>
      <c r="E59">
        <v>0.52357813584046564</v>
      </c>
      <c r="F59">
        <v>0.63664496346099197</v>
      </c>
      <c r="G59">
        <v>0.76649810349569691</v>
      </c>
      <c r="H59">
        <v>0.41232358886808251</v>
      </c>
      <c r="I59">
        <v>9.0015438970192208E-2</v>
      </c>
      <c r="J59">
        <v>0.26970435225819422</v>
      </c>
      <c r="K59">
        <v>0.35158091474831982</v>
      </c>
      <c r="L59">
        <v>0.7153697017452848</v>
      </c>
      <c r="M59">
        <v>0.85456229532123351</v>
      </c>
      <c r="N59">
        <v>0.63907226725784216</v>
      </c>
      <c r="O59">
        <v>0.73536382892979246</v>
      </c>
      <c r="P59">
        <v>0.83066400104844129</v>
      </c>
      <c r="Q59">
        <v>1.0320072309865631</v>
      </c>
      <c r="R59">
        <v>0.95559567471153994</v>
      </c>
      <c r="S59">
        <v>1.653199199609648</v>
      </c>
      <c r="T59">
        <v>2.110751053273042</v>
      </c>
      <c r="U59">
        <v>1.9649912156115199</v>
      </c>
      <c r="V59">
        <v>1.799383234398467</v>
      </c>
      <c r="W59">
        <v>1.233438382489477</v>
      </c>
      <c r="X59">
        <v>0.86380439004961918</v>
      </c>
      <c r="Y59">
        <v>0.89203715595723276</v>
      </c>
      <c r="Z59">
        <v>0.96195291250887194</v>
      </c>
      <c r="AA59">
        <v>0.69346952950566521</v>
      </c>
      <c r="AB59">
        <v>0.77659631841735677</v>
      </c>
      <c r="AC59">
        <v>0.4122700985229521</v>
      </c>
      <c r="AD59">
        <v>-3.07226649567903E-2</v>
      </c>
      <c r="AE59">
        <v>-9.3284448418400598E-2</v>
      </c>
      <c r="AF59">
        <v>-0.29733009233829338</v>
      </c>
      <c r="AG59">
        <v>-0.32217304188552648</v>
      </c>
      <c r="AH59">
        <v>-0.41484072743364181</v>
      </c>
      <c r="AI59">
        <v>-0.44838426452047181</v>
      </c>
      <c r="AJ59">
        <v>-0.36172902170892662</v>
      </c>
      <c r="AK59">
        <v>-0.68832657931753205</v>
      </c>
      <c r="AL59">
        <v>-0.79140081227582271</v>
      </c>
      <c r="AM59">
        <v>-0.94819875961273747</v>
      </c>
      <c r="AN59">
        <v>-0.87132117515676633</v>
      </c>
      <c r="AO59">
        <v>-0.43514026776929993</v>
      </c>
      <c r="AP59">
        <v>-0.17954250986116119</v>
      </c>
      <c r="AQ59">
        <v>-0.17102042172679269</v>
      </c>
      <c r="AR59">
        <v>-0.54982835709136524</v>
      </c>
      <c r="AS59">
        <v>-9.4589706536567078E-2</v>
      </c>
      <c r="AT59">
        <v>-0.26977220469793167</v>
      </c>
      <c r="AU59">
        <v>0.21754026519190731</v>
      </c>
      <c r="AV59">
        <v>-5.0292667157197544E-3</v>
      </c>
      <c r="AW59">
        <v>0.4196896049512468</v>
      </c>
      <c r="AX59">
        <v>0.35604144573316698</v>
      </c>
      <c r="AY59">
        <v>-0.1099262646952406</v>
      </c>
      <c r="AZ59">
        <v>-0.2174877832436167</v>
      </c>
      <c r="BA59">
        <v>0.27483985247005488</v>
      </c>
      <c r="BB59">
        <v>0.31678535616606118</v>
      </c>
      <c r="BC59">
        <v>0.2458022233564123</v>
      </c>
      <c r="BD59">
        <v>-6.7116187409850134E-2</v>
      </c>
      <c r="BE59">
        <v>-0.45108748484153233</v>
      </c>
      <c r="BF59">
        <v>-0.60509184251124637</v>
      </c>
      <c r="BG59">
        <v>-0.44390879365110147</v>
      </c>
      <c r="BH59">
        <v>-0.37478261849450029</v>
      </c>
      <c r="BI59">
        <v>-0.64397773910424128</v>
      </c>
      <c r="BJ59">
        <v>-0.61013693444959449</v>
      </c>
      <c r="BK59">
        <v>-0.63216145182426475</v>
      </c>
      <c r="BL59">
        <v>-0.4443063209261755</v>
      </c>
      <c r="BM59">
        <v>-0.31755158878264372</v>
      </c>
      <c r="BN59">
        <v>0.28044000107921202</v>
      </c>
      <c r="BO59">
        <v>0.49198088739624901</v>
      </c>
      <c r="BP59">
        <v>0.5493993833058376</v>
      </c>
      <c r="BQ59">
        <v>0.80248886535287856</v>
      </c>
      <c r="BR59">
        <v>0.57228238109748542</v>
      </c>
      <c r="BS59">
        <v>0.73902385737079457</v>
      </c>
      <c r="BT59">
        <v>0.6572996547988128</v>
      </c>
      <c r="BU59">
        <v>1.451531961177998</v>
      </c>
      <c r="BV59">
        <v>1.0032313917305851</v>
      </c>
      <c r="BW59">
        <v>0.68947555444535724</v>
      </c>
      <c r="BX59">
        <v>0.81194468389350927</v>
      </c>
      <c r="BY59">
        <v>1.1659344600986901</v>
      </c>
      <c r="BZ59">
        <v>1.108430147769339</v>
      </c>
      <c r="CA59">
        <v>0.57517021719411543</v>
      </c>
      <c r="CB59">
        <v>0.74446064016522628</v>
      </c>
      <c r="CC59">
        <v>0.84410955832720747</v>
      </c>
    </row>
    <row r="60" spans="1:81" x14ac:dyDescent="0.35">
      <c r="A60" t="s">
        <v>31</v>
      </c>
      <c r="B60">
        <v>-2.4115655349365319</v>
      </c>
      <c r="C60">
        <v>-1.925067833293316</v>
      </c>
      <c r="D60">
        <v>-1.388138251297192</v>
      </c>
      <c r="E60">
        <v>-2.3983087828603611</v>
      </c>
      <c r="F60">
        <v>-2.6580276134366838</v>
      </c>
      <c r="G60">
        <v>-1.830966231740585</v>
      </c>
      <c r="H60">
        <v>-0.30066384534134311</v>
      </c>
      <c r="I60">
        <v>0.53242620107761185</v>
      </c>
      <c r="J60">
        <v>-0.11544090805435391</v>
      </c>
      <c r="K60">
        <v>-1.396720470664454</v>
      </c>
      <c r="L60">
        <v>-2.233984805069603</v>
      </c>
      <c r="M60">
        <v>-2.5320777858026009</v>
      </c>
      <c r="N60">
        <v>-2.0878431639146382</v>
      </c>
      <c r="O60">
        <v>-0.85250987614924501</v>
      </c>
      <c r="P60">
        <v>1.8668388782515959</v>
      </c>
      <c r="Q60">
        <v>2.8026395835609552</v>
      </c>
      <c r="R60">
        <v>2.9500310788201438</v>
      </c>
      <c r="S60">
        <v>2.900994307449452</v>
      </c>
      <c r="T60">
        <v>2.334856950598259</v>
      </c>
      <c r="U60">
        <v>1.485758781112221</v>
      </c>
      <c r="V60">
        <v>1.76405110831876</v>
      </c>
      <c r="W60">
        <v>1.8533455635620151</v>
      </c>
      <c r="X60">
        <v>1.606083561961154</v>
      </c>
      <c r="Y60">
        <v>1.5455681227315561</v>
      </c>
      <c r="Z60">
        <v>-0.18974902404191479</v>
      </c>
      <c r="AA60">
        <v>-12.420094492146861</v>
      </c>
      <c r="AB60">
        <v>1.3617433697402419</v>
      </c>
      <c r="AC60">
        <v>0.44789369636174747</v>
      </c>
      <c r="AD60">
        <v>0.66707479590057828</v>
      </c>
      <c r="AE60">
        <v>0.6921524448068811</v>
      </c>
      <c r="AF60">
        <v>0.34138971583512823</v>
      </c>
      <c r="AG60">
        <v>-0.91724086908635727</v>
      </c>
      <c r="AH60">
        <v>-1.2560516174306999</v>
      </c>
      <c r="AI60">
        <v>-1.7342063927572871</v>
      </c>
      <c r="AJ60">
        <v>-2.517063024956903</v>
      </c>
      <c r="AK60">
        <v>-2.8523409442841219</v>
      </c>
      <c r="AL60">
        <v>-3.0559307952107631</v>
      </c>
      <c r="AM60">
        <v>-2.2600886574088288</v>
      </c>
      <c r="AN60">
        <v>-2.794664568053288</v>
      </c>
      <c r="AO60">
        <v>-1.5489722453085291</v>
      </c>
      <c r="AP60">
        <v>-0.96598356356666615</v>
      </c>
      <c r="AQ60">
        <v>-1.7220680016167</v>
      </c>
      <c r="AR60">
        <v>-3.7499553936526939</v>
      </c>
      <c r="AS60">
        <v>-3.5534070944358662</v>
      </c>
      <c r="AT60">
        <v>-3.775179399673708</v>
      </c>
      <c r="AU60">
        <v>-3.2916382781878069</v>
      </c>
      <c r="AV60">
        <v>-11.0064564923074</v>
      </c>
      <c r="AW60">
        <v>-4.7157083490212397</v>
      </c>
      <c r="AX60">
        <v>-4.1240472097879879</v>
      </c>
      <c r="AY60">
        <v>-5.5164606044386097</v>
      </c>
      <c r="AZ60">
        <v>-2.613147705443756</v>
      </c>
      <c r="BA60">
        <v>-1.364431735462422</v>
      </c>
      <c r="BB60">
        <v>-0.71734685087550176</v>
      </c>
      <c r="BC60">
        <v>-0.73611731969410854</v>
      </c>
      <c r="BD60">
        <v>-1.7092072279753741</v>
      </c>
      <c r="BE60">
        <v>-1.32167713925659</v>
      </c>
      <c r="BF60">
        <v>-1.6336507853422759</v>
      </c>
      <c r="BG60">
        <v>-1.698070634037532</v>
      </c>
      <c r="BH60">
        <v>-1.369230095423108</v>
      </c>
      <c r="BI60">
        <v>-1.396532132731106</v>
      </c>
      <c r="BJ60">
        <v>-1.4528219152995641</v>
      </c>
      <c r="BK60">
        <v>-0.52069732748770636</v>
      </c>
      <c r="BL60">
        <v>-0.50989008563823612</v>
      </c>
      <c r="BM60">
        <v>-0.21748690651727751</v>
      </c>
      <c r="BN60">
        <v>-0.40627198430266698</v>
      </c>
      <c r="BO60">
        <v>-0.32166589548605062</v>
      </c>
      <c r="BP60">
        <v>-0.26176945116062228</v>
      </c>
      <c r="BQ60">
        <v>-0.46462670301123171</v>
      </c>
      <c r="BR60">
        <v>-0.82327363194454395</v>
      </c>
      <c r="BS60">
        <v>-0.66662769466089189</v>
      </c>
      <c r="BT60">
        <v>-0.57158612722314872</v>
      </c>
      <c r="BU60">
        <v>0.56020399411395561</v>
      </c>
      <c r="BV60">
        <v>0.44021489437537947</v>
      </c>
      <c r="BW60">
        <v>0.56148115468605786</v>
      </c>
      <c r="BX60">
        <v>0.44007291127527648</v>
      </c>
      <c r="BY60">
        <v>0.50463724677118249</v>
      </c>
      <c r="BZ60">
        <v>1.2590270352203139</v>
      </c>
      <c r="CA60">
        <v>1.4621636923618999</v>
      </c>
      <c r="CB60">
        <v>1.5308707652763209</v>
      </c>
      <c r="CC60">
        <v>1.0601922325375479</v>
      </c>
    </row>
    <row r="61" spans="1:81" x14ac:dyDescent="0.35">
      <c r="A61" t="s">
        <v>32</v>
      </c>
      <c r="B61">
        <v>0.56502715533846426</v>
      </c>
      <c r="C61">
        <v>0.34199204042154041</v>
      </c>
      <c r="D61">
        <v>0.40063259835086279</v>
      </c>
      <c r="E61">
        <v>0.2368635514268691</v>
      </c>
      <c r="F61">
        <v>0.40086720697020772</v>
      </c>
      <c r="G61">
        <v>0.34651121415461772</v>
      </c>
      <c r="H61">
        <v>0.27990650596628319</v>
      </c>
      <c r="I61">
        <v>-0.14307041499675821</v>
      </c>
      <c r="J61">
        <v>0.27044801875775909</v>
      </c>
      <c r="K61">
        <v>0.31970111247524791</v>
      </c>
      <c r="L61">
        <v>0.1810291389959674</v>
      </c>
      <c r="M61">
        <v>0.3336769642782656</v>
      </c>
      <c r="N61">
        <v>0.1528678204778422</v>
      </c>
      <c r="O61">
        <v>6.8655032205200847E-2</v>
      </c>
      <c r="P61">
        <v>0.37505970821664658</v>
      </c>
      <c r="Q61">
        <v>0.23883538853099759</v>
      </c>
      <c r="R61">
        <v>0.2155343552825407</v>
      </c>
      <c r="S61">
        <v>0.36037363838473108</v>
      </c>
      <c r="T61">
        <v>0.87132279016354486</v>
      </c>
      <c r="U61">
        <v>0.90818164883462726</v>
      </c>
      <c r="V61">
        <v>1.0363738439566039</v>
      </c>
      <c r="W61">
        <v>0.88889013851323961</v>
      </c>
      <c r="X61">
        <v>0.85325370444830306</v>
      </c>
      <c r="Y61">
        <v>0.76147021255790626</v>
      </c>
      <c r="Z61">
        <v>0.34103592537318511</v>
      </c>
      <c r="AA61">
        <v>0.33157083964082762</v>
      </c>
      <c r="AB61">
        <v>0.35495366832541009</v>
      </c>
      <c r="AC61">
        <v>0.24986692181618439</v>
      </c>
      <c r="AD61">
        <v>0.11387828514646391</v>
      </c>
      <c r="AE61">
        <v>0.1554944951940572</v>
      </c>
      <c r="AF61">
        <v>0.12012877864280549</v>
      </c>
      <c r="AG61">
        <v>6.6307602382816341E-2</v>
      </c>
      <c r="AH61">
        <v>0.24390386943822059</v>
      </c>
      <c r="AI61">
        <v>0.31261673432623122</v>
      </c>
      <c r="AJ61">
        <v>0.33330535275567508</v>
      </c>
      <c r="AK61">
        <v>0.21457924045714499</v>
      </c>
      <c r="AL61">
        <v>-0.24991627864751831</v>
      </c>
      <c r="AM61">
        <v>-0.2288673892653782</v>
      </c>
      <c r="AN61">
        <v>-0.26143517447353859</v>
      </c>
      <c r="AO61">
        <v>-0.23917980099531241</v>
      </c>
      <c r="AP61">
        <v>-0.1561150954348193</v>
      </c>
      <c r="AQ61">
        <v>-0.110239701688503</v>
      </c>
      <c r="AR61">
        <v>2.0399055643364281E-2</v>
      </c>
      <c r="AS61">
        <v>-7.1754842398476558E-3</v>
      </c>
      <c r="AT61">
        <v>-1.1721471390980531E-3</v>
      </c>
      <c r="AU61">
        <v>-0.1134306763054098</v>
      </c>
      <c r="AV61">
        <v>-0.35436586353103988</v>
      </c>
      <c r="AW61">
        <v>0.12599372038877671</v>
      </c>
      <c r="AX61">
        <v>-0.29300248071441809</v>
      </c>
      <c r="AY61">
        <v>-0.45813183058330731</v>
      </c>
      <c r="AZ61">
        <v>7.9606007002331627E-2</v>
      </c>
      <c r="BA61">
        <v>0.34738493088606748</v>
      </c>
      <c r="BB61">
        <v>0.34204699098099739</v>
      </c>
      <c r="BC61">
        <v>0.31426747603025118</v>
      </c>
      <c r="BD61">
        <v>0.18686178519733029</v>
      </c>
      <c r="BE61">
        <v>0.1805695034862515</v>
      </c>
      <c r="BF61">
        <v>0.28021831217898308</v>
      </c>
      <c r="BG61">
        <v>0.48076114429039118</v>
      </c>
      <c r="BH61">
        <v>0.31496075134805512</v>
      </c>
      <c r="BI61">
        <v>-2.317893036342026E-2</v>
      </c>
      <c r="BJ61">
        <v>-0.25085866679637792</v>
      </c>
      <c r="BK61">
        <v>-2.705321692972457E-2</v>
      </c>
      <c r="BL61">
        <v>-5.1557950882397119E-2</v>
      </c>
      <c r="BM61">
        <v>4.6935155842799427E-2</v>
      </c>
      <c r="BN61">
        <v>-7.8838868890833511E-2</v>
      </c>
      <c r="BO61">
        <v>-0.1440813783076452</v>
      </c>
      <c r="BP61">
        <v>-9.5991149643794335E-2</v>
      </c>
      <c r="BQ61">
        <v>-0.13568882991838241</v>
      </c>
      <c r="BR61">
        <v>0.29717056664644131</v>
      </c>
      <c r="BS61">
        <v>0.5887133673280821</v>
      </c>
      <c r="BT61">
        <v>0.66691098858540587</v>
      </c>
      <c r="BU61">
        <v>0.83227782831676478</v>
      </c>
      <c r="BV61">
        <v>0.25361585046056367</v>
      </c>
      <c r="BW61">
        <v>0.45468182299286691</v>
      </c>
      <c r="BX61">
        <v>0.60737728482435893</v>
      </c>
      <c r="BY61">
        <v>0.64910294188634254</v>
      </c>
      <c r="BZ61">
        <v>0.71842068777994317</v>
      </c>
      <c r="CA61">
        <v>0.72621559499010435</v>
      </c>
      <c r="CB61">
        <v>0.92298615133907713</v>
      </c>
      <c r="CC61">
        <v>1.0707589535838631</v>
      </c>
    </row>
    <row r="62" spans="1:81" x14ac:dyDescent="0.35">
      <c r="A62" t="s">
        <v>33</v>
      </c>
      <c r="B62">
        <v>139.1654445935651</v>
      </c>
      <c r="C62">
        <v>139.21729549909421</v>
      </c>
      <c r="D62">
        <v>139.24072068194039</v>
      </c>
      <c r="E62">
        <v>139.13757292462819</v>
      </c>
      <c r="F62">
        <v>141.3101002756292</v>
      </c>
      <c r="G62">
        <v>143.14429177380589</v>
      </c>
      <c r="H62">
        <v>144.21043984374549</v>
      </c>
      <c r="I62">
        <v>143.40122392071399</v>
      </c>
      <c r="J62">
        <v>143.09810941487439</v>
      </c>
      <c r="K62">
        <v>140.9689523220334</v>
      </c>
      <c r="L62">
        <v>139.1905932326344</v>
      </c>
      <c r="M62">
        <v>139.5263699248942</v>
      </c>
      <c r="N62">
        <v>138.87995748849781</v>
      </c>
      <c r="O62">
        <v>139.15700695605531</v>
      </c>
      <c r="P62">
        <v>142.05716385303049</v>
      </c>
      <c r="Q62">
        <v>143.5665147255601</v>
      </c>
      <c r="R62">
        <v>143.4871585208713</v>
      </c>
      <c r="S62">
        <v>144.0415555321093</v>
      </c>
      <c r="T62">
        <v>142.77456291325481</v>
      </c>
      <c r="U62">
        <v>143.18412911690169</v>
      </c>
      <c r="V62">
        <v>140.8724764535215</v>
      </c>
      <c r="W62">
        <v>140.34742868497551</v>
      </c>
      <c r="X62">
        <v>138.6578474677784</v>
      </c>
      <c r="Y62">
        <v>138.12182767266151</v>
      </c>
      <c r="Z62">
        <v>135.22713783460549</v>
      </c>
      <c r="AA62">
        <v>123.5046353863337</v>
      </c>
      <c r="AB62">
        <v>137.65295022761481</v>
      </c>
      <c r="AC62">
        <v>137.36439580825751</v>
      </c>
      <c r="AD62">
        <v>136.47221196990699</v>
      </c>
      <c r="AE62">
        <v>137.13749430016591</v>
      </c>
      <c r="AF62">
        <v>137.21042062364279</v>
      </c>
      <c r="AG62">
        <v>136.34080787147099</v>
      </c>
      <c r="AH62">
        <v>135.7629601198588</v>
      </c>
      <c r="AI62">
        <v>137.00266837092559</v>
      </c>
      <c r="AJ62">
        <v>137.3364226978087</v>
      </c>
      <c r="AK62">
        <v>137.20747068125689</v>
      </c>
      <c r="AL62">
        <v>137.96214581339461</v>
      </c>
      <c r="AM62">
        <v>137.49326620872569</v>
      </c>
      <c r="AN62">
        <v>136.92647888930739</v>
      </c>
      <c r="AO62">
        <v>139.2175192314798</v>
      </c>
      <c r="AP62">
        <v>140.85422000325511</v>
      </c>
      <c r="AQ62">
        <v>140.23462334799621</v>
      </c>
      <c r="AR62">
        <v>137.88723919437751</v>
      </c>
      <c r="AS62">
        <v>138.33403187202589</v>
      </c>
      <c r="AT62">
        <v>137.66233701575101</v>
      </c>
      <c r="AU62">
        <v>138.09952427979599</v>
      </c>
      <c r="AV62">
        <v>131.2601462877092</v>
      </c>
      <c r="AW62">
        <v>138.84323706103211</v>
      </c>
      <c r="AX62">
        <v>137.67951064072051</v>
      </c>
      <c r="AY62">
        <v>133.33145143446299</v>
      </c>
      <c r="AZ62">
        <v>138.79943961471929</v>
      </c>
      <c r="BA62">
        <v>141.7918065726484</v>
      </c>
      <c r="BB62">
        <v>142.79757455140091</v>
      </c>
      <c r="BC62">
        <v>142.28102004577201</v>
      </c>
      <c r="BD62">
        <v>140.1324326840172</v>
      </c>
      <c r="BE62">
        <v>139.96022464913349</v>
      </c>
      <c r="BF62">
        <v>140.0197928237809</v>
      </c>
      <c r="BG62">
        <v>140.30717202182339</v>
      </c>
      <c r="BH62">
        <v>139.39371496627399</v>
      </c>
      <c r="BI62">
        <v>138.40395686297919</v>
      </c>
      <c r="BJ62">
        <v>138.63086375697219</v>
      </c>
      <c r="BK62">
        <v>138.92307902190521</v>
      </c>
      <c r="BL62">
        <v>139.10153433546881</v>
      </c>
      <c r="BM62">
        <v>140.79844894093881</v>
      </c>
      <c r="BN62">
        <v>141.5255439210645</v>
      </c>
      <c r="BO62">
        <v>142.02428519962351</v>
      </c>
      <c r="BP62">
        <v>142.1896449248438</v>
      </c>
      <c r="BQ62">
        <v>140.91173024319161</v>
      </c>
      <c r="BR62">
        <v>140.94018528933901</v>
      </c>
      <c r="BS62">
        <v>142.41535527729309</v>
      </c>
      <c r="BT62">
        <v>142.7975025289729</v>
      </c>
      <c r="BU62">
        <v>145.85064349745019</v>
      </c>
      <c r="BV62">
        <v>144.20403443733119</v>
      </c>
      <c r="BW62">
        <v>144.06600126440691</v>
      </c>
      <c r="BX62">
        <v>144.45733579765809</v>
      </c>
      <c r="BY62">
        <v>145.6498192759357</v>
      </c>
      <c r="BZ62">
        <v>146.42463910268981</v>
      </c>
      <c r="CA62">
        <v>145.86956359625279</v>
      </c>
      <c r="CB62">
        <v>146.76278679534909</v>
      </c>
      <c r="CC62">
        <v>147.3112030382236</v>
      </c>
    </row>
    <row r="63" spans="1:81" x14ac:dyDescent="0.35">
      <c r="A63" t="s">
        <v>34</v>
      </c>
      <c r="B63">
        <v>61247888.770000003</v>
      </c>
      <c r="C63">
        <v>73433867.770000011</v>
      </c>
      <c r="D63">
        <v>106159466.88</v>
      </c>
      <c r="E63">
        <v>40054125.189999998</v>
      </c>
      <c r="F63">
        <v>76188894.329999998</v>
      </c>
      <c r="G63">
        <v>94371348.400000006</v>
      </c>
      <c r="H63">
        <v>101395919.08</v>
      </c>
      <c r="I63">
        <v>88270746.200000003</v>
      </c>
      <c r="J63">
        <v>83746206.75</v>
      </c>
      <c r="K63">
        <v>79253875.710000008</v>
      </c>
      <c r="L63">
        <v>81967845.810000002</v>
      </c>
      <c r="M63">
        <v>69929274.429999992</v>
      </c>
      <c r="N63">
        <v>82609966.770000011</v>
      </c>
      <c r="O63">
        <v>93974710.349999994</v>
      </c>
      <c r="P63">
        <v>191817785.53</v>
      </c>
      <c r="Q63">
        <v>152001901.03999999</v>
      </c>
      <c r="R63">
        <v>110542142.73</v>
      </c>
      <c r="S63">
        <v>110426702.05</v>
      </c>
      <c r="T63">
        <v>114587659.02</v>
      </c>
      <c r="U63">
        <v>115440840.14</v>
      </c>
      <c r="V63">
        <v>110253514.72</v>
      </c>
      <c r="W63">
        <v>100958160.70999999</v>
      </c>
      <c r="X63">
        <v>103737557.01000001</v>
      </c>
      <c r="Y63">
        <v>82749830.219999999</v>
      </c>
      <c r="Z63">
        <v>53761867.789999999</v>
      </c>
      <c r="AA63">
        <v>10422138.800000001</v>
      </c>
      <c r="AB63">
        <v>157394604.99000001</v>
      </c>
      <c r="AC63">
        <v>117120010.03</v>
      </c>
      <c r="AD63">
        <v>129601163.58</v>
      </c>
      <c r="AE63">
        <v>108783918.88</v>
      </c>
      <c r="AF63">
        <v>99030011.729999989</v>
      </c>
      <c r="AG63">
        <v>102201242.42</v>
      </c>
      <c r="AH63">
        <v>92785553.870000005</v>
      </c>
      <c r="AI63">
        <v>81311943.659999996</v>
      </c>
      <c r="AJ63">
        <v>74181079.539999992</v>
      </c>
      <c r="AK63">
        <v>67215102.699999988</v>
      </c>
      <c r="AL63">
        <v>70885545.659999996</v>
      </c>
      <c r="AM63">
        <v>94656115.949999988</v>
      </c>
      <c r="AN63">
        <v>94335524.969999999</v>
      </c>
      <c r="AO63">
        <v>81637048.609999999</v>
      </c>
      <c r="AP63">
        <v>93701236.810000002</v>
      </c>
      <c r="AQ63">
        <v>82409169.530000001</v>
      </c>
      <c r="AR63">
        <v>46987738.880000003</v>
      </c>
      <c r="AS63">
        <v>50401459.530000001</v>
      </c>
      <c r="AT63">
        <v>48810352.359999999</v>
      </c>
      <c r="AU63">
        <v>50712945.380000003</v>
      </c>
      <c r="AV63">
        <v>8397153.5899999999</v>
      </c>
      <c r="AW63">
        <v>65896528.530000001</v>
      </c>
      <c r="AX63">
        <v>82432378.879999995</v>
      </c>
      <c r="AY63">
        <v>144021456.41999999</v>
      </c>
      <c r="AZ63">
        <v>163294933.53999999</v>
      </c>
      <c r="BA63">
        <v>112378572.81</v>
      </c>
      <c r="BB63">
        <v>110015688.43000001</v>
      </c>
      <c r="BC63">
        <v>103245767.06</v>
      </c>
      <c r="BD63">
        <v>108487142.37</v>
      </c>
      <c r="BE63">
        <v>104304187.29000001</v>
      </c>
      <c r="BF63">
        <v>87567800.229999989</v>
      </c>
      <c r="BG63">
        <v>90323262.840000004</v>
      </c>
      <c r="BH63">
        <v>98957964.159999996</v>
      </c>
      <c r="BI63">
        <v>98366459.189999998</v>
      </c>
      <c r="BJ63">
        <v>97266973.449999988</v>
      </c>
      <c r="BK63">
        <v>140209841.40000001</v>
      </c>
      <c r="BL63">
        <v>203309615.94</v>
      </c>
      <c r="BM63">
        <v>136829594.90000001</v>
      </c>
      <c r="BN63">
        <v>129792336.12</v>
      </c>
      <c r="BO63">
        <v>118326828.31</v>
      </c>
      <c r="BP63">
        <v>119013396.65000001</v>
      </c>
      <c r="BQ63">
        <v>123393314.67</v>
      </c>
      <c r="BR63">
        <v>136201560.53</v>
      </c>
      <c r="BS63">
        <v>120206677.98999999</v>
      </c>
      <c r="BT63">
        <v>104007862.43000001</v>
      </c>
      <c r="BU63">
        <v>116955201.51000001</v>
      </c>
      <c r="BV63">
        <v>134109345.7</v>
      </c>
      <c r="BW63">
        <v>168225192.22999999</v>
      </c>
      <c r="BX63">
        <v>257311736.72999999</v>
      </c>
      <c r="BY63">
        <v>157463836.25</v>
      </c>
      <c r="BZ63">
        <v>158650736.91999999</v>
      </c>
      <c r="CA63">
        <v>168080497.08000001</v>
      </c>
      <c r="CB63">
        <v>164648763.87</v>
      </c>
      <c r="CC63">
        <v>164520480.65000001</v>
      </c>
    </row>
    <row r="64" spans="1:81" x14ac:dyDescent="0.35">
      <c r="A64" t="s">
        <v>35</v>
      </c>
      <c r="B64">
        <v>1.751500458279277</v>
      </c>
      <c r="C64">
        <v>1.7163314977932631</v>
      </c>
      <c r="D64">
        <v>1.679120804793768</v>
      </c>
      <c r="E64">
        <v>1.750523035332614</v>
      </c>
      <c r="F64">
        <v>1.7698730228570569</v>
      </c>
      <c r="G64">
        <v>1.7096912667328381</v>
      </c>
      <c r="H64">
        <v>1.6084911670984301</v>
      </c>
      <c r="I64">
        <v>1.558277410630668</v>
      </c>
      <c r="J64">
        <v>1.59704924291921</v>
      </c>
      <c r="K64">
        <v>1.679702882991184</v>
      </c>
      <c r="L64">
        <v>1.7384973423661729</v>
      </c>
      <c r="M64">
        <v>1.760436167889643</v>
      </c>
      <c r="N64">
        <v>1.727940256718705</v>
      </c>
      <c r="O64">
        <v>1.6435738780039131</v>
      </c>
      <c r="P64">
        <v>1.484068477875546</v>
      </c>
      <c r="Q64">
        <v>1.4361071216212811</v>
      </c>
      <c r="R64">
        <v>1.428834208314371</v>
      </c>
      <c r="S64">
        <v>1.4312456969092939</v>
      </c>
      <c r="T64">
        <v>1.4596879061907151</v>
      </c>
      <c r="U64">
        <v>1.5045300206885179</v>
      </c>
      <c r="V64">
        <v>1.489532502899922</v>
      </c>
      <c r="W64">
        <v>1.4847834729094971</v>
      </c>
      <c r="X64">
        <v>1.4980086697026429</v>
      </c>
      <c r="Y64">
        <v>1.501281397844533</v>
      </c>
      <c r="Z64">
        <v>1.601619928346375</v>
      </c>
      <c r="AA64">
        <v>3.0279137419228741</v>
      </c>
      <c r="AB64">
        <v>1.511311082358203</v>
      </c>
      <c r="AC64">
        <v>1.563229157896241</v>
      </c>
      <c r="AD64">
        <v>1.5504544181212421</v>
      </c>
      <c r="AE64">
        <v>1.5490060923530651</v>
      </c>
      <c r="AF64">
        <v>1.5695129339158289</v>
      </c>
      <c r="AG64">
        <v>1.647789586411927</v>
      </c>
      <c r="AH64">
        <v>1.670212810367353</v>
      </c>
      <c r="AI64">
        <v>1.7029168239769781</v>
      </c>
      <c r="AJ64">
        <v>1.7593178884731571</v>
      </c>
      <c r="AK64">
        <v>1.7846321518985251</v>
      </c>
      <c r="AL64">
        <v>1.800362272479648</v>
      </c>
      <c r="AM64">
        <v>1.740396645057432</v>
      </c>
      <c r="AN64">
        <v>1.780225699769691</v>
      </c>
      <c r="AO64">
        <v>1.6900966669935249</v>
      </c>
      <c r="AP64">
        <v>1.6509783327412519</v>
      </c>
      <c r="AQ64">
        <v>1.7020707672405211</v>
      </c>
      <c r="AR64">
        <v>1.856133643469716</v>
      </c>
      <c r="AS64">
        <v>1.839991483143357</v>
      </c>
      <c r="AT64">
        <v>1.858225775530709</v>
      </c>
      <c r="AU64">
        <v>1.8189238594445201</v>
      </c>
      <c r="AV64">
        <v>2.745332120834278</v>
      </c>
      <c r="AW64">
        <v>1.939749420551643</v>
      </c>
      <c r="AX64">
        <v>1.8876529690631381</v>
      </c>
      <c r="AY64">
        <v>2.0150137373292032</v>
      </c>
      <c r="AZ64">
        <v>1.766498792538483</v>
      </c>
      <c r="BA64">
        <v>1.6775150345534751</v>
      </c>
      <c r="BB64">
        <v>1.634840348481398</v>
      </c>
      <c r="BC64">
        <v>1.6360476443804459</v>
      </c>
      <c r="BD64">
        <v>1.7011752765390471</v>
      </c>
      <c r="BE64">
        <v>1.674626785931721</v>
      </c>
      <c r="BF64">
        <v>1.6959332811038981</v>
      </c>
      <c r="BG64">
        <v>1.7004006007060699</v>
      </c>
      <c r="BH64">
        <v>1.677839805409568</v>
      </c>
      <c r="BI64">
        <v>1.6796901048776389</v>
      </c>
      <c r="BJ64">
        <v>1.683517856709825</v>
      </c>
      <c r="BK64">
        <v>1.62229836319813</v>
      </c>
      <c r="BL64">
        <v>1.621614671075259</v>
      </c>
      <c r="BM64">
        <v>1.6033327957892971</v>
      </c>
      <c r="BN64">
        <v>1.6150886724624081</v>
      </c>
      <c r="BO64">
        <v>1.6097989007783149</v>
      </c>
      <c r="BP64">
        <v>1.6060749341246241</v>
      </c>
      <c r="BQ64">
        <v>1.61875745054075</v>
      </c>
      <c r="BR64">
        <v>1.6416768846681229</v>
      </c>
      <c r="BS64">
        <v>1.6315870423917851</v>
      </c>
      <c r="BT64">
        <v>1.625525475127648</v>
      </c>
      <c r="BU64">
        <v>1.5566570832311919</v>
      </c>
      <c r="BV64">
        <v>1.563680526611273</v>
      </c>
      <c r="BW64">
        <v>1.556582665237805</v>
      </c>
      <c r="BX64">
        <v>1.563688874993781</v>
      </c>
      <c r="BY64">
        <v>1.5599017678422169</v>
      </c>
      <c r="BZ64">
        <v>1.5169739814504839</v>
      </c>
      <c r="CA64">
        <v>1.505815489500391</v>
      </c>
      <c r="CB64">
        <v>1.5020784032612571</v>
      </c>
      <c r="CC64">
        <v>1.5280574971710881</v>
      </c>
    </row>
    <row r="65" spans="1:81" x14ac:dyDescent="0.35">
      <c r="A65" t="s">
        <v>36</v>
      </c>
      <c r="B65">
        <v>0.24475331927185709</v>
      </c>
      <c r="C65">
        <v>0.2468243596246571</v>
      </c>
      <c r="D65">
        <v>0.24627984015817059</v>
      </c>
      <c r="E65">
        <v>0.2478005527367505</v>
      </c>
      <c r="F65">
        <v>0.24627766164956241</v>
      </c>
      <c r="G65">
        <v>0.24678239586856429</v>
      </c>
      <c r="H65">
        <v>0.24740086815888451</v>
      </c>
      <c r="I65">
        <v>0.25132851099639852</v>
      </c>
      <c r="J65">
        <v>0.24748869696867801</v>
      </c>
      <c r="K65">
        <v>0.24703134681272981</v>
      </c>
      <c r="L65">
        <v>0.24831901513789459</v>
      </c>
      <c r="M65">
        <v>0.24690157104598751</v>
      </c>
      <c r="N65">
        <v>0.24858051309556289</v>
      </c>
      <c r="O65">
        <v>0.24936248898666599</v>
      </c>
      <c r="P65">
        <v>0.24651730270941691</v>
      </c>
      <c r="Q65">
        <v>0.24778224282078359</v>
      </c>
      <c r="R65">
        <v>0.24799860955809069</v>
      </c>
      <c r="S65">
        <v>0.2466536733578561</v>
      </c>
      <c r="T65">
        <v>0.24190914551990991</v>
      </c>
      <c r="U65">
        <v>0.24156688468939269</v>
      </c>
      <c r="V65">
        <v>0.24037652859183151</v>
      </c>
      <c r="W65">
        <v>0.24174602014237709</v>
      </c>
      <c r="X65">
        <v>0.24207692988726581</v>
      </c>
      <c r="Y65">
        <v>0.24292920516910521</v>
      </c>
      <c r="Z65">
        <v>0.2468332378358204</v>
      </c>
      <c r="AA65">
        <v>0.24692112791762089</v>
      </c>
      <c r="AB65">
        <v>0.24670400165126399</v>
      </c>
      <c r="AC65">
        <v>0.247679807154564</v>
      </c>
      <c r="AD65">
        <v>0.24894255878078281</v>
      </c>
      <c r="AE65">
        <v>0.24855612254462661</v>
      </c>
      <c r="AF65">
        <v>0.24888451848403109</v>
      </c>
      <c r="AG65">
        <v>0.24938428654930239</v>
      </c>
      <c r="AH65">
        <v>0.2477351783552165</v>
      </c>
      <c r="AI65">
        <v>0.2470971303241136</v>
      </c>
      <c r="AJ65">
        <v>0.24690502172441159</v>
      </c>
      <c r="AK65">
        <v>0.2480074784814694</v>
      </c>
      <c r="AL65">
        <v>0.25232065115886981</v>
      </c>
      <c r="AM65">
        <v>0.25212519718603571</v>
      </c>
      <c r="AN65">
        <v>0.25242761233439709</v>
      </c>
      <c r="AO65">
        <v>0.25222095529495647</v>
      </c>
      <c r="AP65">
        <v>0.25144964017189481</v>
      </c>
      <c r="AQ65">
        <v>0.25102365437282181</v>
      </c>
      <c r="AR65">
        <v>0.2498105801975973</v>
      </c>
      <c r="AS65">
        <v>0.25006662949651293</v>
      </c>
      <c r="AT65">
        <v>0.25001088422343448</v>
      </c>
      <c r="AU65">
        <v>0.25105328485140738</v>
      </c>
      <c r="AV65">
        <v>0.25329054016135971</v>
      </c>
      <c r="AW65">
        <v>0.24883005831067559</v>
      </c>
      <c r="AX65">
        <v>0.2527207373209196</v>
      </c>
      <c r="AY65">
        <v>0.25425408128398791</v>
      </c>
      <c r="AZ65">
        <v>0.24926080136354981</v>
      </c>
      <c r="BA65">
        <v>0.2467742827846294</v>
      </c>
      <c r="BB65">
        <v>0.24682384936946219</v>
      </c>
      <c r="BC65">
        <v>0.2470818020082905</v>
      </c>
      <c r="BD65">
        <v>0.2482648548517391</v>
      </c>
      <c r="BE65">
        <v>0.24832328318191341</v>
      </c>
      <c r="BF65">
        <v>0.2473979728154809</v>
      </c>
      <c r="BG65">
        <v>0.24553578937444639</v>
      </c>
      <c r="BH65">
        <v>0.24707536445176809</v>
      </c>
      <c r="BI65">
        <v>0.25021523292480319</v>
      </c>
      <c r="BJ65">
        <v>0.25232940190596642</v>
      </c>
      <c r="BK65">
        <v>0.25025120844291893</v>
      </c>
      <c r="BL65">
        <v>0.25047875240105077</v>
      </c>
      <c r="BM65">
        <v>0.24956417355288829</v>
      </c>
      <c r="BN65">
        <v>0.25073207521112922</v>
      </c>
      <c r="BO65">
        <v>0.25133789851285671</v>
      </c>
      <c r="BP65">
        <v>0.25089134638954952</v>
      </c>
      <c r="BQ65">
        <v>0.25125996770638498</v>
      </c>
      <c r="BR65">
        <v>0.2472405590239973</v>
      </c>
      <c r="BS65">
        <v>0.24453337587481069</v>
      </c>
      <c r="BT65">
        <v>0.24380725510599269</v>
      </c>
      <c r="BU65">
        <v>0.24227170587991581</v>
      </c>
      <c r="BV65">
        <v>0.24764499567429479</v>
      </c>
      <c r="BW65">
        <v>0.24577795450078049</v>
      </c>
      <c r="BX65">
        <v>0.2443600680694881</v>
      </c>
      <c r="BY65">
        <v>0.24397261553962679</v>
      </c>
      <c r="BZ65">
        <v>0.2433289507563291</v>
      </c>
      <c r="CA65">
        <v>0.24325656947509189</v>
      </c>
      <c r="CB65">
        <v>0.24142941430899431</v>
      </c>
      <c r="CC65">
        <v>0.24005723828814979</v>
      </c>
    </row>
    <row r="67" spans="1:81" x14ac:dyDescent="0.35">
      <c r="A67" t="s">
        <v>42</v>
      </c>
      <c r="B67" t="s">
        <v>75</v>
      </c>
      <c r="C67" t="s">
        <v>76</v>
      </c>
      <c r="D67" t="s">
        <v>77</v>
      </c>
      <c r="E67" t="s">
        <v>78</v>
      </c>
      <c r="F67" t="s">
        <v>79</v>
      </c>
      <c r="G67" t="s">
        <v>80</v>
      </c>
      <c r="H67" t="s">
        <v>81</v>
      </c>
      <c r="I67" t="s">
        <v>82</v>
      </c>
      <c r="J67" t="s">
        <v>83</v>
      </c>
      <c r="K67" t="s">
        <v>84</v>
      </c>
      <c r="L67" t="s">
        <v>85</v>
      </c>
      <c r="M67" t="s">
        <v>86</v>
      </c>
      <c r="N67" t="s">
        <v>87</v>
      </c>
      <c r="O67" t="s">
        <v>88</v>
      </c>
      <c r="P67" t="s">
        <v>89</v>
      </c>
      <c r="Q67" t="s">
        <v>90</v>
      </c>
      <c r="R67" t="s">
        <v>91</v>
      </c>
      <c r="S67" t="s">
        <v>92</v>
      </c>
      <c r="T67" t="s">
        <v>93</v>
      </c>
      <c r="U67" t="s">
        <v>94</v>
      </c>
      <c r="V67" t="s">
        <v>95</v>
      </c>
      <c r="W67" t="s">
        <v>96</v>
      </c>
      <c r="X67" t="s">
        <v>97</v>
      </c>
      <c r="Y67" t="s">
        <v>98</v>
      </c>
      <c r="Z67" t="s">
        <v>99</v>
      </c>
      <c r="AA67" t="s">
        <v>100</v>
      </c>
      <c r="AB67" t="s">
        <v>101</v>
      </c>
      <c r="AC67" t="s">
        <v>102</v>
      </c>
      <c r="AD67" t="s">
        <v>103</v>
      </c>
      <c r="AE67" t="s">
        <v>104</v>
      </c>
      <c r="AF67" t="s">
        <v>105</v>
      </c>
      <c r="AG67" t="s">
        <v>106</v>
      </c>
      <c r="AH67" t="s">
        <v>107</v>
      </c>
      <c r="AI67" t="s">
        <v>108</v>
      </c>
      <c r="AJ67" t="s">
        <v>109</v>
      </c>
      <c r="AK67" t="s">
        <v>110</v>
      </c>
      <c r="AL67" t="s">
        <v>111</v>
      </c>
      <c r="AM67" t="s">
        <v>112</v>
      </c>
      <c r="AN67" t="s">
        <v>113</v>
      </c>
      <c r="AO67" t="s">
        <v>114</v>
      </c>
      <c r="AP67" t="s">
        <v>115</v>
      </c>
      <c r="AQ67" t="s">
        <v>116</v>
      </c>
      <c r="AR67" t="s">
        <v>117</v>
      </c>
      <c r="AS67" t="s">
        <v>118</v>
      </c>
      <c r="AT67" t="s">
        <v>119</v>
      </c>
      <c r="AU67" t="s">
        <v>120</v>
      </c>
      <c r="AV67" t="s">
        <v>121</v>
      </c>
      <c r="AW67" t="s">
        <v>122</v>
      </c>
      <c r="AX67" t="s">
        <v>123</v>
      </c>
      <c r="AY67" t="s">
        <v>124</v>
      </c>
      <c r="AZ67" t="s">
        <v>125</v>
      </c>
      <c r="BA67" t="s">
        <v>126</v>
      </c>
      <c r="BB67" t="s">
        <v>127</v>
      </c>
      <c r="BC67" t="s">
        <v>46</v>
      </c>
      <c r="BD67" t="s">
        <v>47</v>
      </c>
      <c r="BE67" t="s">
        <v>48</v>
      </c>
      <c r="BF67" t="s">
        <v>49</v>
      </c>
      <c r="BG67" t="s">
        <v>50</v>
      </c>
      <c r="BH67" t="s">
        <v>51</v>
      </c>
      <c r="BI67" t="s">
        <v>52</v>
      </c>
      <c r="BJ67" t="s">
        <v>53</v>
      </c>
      <c r="BK67" t="s">
        <v>54</v>
      </c>
      <c r="BL67" t="s">
        <v>55</v>
      </c>
      <c r="BM67" t="s">
        <v>56</v>
      </c>
      <c r="BN67" t="s">
        <v>57</v>
      </c>
      <c r="BO67" t="s">
        <v>58</v>
      </c>
      <c r="BP67" t="s">
        <v>59</v>
      </c>
      <c r="BQ67" t="s">
        <v>60</v>
      </c>
      <c r="BR67" t="s">
        <v>61</v>
      </c>
      <c r="BS67" t="s">
        <v>62</v>
      </c>
      <c r="BT67" t="s">
        <v>63</v>
      </c>
      <c r="BU67" t="s">
        <v>64</v>
      </c>
      <c r="BV67" t="s">
        <v>65</v>
      </c>
      <c r="BW67" t="s">
        <v>66</v>
      </c>
      <c r="BX67" t="s">
        <v>67</v>
      </c>
      <c r="BY67" t="s">
        <v>68</v>
      </c>
      <c r="BZ67" t="s">
        <v>69</v>
      </c>
      <c r="CA67" t="s">
        <v>70</v>
      </c>
      <c r="CB67" t="s">
        <v>71</v>
      </c>
      <c r="CC67" t="s">
        <v>128</v>
      </c>
    </row>
    <row r="68" spans="1:81" x14ac:dyDescent="0.35">
      <c r="A68" t="s">
        <v>28</v>
      </c>
      <c r="B68">
        <v>130.8123186686413</v>
      </c>
      <c r="C68">
        <v>131.18602159004971</v>
      </c>
      <c r="D68">
        <v>130.76063796894201</v>
      </c>
      <c r="E68">
        <v>131.20178802143769</v>
      </c>
      <c r="F68">
        <v>133.816218069542</v>
      </c>
      <c r="G68">
        <v>134.86827214999749</v>
      </c>
      <c r="H68">
        <v>135.22095875170859</v>
      </c>
      <c r="I68">
        <v>135.5415383763912</v>
      </c>
      <c r="J68">
        <v>135.2824928385651</v>
      </c>
      <c r="K68">
        <v>134.95291116256351</v>
      </c>
      <c r="L68">
        <v>134.51855479407831</v>
      </c>
      <c r="M68">
        <v>135.6409304647058</v>
      </c>
      <c r="N68">
        <v>135.77445297891629</v>
      </c>
      <c r="O68">
        <v>135.36175041898079</v>
      </c>
      <c r="P68">
        <v>135.09322435021741</v>
      </c>
      <c r="Q68">
        <v>135.38088761828701</v>
      </c>
      <c r="R68">
        <v>135.54283328638439</v>
      </c>
      <c r="S68">
        <v>135.1977887311009</v>
      </c>
      <c r="T68">
        <v>134.7196350317825</v>
      </c>
      <c r="U68">
        <v>136.01488519698</v>
      </c>
      <c r="V68">
        <v>134.6012320769116</v>
      </c>
      <c r="W68">
        <v>134.671889729942</v>
      </c>
      <c r="X68">
        <v>132.72234048304699</v>
      </c>
      <c r="Y68">
        <v>133.28416017508189</v>
      </c>
      <c r="Z68">
        <v>134.0931268213223</v>
      </c>
      <c r="AA68">
        <v>133.90753730125289</v>
      </c>
      <c r="AB68">
        <v>134.3167741601487</v>
      </c>
      <c r="AC68">
        <v>135.7715651066859</v>
      </c>
      <c r="AD68">
        <v>136.64985869788879</v>
      </c>
      <c r="AE68">
        <v>137.02407024945779</v>
      </c>
      <c r="AF68">
        <v>137.19558798904859</v>
      </c>
      <c r="AG68">
        <v>137.32987843328101</v>
      </c>
      <c r="AH68">
        <v>137.1747876093718</v>
      </c>
      <c r="AI68">
        <v>137.53804184510679</v>
      </c>
      <c r="AJ68">
        <v>139.47543258466831</v>
      </c>
      <c r="AK68">
        <v>139.13227897376919</v>
      </c>
      <c r="AL68">
        <v>139.74192017602979</v>
      </c>
      <c r="AM68">
        <v>139.53246360765951</v>
      </c>
      <c r="AN68">
        <v>138.99947813752229</v>
      </c>
      <c r="AO68">
        <v>139.02025537680231</v>
      </c>
      <c r="AP68">
        <v>138.7581216959139</v>
      </c>
      <c r="AQ68">
        <v>138.53335207632421</v>
      </c>
      <c r="AR68">
        <v>137.6959213090644</v>
      </c>
      <c r="AS68">
        <v>139.03634232413151</v>
      </c>
      <c r="AT68">
        <v>139.4529864502957</v>
      </c>
      <c r="AU68">
        <v>139.00596381910381</v>
      </c>
      <c r="AV68">
        <v>137.94736796345509</v>
      </c>
      <c r="AW68">
        <v>137.8965279751142</v>
      </c>
      <c r="AX68">
        <v>138.03851266285099</v>
      </c>
      <c r="AY68">
        <v>137.6947708658472</v>
      </c>
      <c r="AZ68">
        <v>137.13186067071749</v>
      </c>
      <c r="BA68">
        <v>138.27858806048181</v>
      </c>
      <c r="BB68">
        <v>138.75676333845141</v>
      </c>
      <c r="BC68">
        <v>139.1889597736735</v>
      </c>
      <c r="BD68">
        <v>139.599355283714</v>
      </c>
      <c r="BE68">
        <v>140.40620523800229</v>
      </c>
      <c r="BF68">
        <v>140.24435996410051</v>
      </c>
      <c r="BG68">
        <v>139.31304360762519</v>
      </c>
      <c r="BH68">
        <v>138.40169200560879</v>
      </c>
      <c r="BI68">
        <v>137.9564158416799</v>
      </c>
      <c r="BJ68">
        <v>138.0932817986519</v>
      </c>
      <c r="BK68">
        <v>138.16219297973569</v>
      </c>
      <c r="BL68">
        <v>138.0853864017499</v>
      </c>
      <c r="BM68">
        <v>138.8116216538975</v>
      </c>
      <c r="BN68">
        <v>139.37345464238371</v>
      </c>
      <c r="BO68">
        <v>139.39180540603081</v>
      </c>
      <c r="BP68">
        <v>139.5993820601723</v>
      </c>
      <c r="BQ68">
        <v>139.24894401528459</v>
      </c>
      <c r="BR68">
        <v>139.7867483648387</v>
      </c>
      <c r="BS68">
        <v>139.91911941104451</v>
      </c>
      <c r="BT68">
        <v>140.12113827073489</v>
      </c>
      <c r="BU68">
        <v>141.39352602699219</v>
      </c>
      <c r="BV68">
        <v>141.81722021838129</v>
      </c>
      <c r="BW68">
        <v>141.57652185724899</v>
      </c>
      <c r="BX68">
        <v>141.61156368401811</v>
      </c>
      <c r="BY68">
        <v>141.94897745642791</v>
      </c>
      <c r="BZ68">
        <v>141.95372454480619</v>
      </c>
      <c r="CA68">
        <v>142.16157055715379</v>
      </c>
      <c r="CB68">
        <v>142.20160827085991</v>
      </c>
      <c r="CC68">
        <v>142.47262914671359</v>
      </c>
    </row>
    <row r="69" spans="1:81" x14ac:dyDescent="0.35">
      <c r="A69" t="s">
        <v>29</v>
      </c>
      <c r="B69">
        <v>0.38511017334649672</v>
      </c>
      <c r="C69">
        <v>0.39078086721091548</v>
      </c>
      <c r="D69">
        <v>0.58077563392882969</v>
      </c>
      <c r="E69">
        <v>0.49343731647409173</v>
      </c>
      <c r="F69">
        <v>0.74631354268252847</v>
      </c>
      <c r="G69">
        <v>0.66283717294365174</v>
      </c>
      <c r="H69">
        <v>0.51676747904356357</v>
      </c>
      <c r="I69">
        <v>0.54627446079079922</v>
      </c>
      <c r="J69">
        <v>0.51426208517107297</v>
      </c>
      <c r="K69">
        <v>0.50915388916610327</v>
      </c>
      <c r="L69">
        <v>0.57428757491761151</v>
      </c>
      <c r="M69">
        <v>0.72758394218209865</v>
      </c>
      <c r="N69">
        <v>1.135454440483205</v>
      </c>
      <c r="O69">
        <v>1.2831295963748419</v>
      </c>
      <c r="P69">
        <v>1.3130657635107219</v>
      </c>
      <c r="Q69">
        <v>1.269151288356829</v>
      </c>
      <c r="R69">
        <v>1.218041325838644</v>
      </c>
      <c r="S69">
        <v>0.95067518607904633</v>
      </c>
      <c r="T69">
        <v>0.80110914508012987</v>
      </c>
      <c r="U69">
        <v>0.8552865415929285</v>
      </c>
      <c r="V69">
        <v>0.61847935188426106</v>
      </c>
      <c r="W69">
        <v>0.32461600679013269</v>
      </c>
      <c r="X69">
        <v>0.12984010357517109</v>
      </c>
      <c r="Y69">
        <v>0.2044992272684277</v>
      </c>
      <c r="Z69">
        <v>-0.1153918612149272</v>
      </c>
      <c r="AA69">
        <v>8.4683307016103354E-2</v>
      </c>
      <c r="AB69">
        <v>5.3238953372456842E-2</v>
      </c>
      <c r="AC69">
        <v>0.51592166959309393</v>
      </c>
      <c r="AD69">
        <v>0.74602939304549554</v>
      </c>
      <c r="AE69">
        <v>0.73362407342175118</v>
      </c>
      <c r="AF69">
        <v>0.69305124980948729</v>
      </c>
      <c r="AG69">
        <v>0.68676392942047304</v>
      </c>
      <c r="AH69">
        <v>0.26920943035105432</v>
      </c>
      <c r="AI69">
        <v>0.50826383040082579</v>
      </c>
      <c r="AJ69">
        <v>0.74430938553687753</v>
      </c>
      <c r="AK69">
        <v>0.94320317759021421</v>
      </c>
      <c r="AL69">
        <v>0.48901847777747059</v>
      </c>
      <c r="AM69">
        <v>0.95870278876192205</v>
      </c>
      <c r="AN69">
        <v>0.98649058606268558</v>
      </c>
      <c r="AO69">
        <v>0.43124860789628</v>
      </c>
      <c r="AP69">
        <v>1.188680011926909</v>
      </c>
      <c r="AQ69">
        <v>1.0912906474834061</v>
      </c>
      <c r="AR69">
        <v>1.266791535138168</v>
      </c>
      <c r="AS69">
        <v>1.325505919747568</v>
      </c>
      <c r="AT69">
        <v>1.441562115715507</v>
      </c>
      <c r="AU69">
        <v>1.170381431915001</v>
      </c>
      <c r="AV69">
        <v>0.97724101028382571</v>
      </c>
      <c r="AW69">
        <v>0.9234921625706648</v>
      </c>
      <c r="AX69">
        <v>0.49821578431704722</v>
      </c>
      <c r="AY69">
        <v>0.34968069281145231</v>
      </c>
      <c r="AZ69">
        <v>0.26810619319290019</v>
      </c>
      <c r="BA69">
        <v>0.82483069802498044</v>
      </c>
      <c r="BB69">
        <v>1.34564715157653</v>
      </c>
      <c r="BC69">
        <v>1.226000344966121</v>
      </c>
      <c r="BD69">
        <v>1.3515245365743189</v>
      </c>
      <c r="BE69">
        <v>1.428213223270226</v>
      </c>
      <c r="BF69">
        <v>1.4579148618775739</v>
      </c>
      <c r="BG69">
        <v>1.146318682565981</v>
      </c>
      <c r="BH69">
        <v>1.068285100011314</v>
      </c>
      <c r="BI69">
        <v>1.270701465940042</v>
      </c>
      <c r="BJ69">
        <v>1.4173127135187831</v>
      </c>
      <c r="BK69">
        <v>1.298381619902395</v>
      </c>
      <c r="BL69">
        <v>1.0288320222741001</v>
      </c>
      <c r="BM69">
        <v>1.3945996394704869</v>
      </c>
      <c r="BN69">
        <v>1.832128575444772</v>
      </c>
      <c r="BO69">
        <v>2.1431449858374552</v>
      </c>
      <c r="BP69">
        <v>1.879494166238115</v>
      </c>
      <c r="BQ69">
        <v>2.1756492111027339</v>
      </c>
      <c r="BR69">
        <v>2.5330204079814269</v>
      </c>
      <c r="BS69">
        <v>2.498743389619865</v>
      </c>
      <c r="BT69">
        <v>2.421398384441114</v>
      </c>
      <c r="BU69">
        <v>2.8947324101055401</v>
      </c>
      <c r="BV69">
        <v>3.0409683838962329</v>
      </c>
      <c r="BW69">
        <v>2.7302174835551938</v>
      </c>
      <c r="BX69">
        <v>2.6321958344018128</v>
      </c>
      <c r="BY69">
        <v>2.9002914823153478</v>
      </c>
      <c r="BZ69">
        <v>3.0896768578730409</v>
      </c>
      <c r="CA69">
        <v>3.0307641205365221</v>
      </c>
      <c r="CB69">
        <v>3.08260723364877</v>
      </c>
      <c r="CC69">
        <v>3.1469055383743698</v>
      </c>
    </row>
    <row r="70" spans="1:81" x14ac:dyDescent="0.35">
      <c r="A70" t="s">
        <v>30</v>
      </c>
      <c r="B70">
        <v>-0.80355704151281726</v>
      </c>
      <c r="C70">
        <v>-0.69665693376745697</v>
      </c>
      <c r="D70">
        <v>-0.74543568565976914</v>
      </c>
      <c r="E70">
        <v>-0.84140089504701576</v>
      </c>
      <c r="F70">
        <v>-0.84953794050552522</v>
      </c>
      <c r="G70">
        <v>-0.5896894306572078</v>
      </c>
      <c r="H70">
        <v>-0.60463109426928785</v>
      </c>
      <c r="I70">
        <v>-0.44066933545800779</v>
      </c>
      <c r="J70">
        <v>7.1543462151715781E-2</v>
      </c>
      <c r="K70">
        <v>0.2937088530764792</v>
      </c>
      <c r="L70">
        <v>0.24809875839892659</v>
      </c>
      <c r="M70">
        <v>0.62696934614502231</v>
      </c>
      <c r="N70">
        <v>0.43413057529890681</v>
      </c>
      <c r="O70">
        <v>0.16085273799822669</v>
      </c>
      <c r="P70">
        <v>4.8773991344350863E-2</v>
      </c>
      <c r="Q70">
        <v>6.3576371342837007E-3</v>
      </c>
      <c r="R70">
        <v>0.14037140603804851</v>
      </c>
      <c r="S70">
        <v>5.8451082081811857E-2</v>
      </c>
      <c r="T70">
        <v>-2.1502829593849811E-2</v>
      </c>
      <c r="U70">
        <v>-0.28992894144660591</v>
      </c>
      <c r="V70">
        <v>-0.1293345140457148</v>
      </c>
      <c r="W70">
        <v>-0.52685178059521787</v>
      </c>
      <c r="X70">
        <v>-0.74549500156642434</v>
      </c>
      <c r="Y70">
        <v>-0.74751481250614771</v>
      </c>
      <c r="Z70">
        <v>-0.64297256833701522</v>
      </c>
      <c r="AA70">
        <v>-1.1764999897717969</v>
      </c>
      <c r="AB70">
        <v>-1.663491418525505</v>
      </c>
      <c r="AC70">
        <v>-1.473805957177295</v>
      </c>
      <c r="AD70">
        <v>-1.334164646985073</v>
      </c>
      <c r="AE70">
        <v>-1.394299497935872</v>
      </c>
      <c r="AF70">
        <v>-1.5042725124817591</v>
      </c>
      <c r="AG70">
        <v>-1.5340392044088049</v>
      </c>
      <c r="AH70">
        <v>-1.6428769543838939</v>
      </c>
      <c r="AI70">
        <v>-1.3979726325560531</v>
      </c>
      <c r="AJ70">
        <v>-1.1416610673139529</v>
      </c>
      <c r="AK70">
        <v>-1.101219561970864</v>
      </c>
      <c r="AL70">
        <v>-1.21534424309428</v>
      </c>
      <c r="AM70">
        <v>-1.350537371478941</v>
      </c>
      <c r="AN70">
        <v>-1.502102976339843</v>
      </c>
      <c r="AO70">
        <v>-1.8257018518818411</v>
      </c>
      <c r="AP70">
        <v>-1.0758502371402221</v>
      </c>
      <c r="AQ70">
        <v>-0.96716045543404439</v>
      </c>
      <c r="AR70">
        <v>-0.88540327154844345</v>
      </c>
      <c r="AS70">
        <v>-1.2266490476035321</v>
      </c>
      <c r="AT70">
        <v>-1.018957853549487</v>
      </c>
      <c r="AU70">
        <v>-1.1880022124686911</v>
      </c>
      <c r="AV70">
        <v>-0.8650556554644967</v>
      </c>
      <c r="AW70">
        <v>-0.72191825371930018</v>
      </c>
      <c r="AX70">
        <v>-0.58508608787787075</v>
      </c>
      <c r="AY70">
        <v>-0.95453421598455013</v>
      </c>
      <c r="AZ70">
        <v>-1.2452552897498359</v>
      </c>
      <c r="BA70">
        <v>-0.80025722988308734</v>
      </c>
      <c r="BB70">
        <v>-0.18375844023005511</v>
      </c>
      <c r="BC70">
        <v>1.0558409199216979E-2</v>
      </c>
      <c r="BD70">
        <v>0.55367421877908551</v>
      </c>
      <c r="BE70">
        <v>0.1829173028736773</v>
      </c>
      <c r="BF70">
        <v>0.18987817492760961</v>
      </c>
      <c r="BG70">
        <v>0.95882028180821088</v>
      </c>
      <c r="BH70">
        <v>1.7222726055739941</v>
      </c>
      <c r="BI70">
        <v>2.411614602538354</v>
      </c>
      <c r="BJ70">
        <v>2.243649186478907</v>
      </c>
      <c r="BK70">
        <v>1.57447714080023</v>
      </c>
      <c r="BL70">
        <v>1.3667939141398191</v>
      </c>
      <c r="BM70">
        <v>1.708244770289101</v>
      </c>
      <c r="BN70">
        <v>1.8682478687257511</v>
      </c>
      <c r="BO70">
        <v>2.4243117954810911</v>
      </c>
      <c r="BP70">
        <v>2.6585887169132758</v>
      </c>
      <c r="BQ70">
        <v>2.3357448512184762</v>
      </c>
      <c r="BR70">
        <v>2.7624794285882168</v>
      </c>
      <c r="BS70">
        <v>3.6011472749852</v>
      </c>
      <c r="BT70">
        <v>3.3770655515216879</v>
      </c>
      <c r="BU70">
        <v>3.728807469290059</v>
      </c>
      <c r="BV70">
        <v>3.516355301558697</v>
      </c>
      <c r="BW70">
        <v>2.4239476541992309</v>
      </c>
      <c r="BX70">
        <v>2.1654005944823411</v>
      </c>
      <c r="BY70">
        <v>2.545465393019978</v>
      </c>
      <c r="BZ70">
        <v>3.3889127493066429</v>
      </c>
      <c r="CA70">
        <v>2.9641441475501789</v>
      </c>
      <c r="CB70">
        <v>2.895401085284846</v>
      </c>
      <c r="CC70">
        <v>3.1881777414278649</v>
      </c>
    </row>
    <row r="71" spans="1:81" x14ac:dyDescent="0.35">
      <c r="A71" t="s">
        <v>31</v>
      </c>
      <c r="B71">
        <v>-0.65750507588585005</v>
      </c>
      <c r="C71">
        <v>-0.51899847599082261</v>
      </c>
      <c r="D71">
        <v>4.819589398280648E-3</v>
      </c>
      <c r="E71">
        <v>-0.44971347311268461</v>
      </c>
      <c r="F71">
        <v>-0.73266021308819729</v>
      </c>
      <c r="G71">
        <v>-9.3879497159017278E-2</v>
      </c>
      <c r="H71">
        <v>1.2118699416308489</v>
      </c>
      <c r="I71">
        <v>1.7096856464532511</v>
      </c>
      <c r="J71">
        <v>1.8686326399711279</v>
      </c>
      <c r="K71">
        <v>1.325249087502071</v>
      </c>
      <c r="L71">
        <v>0.53210126262222968</v>
      </c>
      <c r="M71">
        <v>1.4414230032638851</v>
      </c>
      <c r="N71">
        <v>1.241146889736239</v>
      </c>
      <c r="O71">
        <v>1.982994461798234</v>
      </c>
      <c r="P71">
        <v>2.8320311633899928</v>
      </c>
      <c r="Q71">
        <v>3.8010364007922162</v>
      </c>
      <c r="R71">
        <v>4.8093802378946222</v>
      </c>
      <c r="S71">
        <v>4.4908516804610104</v>
      </c>
      <c r="T71">
        <v>4.1258117686810873</v>
      </c>
      <c r="U71">
        <v>3.468228161187052</v>
      </c>
      <c r="V71">
        <v>2.8208348735715849</v>
      </c>
      <c r="W71">
        <v>3.213694377878952</v>
      </c>
      <c r="X71">
        <v>2.7802858063386591</v>
      </c>
      <c r="Y71">
        <v>3.0921194146295252</v>
      </c>
      <c r="Z71">
        <v>3.056027326153504</v>
      </c>
      <c r="AA71">
        <v>3.3447018659953649</v>
      </c>
      <c r="AB71">
        <v>3.1796426140362719</v>
      </c>
      <c r="AC71">
        <v>3.3805970131092908</v>
      </c>
      <c r="AD71">
        <v>2.9546895023920241</v>
      </c>
      <c r="AE71">
        <v>3.2745808420517162</v>
      </c>
      <c r="AF71">
        <v>3.233506058275692</v>
      </c>
      <c r="AG71">
        <v>2.816969295633954</v>
      </c>
      <c r="AH71">
        <v>2.7554742924673739</v>
      </c>
      <c r="AI71">
        <v>2.7774307888298679</v>
      </c>
      <c r="AJ71">
        <v>3.04375195974358</v>
      </c>
      <c r="AK71">
        <v>2.8893286300127978</v>
      </c>
      <c r="AL71">
        <v>2.742275551278837</v>
      </c>
      <c r="AM71">
        <v>3.3294690653864301</v>
      </c>
      <c r="AN71">
        <v>1.799638029511947</v>
      </c>
      <c r="AO71">
        <v>-0.51026081264329304</v>
      </c>
      <c r="AP71">
        <v>3.477222161218382</v>
      </c>
      <c r="AQ71">
        <v>5.2298748185458646</v>
      </c>
      <c r="AR71">
        <v>5.2246057555363752</v>
      </c>
      <c r="AS71">
        <v>4.4426339472757812</v>
      </c>
      <c r="AT71">
        <v>3.6897809054150499</v>
      </c>
      <c r="AU71">
        <v>4.3905975492986702</v>
      </c>
      <c r="AV71">
        <v>5.2685959052060349</v>
      </c>
      <c r="AW71">
        <v>4.5163084755545642</v>
      </c>
      <c r="AX71">
        <v>3.9979436047417489</v>
      </c>
      <c r="AY71">
        <v>4.1276785791580766</v>
      </c>
      <c r="AZ71">
        <v>4.0237463868816059</v>
      </c>
      <c r="BA71">
        <v>3.9336801605841458</v>
      </c>
      <c r="BB71">
        <v>4.3695320252083976</v>
      </c>
      <c r="BC71">
        <v>4.8177533197455356</v>
      </c>
      <c r="BD71">
        <v>5.0025504802969438</v>
      </c>
      <c r="BE71">
        <v>4.6646900150191932</v>
      </c>
      <c r="BF71">
        <v>4.3897454735825567</v>
      </c>
      <c r="BG71">
        <v>4.4208399440898098</v>
      </c>
      <c r="BH71">
        <v>4.7626334021711232</v>
      </c>
      <c r="BI71">
        <v>4.8921998447138293</v>
      </c>
      <c r="BJ71">
        <v>4.5458485020623893</v>
      </c>
      <c r="BK71">
        <v>4.1558087951967053</v>
      </c>
      <c r="BL71">
        <v>4.4897310770377894</v>
      </c>
      <c r="BM71">
        <v>4.8599105553351993</v>
      </c>
      <c r="BN71">
        <v>5.2768768265744486</v>
      </c>
      <c r="BO71">
        <v>5.4668357806263934</v>
      </c>
      <c r="BP71">
        <v>5.0196972754567</v>
      </c>
      <c r="BQ71">
        <v>4.9546671967602132</v>
      </c>
      <c r="BR71">
        <v>5.0889627729158642</v>
      </c>
      <c r="BS71">
        <v>5.3167470958293137</v>
      </c>
      <c r="BT71">
        <v>4.8532747280595716</v>
      </c>
      <c r="BU71">
        <v>4.5763712938067176</v>
      </c>
      <c r="BV71">
        <v>4.2910235985035037</v>
      </c>
      <c r="BW71">
        <v>4.0212092929796546</v>
      </c>
      <c r="BX71">
        <v>4.1400894574434144</v>
      </c>
      <c r="BY71">
        <v>4.1736807406295071</v>
      </c>
      <c r="BZ71">
        <v>4.5005078062633688</v>
      </c>
      <c r="CA71">
        <v>4.2332582902855549</v>
      </c>
      <c r="CB71">
        <v>4.1470234490834006</v>
      </c>
      <c r="CC71">
        <v>4.2527919493698247</v>
      </c>
    </row>
    <row r="72" spans="1:81" x14ac:dyDescent="0.35">
      <c r="A72" t="s">
        <v>32</v>
      </c>
      <c r="B72">
        <v>0.51310552621216332</v>
      </c>
      <c r="C72">
        <v>0.1182176871323706</v>
      </c>
      <c r="D72">
        <v>0.16772383102882449</v>
      </c>
      <c r="E72">
        <v>-0.1283451014196636</v>
      </c>
      <c r="F72">
        <v>-0.14140400685731849</v>
      </c>
      <c r="G72">
        <v>-0.1133195082627525</v>
      </c>
      <c r="H72">
        <v>-0.33287625570277002</v>
      </c>
      <c r="I72">
        <v>-0.31460253934699361</v>
      </c>
      <c r="J72">
        <v>-0.20452845714423831</v>
      </c>
      <c r="K72">
        <v>-0.1237215499704819</v>
      </c>
      <c r="L72">
        <v>-0.1310790347839009</v>
      </c>
      <c r="M72">
        <v>-0.14036731785132331</v>
      </c>
      <c r="N72">
        <v>-0.22397022345354009</v>
      </c>
      <c r="O72">
        <v>-0.31156944911226542</v>
      </c>
      <c r="P72">
        <v>-0.29694009860941278</v>
      </c>
      <c r="Q72">
        <v>-0.13841502485133969</v>
      </c>
      <c r="R72">
        <v>-0.16728547326364049</v>
      </c>
      <c r="S72">
        <v>-0.1185770811568455</v>
      </c>
      <c r="T72">
        <v>-8.3109722794341478E-2</v>
      </c>
      <c r="U72">
        <v>-7.2314541632896023E-2</v>
      </c>
      <c r="V72">
        <v>-0.1905919835009065</v>
      </c>
      <c r="W72">
        <v>-0.1470301268035861</v>
      </c>
      <c r="X72">
        <v>-0.19255176961406359</v>
      </c>
      <c r="Y72">
        <v>-9.7290911933277407E-2</v>
      </c>
      <c r="Z72">
        <v>-0.25866754159560718</v>
      </c>
      <c r="AA72">
        <v>-0.40716330704993497</v>
      </c>
      <c r="AB72">
        <v>-0.49113240222637372</v>
      </c>
      <c r="AC72">
        <v>-0.28799129131723999</v>
      </c>
      <c r="AD72">
        <v>-0.14092575983008579</v>
      </c>
      <c r="AE72">
        <v>-0.36359449713132203</v>
      </c>
      <c r="AF72">
        <v>-0.20942035151181559</v>
      </c>
      <c r="AG72">
        <v>-0.28142337306317211</v>
      </c>
      <c r="AH72">
        <v>-0.33230707061136472</v>
      </c>
      <c r="AI72">
        <v>-0.2392913353225844</v>
      </c>
      <c r="AJ72">
        <v>-0.19100422305954981</v>
      </c>
      <c r="AK72">
        <v>-0.27530297716980318</v>
      </c>
      <c r="AL72">
        <v>-0.46549428512716129</v>
      </c>
      <c r="AM72">
        <v>-0.50479659640088481</v>
      </c>
      <c r="AN72">
        <v>-0.53988442965834171</v>
      </c>
      <c r="AO72">
        <v>-0.42805772515265561</v>
      </c>
      <c r="AP72">
        <v>-0.72194635811017993</v>
      </c>
      <c r="AQ72">
        <v>-0.54264090819826194</v>
      </c>
      <c r="AR72">
        <v>-0.42067828226671639</v>
      </c>
      <c r="AS72">
        <v>-0.27694744271482868</v>
      </c>
      <c r="AT72">
        <v>-0.1177514435979151</v>
      </c>
      <c r="AU72">
        <v>-0.2282981825050914</v>
      </c>
      <c r="AV72">
        <v>4.3843156802188261E-2</v>
      </c>
      <c r="AW72">
        <v>-3.1778385987160193E-2</v>
      </c>
      <c r="AX72">
        <v>-0.18957431888075979</v>
      </c>
      <c r="AY72">
        <v>-0.19612825735311529</v>
      </c>
      <c r="AZ72">
        <v>-5.8489815695169083E-2</v>
      </c>
      <c r="BA72">
        <v>-4.5415604297507267E-2</v>
      </c>
      <c r="BB72">
        <v>-3.5159567878174432E-2</v>
      </c>
      <c r="BC72">
        <v>0.28694193021803782</v>
      </c>
      <c r="BD72">
        <v>0.32138379635735698</v>
      </c>
      <c r="BE72">
        <v>-0.22953034434118019</v>
      </c>
      <c r="BF72">
        <v>-0.36806463580671311</v>
      </c>
      <c r="BG72">
        <v>-0.35395851469195189</v>
      </c>
      <c r="BH72">
        <v>-0.30484305658882382</v>
      </c>
      <c r="BI72">
        <v>-7.8549695104243311E-2</v>
      </c>
      <c r="BJ72">
        <v>-0.24504763124932599</v>
      </c>
      <c r="BK72">
        <v>-0.3670965488040786</v>
      </c>
      <c r="BL72">
        <v>-0.2607044782982379</v>
      </c>
      <c r="BM72">
        <v>-0.1294810135882489</v>
      </c>
      <c r="BN72">
        <v>-7.3918114764360998E-2</v>
      </c>
      <c r="BO72">
        <v>-3.9291161729194272E-2</v>
      </c>
      <c r="BP72">
        <v>-5.1846126402315888E-2</v>
      </c>
      <c r="BQ72">
        <v>-0.14294518573948289</v>
      </c>
      <c r="BR72">
        <v>-0.12912574328305829</v>
      </c>
      <c r="BS72">
        <v>-0.1193505305713991</v>
      </c>
      <c r="BT72">
        <v>-0.13849255381740799</v>
      </c>
      <c r="BU72">
        <v>-8.4967356448516329E-2</v>
      </c>
      <c r="BV72">
        <v>7.1163505094839818E-2</v>
      </c>
      <c r="BW72">
        <v>-6.1301735583270872E-2</v>
      </c>
      <c r="BX72">
        <v>0.112450026798918</v>
      </c>
      <c r="BY72">
        <v>0.1980619946496458</v>
      </c>
      <c r="BZ72">
        <v>0.38682261920950239</v>
      </c>
      <c r="CA72">
        <v>0.32697622164416179</v>
      </c>
      <c r="CB72">
        <v>0.47675855289576929</v>
      </c>
      <c r="CC72">
        <v>0.27062350857605427</v>
      </c>
    </row>
    <row r="73" spans="1:81" x14ac:dyDescent="0.35">
      <c r="A73" t="s">
        <v>33</v>
      </c>
      <c r="B73">
        <v>130.24947225080129</v>
      </c>
      <c r="C73">
        <v>130.47936473463469</v>
      </c>
      <c r="D73">
        <v>130.76852133763811</v>
      </c>
      <c r="E73">
        <v>130.27576586833251</v>
      </c>
      <c r="F73">
        <v>132.83892945177351</v>
      </c>
      <c r="G73">
        <v>134.73422088686209</v>
      </c>
      <c r="H73">
        <v>136.0120888224109</v>
      </c>
      <c r="I73">
        <v>137.04222660883019</v>
      </c>
      <c r="J73">
        <v>137.53240256871479</v>
      </c>
      <c r="K73">
        <v>136.95730144233769</v>
      </c>
      <c r="L73">
        <v>135.7419633552332</v>
      </c>
      <c r="M73">
        <v>138.29653943844551</v>
      </c>
      <c r="N73">
        <v>138.36121466098109</v>
      </c>
      <c r="O73">
        <v>138.47715776603991</v>
      </c>
      <c r="P73">
        <v>138.9901551698531</v>
      </c>
      <c r="Q73">
        <v>140.31901791971899</v>
      </c>
      <c r="R73">
        <v>141.5433407828921</v>
      </c>
      <c r="S73">
        <v>140.5791895985659</v>
      </c>
      <c r="T73">
        <v>139.54194339315549</v>
      </c>
      <c r="U73">
        <v>139.97615641668051</v>
      </c>
      <c r="V73">
        <v>137.7206198048209</v>
      </c>
      <c r="W73">
        <v>137.53631820721219</v>
      </c>
      <c r="X73">
        <v>134.69441962178041</v>
      </c>
      <c r="Y73">
        <v>135.73597309254041</v>
      </c>
      <c r="Z73">
        <v>136.13212217632821</v>
      </c>
      <c r="AA73">
        <v>135.75325917744269</v>
      </c>
      <c r="AB73">
        <v>135.39503190680551</v>
      </c>
      <c r="AC73">
        <v>137.90628654089369</v>
      </c>
      <c r="AD73">
        <v>138.87548718651121</v>
      </c>
      <c r="AE73">
        <v>139.274381169864</v>
      </c>
      <c r="AF73">
        <v>139.4084524331403</v>
      </c>
      <c r="AG73">
        <v>139.01814908086351</v>
      </c>
      <c r="AH73">
        <v>138.224287307195</v>
      </c>
      <c r="AI73">
        <v>139.18647249645889</v>
      </c>
      <c r="AJ73">
        <v>141.93082863957531</v>
      </c>
      <c r="AK73">
        <v>141.5882882422315</v>
      </c>
      <c r="AL73">
        <v>141.29237567686459</v>
      </c>
      <c r="AM73">
        <v>141.96530149392791</v>
      </c>
      <c r="AN73">
        <v>139.7436193470987</v>
      </c>
      <c r="AO73">
        <v>136.68748359502081</v>
      </c>
      <c r="AP73">
        <v>141.62622727380869</v>
      </c>
      <c r="AQ73">
        <v>143.3447161787212</v>
      </c>
      <c r="AR73">
        <v>142.88123704592371</v>
      </c>
      <c r="AS73">
        <v>143.30088570083649</v>
      </c>
      <c r="AT73">
        <v>143.4476201742788</v>
      </c>
      <c r="AU73">
        <v>143.15064240534369</v>
      </c>
      <c r="AV73">
        <v>143.37199238028259</v>
      </c>
      <c r="AW73">
        <v>142.58263197353301</v>
      </c>
      <c r="AX73">
        <v>141.76001164515111</v>
      </c>
      <c r="AY73">
        <v>141.0214676644791</v>
      </c>
      <c r="AZ73">
        <v>140.11996814534689</v>
      </c>
      <c r="BA73">
        <v>142.19142608491029</v>
      </c>
      <c r="BB73">
        <v>144.25302450712809</v>
      </c>
      <c r="BC73">
        <v>145.5302137778024</v>
      </c>
      <c r="BD73">
        <v>146.8284883157217</v>
      </c>
      <c r="BE73">
        <v>146.45249543482419</v>
      </c>
      <c r="BF73">
        <v>145.9138338386816</v>
      </c>
      <c r="BG73">
        <v>145.48506400139721</v>
      </c>
      <c r="BH73">
        <v>145.65004005677639</v>
      </c>
      <c r="BI73">
        <v>146.4523820597679</v>
      </c>
      <c r="BJ73">
        <v>146.05504456946261</v>
      </c>
      <c r="BK73">
        <v>144.82376398683101</v>
      </c>
      <c r="BL73">
        <v>144.7100389369034</v>
      </c>
      <c r="BM73">
        <v>146.644895605404</v>
      </c>
      <c r="BN73">
        <v>148.27678979836421</v>
      </c>
      <c r="BO73">
        <v>149.38680680624651</v>
      </c>
      <c r="BP73">
        <v>149.1053160923781</v>
      </c>
      <c r="BQ73">
        <v>148.57206008862661</v>
      </c>
      <c r="BR73">
        <v>150.0420852310412</v>
      </c>
      <c r="BS73">
        <v>151.21640664090751</v>
      </c>
      <c r="BT73">
        <v>150.63438438093991</v>
      </c>
      <c r="BU73">
        <v>152.50846984374601</v>
      </c>
      <c r="BV73">
        <v>152.73673100743451</v>
      </c>
      <c r="BW73">
        <v>150.6905945523998</v>
      </c>
      <c r="BX73">
        <v>150.6616995971446</v>
      </c>
      <c r="BY73">
        <v>151.76647706704239</v>
      </c>
      <c r="BZ73">
        <v>153.3196445774588</v>
      </c>
      <c r="CA73">
        <v>152.71671333717021</v>
      </c>
      <c r="CB73">
        <v>152.80339859177269</v>
      </c>
      <c r="CC73">
        <v>153.33112788446169</v>
      </c>
    </row>
    <row r="74" spans="1:81" x14ac:dyDescent="0.35">
      <c r="A74" t="s">
        <v>34</v>
      </c>
      <c r="B74">
        <v>45628903.389999993</v>
      </c>
      <c r="C74">
        <v>44213694.880000003</v>
      </c>
      <c r="D74">
        <v>69165054.020000011</v>
      </c>
      <c r="E74">
        <v>36921132.380000003</v>
      </c>
      <c r="F74">
        <v>45148627.380000003</v>
      </c>
      <c r="G74">
        <v>56101958.210000001</v>
      </c>
      <c r="H74">
        <v>55161224.579999998</v>
      </c>
      <c r="I74">
        <v>46072094.259999998</v>
      </c>
      <c r="J74">
        <v>41945210.490000002</v>
      </c>
      <c r="K74">
        <v>40737086.289999999</v>
      </c>
      <c r="L74">
        <v>34746200.399999999</v>
      </c>
      <c r="M74">
        <v>33765438.829999998</v>
      </c>
      <c r="N74">
        <v>37059812.82</v>
      </c>
      <c r="O74">
        <v>35979385.349999987</v>
      </c>
      <c r="P74">
        <v>84643759.019999996</v>
      </c>
      <c r="Q74">
        <v>82344789.450000003</v>
      </c>
      <c r="R74">
        <v>71109147.600000009</v>
      </c>
      <c r="S74">
        <v>72096397.340000004</v>
      </c>
      <c r="T74">
        <v>63898521.789999999</v>
      </c>
      <c r="U74">
        <v>61102446.290000007</v>
      </c>
      <c r="V74">
        <v>56973590.68</v>
      </c>
      <c r="W74">
        <v>54276583.820000008</v>
      </c>
      <c r="X74">
        <v>54010392.689999998</v>
      </c>
      <c r="Y74">
        <v>53573472.75</v>
      </c>
      <c r="Z74">
        <v>41386678.669999987</v>
      </c>
      <c r="AA74">
        <v>45128926.880000003</v>
      </c>
      <c r="AB74">
        <v>69926744.729999989</v>
      </c>
      <c r="AC74">
        <v>56553706.630000003</v>
      </c>
      <c r="AD74">
        <v>50887788.57</v>
      </c>
      <c r="AE74">
        <v>48358883.239999987</v>
      </c>
      <c r="AF74">
        <v>42134480.909999996</v>
      </c>
      <c r="AG74">
        <v>46085424.409999996</v>
      </c>
      <c r="AH74">
        <v>43740175.950000003</v>
      </c>
      <c r="AI74">
        <v>33136134.370000001</v>
      </c>
      <c r="AJ74">
        <v>23763664.43</v>
      </c>
      <c r="AK74">
        <v>19766613.550000001</v>
      </c>
      <c r="AL74">
        <v>18477315.289999999</v>
      </c>
      <c r="AM74">
        <v>18254161.530000001</v>
      </c>
      <c r="AN74">
        <v>17365307.579999998</v>
      </c>
      <c r="AO74">
        <v>7333491.3900000006</v>
      </c>
      <c r="AP74">
        <v>28311479.239999998</v>
      </c>
      <c r="AQ74">
        <v>30913317.030000001</v>
      </c>
      <c r="AR74">
        <v>31441287.73</v>
      </c>
      <c r="AS74">
        <v>39302547.750000007</v>
      </c>
      <c r="AT74">
        <v>38041896.450000003</v>
      </c>
      <c r="AU74">
        <v>45518421.900000013</v>
      </c>
      <c r="AV74">
        <v>62399636.43</v>
      </c>
      <c r="AW74">
        <v>51324678.590000004</v>
      </c>
      <c r="AX74">
        <v>57213729.649999999</v>
      </c>
      <c r="AY74">
        <v>76531263.849999994</v>
      </c>
      <c r="AZ74">
        <v>137008408.81999999</v>
      </c>
      <c r="BA74">
        <v>114093253.81</v>
      </c>
      <c r="BB74">
        <v>105747877.59999999</v>
      </c>
      <c r="BC74">
        <v>97061706.460000008</v>
      </c>
      <c r="BD74">
        <v>94016174.109999999</v>
      </c>
      <c r="BE74">
        <v>67426617.5</v>
      </c>
      <c r="BF74">
        <v>66450800.760000013</v>
      </c>
      <c r="BG74">
        <v>84067512.339999989</v>
      </c>
      <c r="BH74">
        <v>72451275.349999994</v>
      </c>
      <c r="BI74">
        <v>84855916.870000005</v>
      </c>
      <c r="BJ74">
        <v>100112825.79000001</v>
      </c>
      <c r="BK74">
        <v>99596119.780000001</v>
      </c>
      <c r="BL74">
        <v>182314745.13999999</v>
      </c>
      <c r="BM74">
        <v>143938614.66999999</v>
      </c>
      <c r="BN74">
        <v>129335040.04000001</v>
      </c>
      <c r="BO74">
        <v>117707481.25</v>
      </c>
      <c r="BP74">
        <v>120698165.31</v>
      </c>
      <c r="BQ74">
        <v>108888151.29000001</v>
      </c>
      <c r="BR74">
        <v>104741790.97</v>
      </c>
      <c r="BS74">
        <v>102207895.95</v>
      </c>
      <c r="BT74">
        <v>77544515.99000001</v>
      </c>
      <c r="BU74">
        <v>89717605.069999993</v>
      </c>
      <c r="BV74">
        <v>85699928.190000013</v>
      </c>
      <c r="BW74">
        <v>110671926.22</v>
      </c>
      <c r="BX74">
        <v>187884441.88999999</v>
      </c>
      <c r="BY74">
        <v>145897066.49000001</v>
      </c>
      <c r="BZ74">
        <v>136919522.56</v>
      </c>
      <c r="CA74">
        <v>127772810.31</v>
      </c>
      <c r="CB74">
        <v>124726353.59</v>
      </c>
      <c r="CC74">
        <v>104065234.42</v>
      </c>
    </row>
    <row r="75" spans="1:81" x14ac:dyDescent="0.35">
      <c r="A75" t="s">
        <v>35</v>
      </c>
      <c r="B75">
        <v>1.924825944574589</v>
      </c>
      <c r="C75">
        <v>1.9206922607053869</v>
      </c>
      <c r="D75">
        <v>1.8586485829401489</v>
      </c>
      <c r="E75">
        <v>1.9277856387303201</v>
      </c>
      <c r="F75">
        <v>1.9673423026246779</v>
      </c>
      <c r="G75">
        <v>1.887921476254858</v>
      </c>
      <c r="H75">
        <v>1.754675882017567</v>
      </c>
      <c r="I75">
        <v>1.7158282681935351</v>
      </c>
      <c r="J75">
        <v>1.7125571003741911</v>
      </c>
      <c r="K75">
        <v>1.770833738482585</v>
      </c>
      <c r="L75">
        <v>1.8764146364975089</v>
      </c>
      <c r="M75">
        <v>1.7570900908150091</v>
      </c>
      <c r="N75">
        <v>1.777894556725568</v>
      </c>
      <c r="O75">
        <v>1.7041633360691859</v>
      </c>
      <c r="P75">
        <v>1.6121218745979571</v>
      </c>
      <c r="Q75">
        <v>1.5296801410794361</v>
      </c>
      <c r="R75">
        <v>1.4570942313280031</v>
      </c>
      <c r="S75">
        <v>1.482381586705755</v>
      </c>
      <c r="T75">
        <v>1.5056803811262269</v>
      </c>
      <c r="U75">
        <v>1.5542017339667551</v>
      </c>
      <c r="V75">
        <v>1.5990757316493791</v>
      </c>
      <c r="W75">
        <v>1.5814785624098151</v>
      </c>
      <c r="X75">
        <v>1.618986550268753</v>
      </c>
      <c r="Y75">
        <v>1.593449269826108</v>
      </c>
      <c r="Z75">
        <v>1.5900015918951429</v>
      </c>
      <c r="AA75">
        <v>1.5694707770443419</v>
      </c>
      <c r="AB75">
        <v>1.5844479778607321</v>
      </c>
      <c r="AC75">
        <v>1.574738803750235</v>
      </c>
      <c r="AD75">
        <v>1.6021947060256709</v>
      </c>
      <c r="AE75">
        <v>1.5857700982775349</v>
      </c>
      <c r="AF75">
        <v>1.5846713767173679</v>
      </c>
      <c r="AG75">
        <v>1.614747006403298</v>
      </c>
      <c r="AH75">
        <v>1.6206778373430839</v>
      </c>
      <c r="AI75">
        <v>1.6254375660413281</v>
      </c>
      <c r="AJ75">
        <v>1.5979661069929381</v>
      </c>
      <c r="AK75">
        <v>1.6221448512209771</v>
      </c>
      <c r="AL75">
        <v>1.639874284022905</v>
      </c>
      <c r="AM75">
        <v>1.5895423738612759</v>
      </c>
      <c r="AN75">
        <v>1.701139347662707</v>
      </c>
      <c r="AO75">
        <v>1.940863034890925</v>
      </c>
      <c r="AP75">
        <v>1.561461280356983</v>
      </c>
      <c r="AQ75">
        <v>1.431163985177343</v>
      </c>
      <c r="AR75">
        <v>1.4320513294886199</v>
      </c>
      <c r="AS75">
        <v>1.484893612087016</v>
      </c>
      <c r="AT75">
        <v>1.5484712169573771</v>
      </c>
      <c r="AU75">
        <v>1.507614139002168</v>
      </c>
      <c r="AV75">
        <v>1.452314528956943</v>
      </c>
      <c r="AW75">
        <v>1.504338360676291</v>
      </c>
      <c r="AX75">
        <v>1.5353635153953391</v>
      </c>
      <c r="AY75">
        <v>1.5263429883686439</v>
      </c>
      <c r="AZ75">
        <v>1.529185001670414</v>
      </c>
      <c r="BA75">
        <v>1.5302877810803199</v>
      </c>
      <c r="BB75">
        <v>1.5006413374957319</v>
      </c>
      <c r="BC75">
        <v>1.4720365658142029</v>
      </c>
      <c r="BD75">
        <v>1.4591345890917991</v>
      </c>
      <c r="BE75">
        <v>1.486557036621917</v>
      </c>
      <c r="BF75">
        <v>1.5069007233825851</v>
      </c>
      <c r="BG75">
        <v>1.5104123287714331</v>
      </c>
      <c r="BH75">
        <v>1.4815091414332191</v>
      </c>
      <c r="BI75">
        <v>1.467593042221699</v>
      </c>
      <c r="BJ75">
        <v>1.489536903122004</v>
      </c>
      <c r="BK75">
        <v>1.5114197291138241</v>
      </c>
      <c r="BL75">
        <v>1.4878741543671861</v>
      </c>
      <c r="BM75">
        <v>1.4698860225084831</v>
      </c>
      <c r="BN75">
        <v>1.443200612565074</v>
      </c>
      <c r="BO75">
        <v>1.431272328696543</v>
      </c>
      <c r="BP75">
        <v>1.460075408154031</v>
      </c>
      <c r="BQ75">
        <v>1.4540096940992679</v>
      </c>
      <c r="BR75">
        <v>1.4351974342258169</v>
      </c>
      <c r="BS75">
        <v>1.419207000081387</v>
      </c>
      <c r="BT75">
        <v>1.4430368082605469</v>
      </c>
      <c r="BU75">
        <v>1.4709093833154729</v>
      </c>
      <c r="BV75">
        <v>1.4934960570269411</v>
      </c>
      <c r="BW75">
        <v>1.498872375946662</v>
      </c>
      <c r="BX75">
        <v>1.4955302075394321</v>
      </c>
      <c r="BY75">
        <v>1.5017376492513199</v>
      </c>
      <c r="BZ75">
        <v>1.4852095874906781</v>
      </c>
      <c r="CA75">
        <v>1.5068426536507891</v>
      </c>
      <c r="CB75">
        <v>1.513841430744403</v>
      </c>
      <c r="CC75">
        <v>1.515094007929114</v>
      </c>
    </row>
    <row r="76" spans="1:81" x14ac:dyDescent="0.35">
      <c r="A76" t="s">
        <v>36</v>
      </c>
      <c r="B76">
        <v>0.23981209172200099</v>
      </c>
      <c r="C76">
        <v>0.2456541675702856</v>
      </c>
      <c r="D76">
        <v>0.24487323194510241</v>
      </c>
      <c r="E76">
        <v>0.24960017936378359</v>
      </c>
      <c r="F76">
        <v>0.24987580484007171</v>
      </c>
      <c r="G76">
        <v>0.249414353671818</v>
      </c>
      <c r="H76">
        <v>0.25265261434631109</v>
      </c>
      <c r="I76">
        <v>0.25253534432860408</v>
      </c>
      <c r="J76">
        <v>0.2512345157448988</v>
      </c>
      <c r="K76">
        <v>0.25026911256651879</v>
      </c>
      <c r="L76">
        <v>0.25094278712592699</v>
      </c>
      <c r="M76">
        <v>0.25083830134252111</v>
      </c>
      <c r="N76">
        <v>0.25220990449538833</v>
      </c>
      <c r="O76">
        <v>0.25329210681447589</v>
      </c>
      <c r="P76">
        <v>0.25251294792508849</v>
      </c>
      <c r="Q76">
        <v>0.24994995369108941</v>
      </c>
      <c r="R76">
        <v>0.25030442750662357</v>
      </c>
      <c r="S76">
        <v>0.2497711057941433</v>
      </c>
      <c r="T76">
        <v>0.24917246411690319</v>
      </c>
      <c r="U76">
        <v>0.24902033061093989</v>
      </c>
      <c r="V76">
        <v>0.25046888999485822</v>
      </c>
      <c r="W76">
        <v>0.25034257316373593</v>
      </c>
      <c r="X76">
        <v>0.25108214728743899</v>
      </c>
      <c r="Y76">
        <v>0.24968271098785549</v>
      </c>
      <c r="Z76">
        <v>0.2518380584850694</v>
      </c>
      <c r="AA76">
        <v>0.25396943829775243</v>
      </c>
      <c r="AB76">
        <v>0.25526217619229757</v>
      </c>
      <c r="AC76">
        <v>0.25253654620701571</v>
      </c>
      <c r="AD76">
        <v>0.25022272269258478</v>
      </c>
      <c r="AE76">
        <v>0.25356913250885899</v>
      </c>
      <c r="AF76">
        <v>0.25124683903912848</v>
      </c>
      <c r="AG76">
        <v>0.25222199795280142</v>
      </c>
      <c r="AH76">
        <v>0.2530424247155092</v>
      </c>
      <c r="AI76">
        <v>0.25177456895474398</v>
      </c>
      <c r="AJ76">
        <v>0.2508365084605767</v>
      </c>
      <c r="AK76">
        <v>0.2521065327492073</v>
      </c>
      <c r="AL76">
        <v>0.2550752716371088</v>
      </c>
      <c r="AM76">
        <v>0.25548676501635281</v>
      </c>
      <c r="AN76">
        <v>0.25590316580393102</v>
      </c>
      <c r="AO76">
        <v>0.25425289029609122</v>
      </c>
      <c r="AP76">
        <v>0.25849102590652911</v>
      </c>
      <c r="AQ76">
        <v>0.25557483744551762</v>
      </c>
      <c r="AR76">
        <v>0.2538040480679446</v>
      </c>
      <c r="AS76">
        <v>0.25188431984086829</v>
      </c>
      <c r="AT76">
        <v>0.24995238494917349</v>
      </c>
      <c r="AU76">
        <v>0.25177652458138039</v>
      </c>
      <c r="AV76">
        <v>0.24811582416747099</v>
      </c>
      <c r="AW76">
        <v>0.24919839048367631</v>
      </c>
      <c r="AX76">
        <v>0.25125039093604712</v>
      </c>
      <c r="AY76">
        <v>0.25135946196944448</v>
      </c>
      <c r="AZ76">
        <v>0.24929562263455091</v>
      </c>
      <c r="BA76">
        <v>0.24888138554320191</v>
      </c>
      <c r="BB76">
        <v>0.2488548300215247</v>
      </c>
      <c r="BC76">
        <v>0.24437820292913651</v>
      </c>
      <c r="BD76">
        <v>0.24389781887590359</v>
      </c>
      <c r="BE76">
        <v>0.25188276636099688</v>
      </c>
      <c r="BF76">
        <v>0.25394892374889422</v>
      </c>
      <c r="BG76">
        <v>0.2539498377217872</v>
      </c>
      <c r="BH76">
        <v>0.25302310618390211</v>
      </c>
      <c r="BI76">
        <v>0.24963460363054579</v>
      </c>
      <c r="BJ76">
        <v>0.25195160230656799</v>
      </c>
      <c r="BK76">
        <v>0.25350110605677528</v>
      </c>
      <c r="BL76">
        <v>0.25195179829731679</v>
      </c>
      <c r="BM76">
        <v>0.25031877845485168</v>
      </c>
      <c r="BN76">
        <v>0.24953692305470751</v>
      </c>
      <c r="BO76">
        <v>0.24900983539802829</v>
      </c>
      <c r="BP76">
        <v>0.24920686753740509</v>
      </c>
      <c r="BQ76">
        <v>0.25011018885703601</v>
      </c>
      <c r="BR76">
        <v>0.24951488976520789</v>
      </c>
      <c r="BS76">
        <v>0.24933162314979479</v>
      </c>
      <c r="BT76">
        <v>0.24938380107950939</v>
      </c>
      <c r="BU76">
        <v>0.24896914952577209</v>
      </c>
      <c r="BV76">
        <v>0.24681872821283959</v>
      </c>
      <c r="BW76">
        <v>0.248283552639636</v>
      </c>
      <c r="BX76">
        <v>0.24596722001174209</v>
      </c>
      <c r="BY76">
        <v>0.24501688824462811</v>
      </c>
      <c r="BZ76">
        <v>0.24258071078813959</v>
      </c>
      <c r="CA76">
        <v>0.2435746167491023</v>
      </c>
      <c r="CB76">
        <v>0.24142929091066559</v>
      </c>
      <c r="CC76">
        <v>0.24472933600845681</v>
      </c>
    </row>
    <row r="78" spans="1:81" x14ac:dyDescent="0.35">
      <c r="A78" t="s">
        <v>43</v>
      </c>
      <c r="B78" t="s">
        <v>75</v>
      </c>
      <c r="C78" t="s">
        <v>76</v>
      </c>
      <c r="D78" t="s">
        <v>77</v>
      </c>
      <c r="E78" t="s">
        <v>78</v>
      </c>
      <c r="F78" t="s">
        <v>79</v>
      </c>
      <c r="G78" t="s">
        <v>80</v>
      </c>
      <c r="H78" t="s">
        <v>81</v>
      </c>
      <c r="I78" t="s">
        <v>82</v>
      </c>
      <c r="J78" t="s">
        <v>83</v>
      </c>
      <c r="K78" t="s">
        <v>84</v>
      </c>
      <c r="L78" t="s">
        <v>85</v>
      </c>
      <c r="M78" t="s">
        <v>86</v>
      </c>
      <c r="N78" t="s">
        <v>87</v>
      </c>
      <c r="O78" t="s">
        <v>88</v>
      </c>
      <c r="P78" t="s">
        <v>89</v>
      </c>
      <c r="Q78" t="s">
        <v>90</v>
      </c>
      <c r="R78" t="s">
        <v>91</v>
      </c>
      <c r="S78" t="s">
        <v>92</v>
      </c>
      <c r="T78" t="s">
        <v>93</v>
      </c>
      <c r="U78" t="s">
        <v>94</v>
      </c>
      <c r="V78" t="s">
        <v>95</v>
      </c>
      <c r="W78" t="s">
        <v>96</v>
      </c>
      <c r="X78" t="s">
        <v>97</v>
      </c>
      <c r="Y78" t="s">
        <v>98</v>
      </c>
      <c r="Z78" t="s">
        <v>99</v>
      </c>
      <c r="AA78" t="s">
        <v>100</v>
      </c>
      <c r="AB78" t="s">
        <v>101</v>
      </c>
      <c r="AC78" t="s">
        <v>102</v>
      </c>
      <c r="AD78" t="s">
        <v>103</v>
      </c>
      <c r="AE78" t="s">
        <v>104</v>
      </c>
      <c r="AF78" t="s">
        <v>105</v>
      </c>
      <c r="AG78" t="s">
        <v>106</v>
      </c>
      <c r="AH78" t="s">
        <v>107</v>
      </c>
      <c r="AI78" t="s">
        <v>108</v>
      </c>
      <c r="AJ78" t="s">
        <v>109</v>
      </c>
      <c r="AK78" t="s">
        <v>110</v>
      </c>
      <c r="AL78" t="s">
        <v>111</v>
      </c>
      <c r="AM78" t="s">
        <v>112</v>
      </c>
      <c r="AN78" t="s">
        <v>113</v>
      </c>
      <c r="AO78" t="s">
        <v>114</v>
      </c>
      <c r="AP78" t="s">
        <v>115</v>
      </c>
      <c r="AQ78" t="s">
        <v>116</v>
      </c>
      <c r="AR78" t="s">
        <v>117</v>
      </c>
      <c r="AS78" t="s">
        <v>118</v>
      </c>
      <c r="AT78" t="s">
        <v>119</v>
      </c>
      <c r="AU78" t="s">
        <v>120</v>
      </c>
      <c r="AV78" t="s">
        <v>121</v>
      </c>
      <c r="AW78" t="s">
        <v>122</v>
      </c>
      <c r="AX78" t="s">
        <v>123</v>
      </c>
      <c r="AY78" t="s">
        <v>124</v>
      </c>
      <c r="AZ78" t="s">
        <v>125</v>
      </c>
      <c r="BA78" t="s">
        <v>126</v>
      </c>
      <c r="BB78" t="s">
        <v>127</v>
      </c>
      <c r="BC78" t="s">
        <v>46</v>
      </c>
      <c r="BD78" t="s">
        <v>47</v>
      </c>
      <c r="BE78" t="s">
        <v>48</v>
      </c>
      <c r="BF78" t="s">
        <v>49</v>
      </c>
      <c r="BG78" t="s">
        <v>50</v>
      </c>
      <c r="BH78" t="s">
        <v>51</v>
      </c>
      <c r="BI78" t="s">
        <v>52</v>
      </c>
      <c r="BJ78" t="s">
        <v>53</v>
      </c>
      <c r="BK78" t="s">
        <v>54</v>
      </c>
      <c r="BL78" t="s">
        <v>55</v>
      </c>
      <c r="BM78" t="s">
        <v>56</v>
      </c>
      <c r="BN78" t="s">
        <v>57</v>
      </c>
      <c r="BO78" t="s">
        <v>58</v>
      </c>
      <c r="BP78" t="s">
        <v>59</v>
      </c>
      <c r="BQ78" t="s">
        <v>60</v>
      </c>
      <c r="BR78" t="s">
        <v>61</v>
      </c>
      <c r="BS78" t="s">
        <v>62</v>
      </c>
      <c r="BT78" t="s">
        <v>63</v>
      </c>
      <c r="BU78" t="s">
        <v>64</v>
      </c>
      <c r="BV78" t="s">
        <v>65</v>
      </c>
      <c r="BW78" t="s">
        <v>66</v>
      </c>
      <c r="BX78" t="s">
        <v>67</v>
      </c>
      <c r="BY78" t="s">
        <v>68</v>
      </c>
      <c r="BZ78" t="s">
        <v>69</v>
      </c>
      <c r="CA78" t="s">
        <v>70</v>
      </c>
      <c r="CB78" t="s">
        <v>71</v>
      </c>
      <c r="CC78" t="s">
        <v>128</v>
      </c>
    </row>
    <row r="79" spans="1:81" x14ac:dyDescent="0.35">
      <c r="A79" t="s">
        <v>28</v>
      </c>
      <c r="B79">
        <v>130.57722565796831</v>
      </c>
      <c r="C79">
        <v>131.6573494654663</v>
      </c>
      <c r="D79">
        <v>131.33233600972301</v>
      </c>
      <c r="E79">
        <v>131.00590598332909</v>
      </c>
      <c r="F79">
        <v>133.76845364257289</v>
      </c>
      <c r="G79">
        <v>135.07721381164041</v>
      </c>
      <c r="H79">
        <v>135.5063987905512</v>
      </c>
      <c r="I79">
        <v>135.7477410354584</v>
      </c>
      <c r="J79">
        <v>135.515162336169</v>
      </c>
      <c r="K79">
        <v>135.20185112554429</v>
      </c>
      <c r="L79">
        <v>134.91029505678611</v>
      </c>
      <c r="M79">
        <v>135.26081792733021</v>
      </c>
      <c r="N79">
        <v>135.38260135865141</v>
      </c>
      <c r="O79">
        <v>134.8796071446753</v>
      </c>
      <c r="P79">
        <v>134.48007804106339</v>
      </c>
      <c r="Q79">
        <v>134.1630606910893</v>
      </c>
      <c r="R79">
        <v>134.2593723913551</v>
      </c>
      <c r="S79">
        <v>133.88384299331869</v>
      </c>
      <c r="T79">
        <v>133.219056272643</v>
      </c>
      <c r="U79">
        <v>134.69583553451179</v>
      </c>
      <c r="V79">
        <v>133.30136458594879</v>
      </c>
      <c r="W79">
        <v>133.14086680656911</v>
      </c>
      <c r="X79">
        <v>131.82786847976641</v>
      </c>
      <c r="Y79">
        <v>131.86521270596899</v>
      </c>
      <c r="Z79">
        <v>132.26648010453599</v>
      </c>
      <c r="AA79">
        <v>132.37021030083829</v>
      </c>
      <c r="AB79">
        <v>132.8910201898037</v>
      </c>
      <c r="AC79">
        <v>134.24442938987519</v>
      </c>
      <c r="AD79">
        <v>135.16251197555749</v>
      </c>
      <c r="AE79">
        <v>135.44381152457689</v>
      </c>
      <c r="AF79">
        <v>135.8361893940455</v>
      </c>
      <c r="AG79">
        <v>135.64148475890721</v>
      </c>
      <c r="AH79">
        <v>135.22668446237299</v>
      </c>
      <c r="AI79">
        <v>134.69109474142491</v>
      </c>
      <c r="AJ79">
        <v>135.71565114642891</v>
      </c>
      <c r="AK79">
        <v>135.36051059713679</v>
      </c>
      <c r="AL79">
        <v>135.46686048894711</v>
      </c>
      <c r="AM79">
        <v>135.75651707534911</v>
      </c>
      <c r="AN79">
        <v>135.64878497401151</v>
      </c>
      <c r="AO79">
        <v>136.4005472945656</v>
      </c>
      <c r="AP79">
        <v>136.69630226292301</v>
      </c>
      <c r="AQ79">
        <v>135.55058730001849</v>
      </c>
      <c r="AR79">
        <v>135.23978116114981</v>
      </c>
      <c r="AS79">
        <v>137.08654983905251</v>
      </c>
      <c r="AT79">
        <v>137.87916792263351</v>
      </c>
      <c r="AU79">
        <v>137.58098367361731</v>
      </c>
      <c r="AV79">
        <v>137.06682627384779</v>
      </c>
      <c r="AW79">
        <v>137.24197012274121</v>
      </c>
      <c r="AX79">
        <v>137.40168633219119</v>
      </c>
      <c r="AY79">
        <v>137.24801558309929</v>
      </c>
      <c r="AZ79">
        <v>136.86566596709369</v>
      </c>
      <c r="BA79">
        <v>137.80639171088609</v>
      </c>
      <c r="BB79">
        <v>138.29900522508461</v>
      </c>
      <c r="BC79">
        <v>138.7761057521827</v>
      </c>
      <c r="BD79">
        <v>138.92018071699829</v>
      </c>
      <c r="BE79">
        <v>139.3768521150094</v>
      </c>
      <c r="BF79">
        <v>139.22327592394109</v>
      </c>
      <c r="BG79">
        <v>138.2688714248082</v>
      </c>
      <c r="BH79">
        <v>137.38072172079151</v>
      </c>
      <c r="BI79">
        <v>137.02232600874109</v>
      </c>
      <c r="BJ79">
        <v>137.0584668220111</v>
      </c>
      <c r="BK79">
        <v>136.94297332595991</v>
      </c>
      <c r="BL79">
        <v>137.2238273715349</v>
      </c>
      <c r="BM79">
        <v>138.07918694168291</v>
      </c>
      <c r="BN79">
        <v>138.66852644795901</v>
      </c>
      <c r="BO79">
        <v>138.78885661597789</v>
      </c>
      <c r="BP79">
        <v>139.00726647814199</v>
      </c>
      <c r="BQ79">
        <v>138.72162322817431</v>
      </c>
      <c r="BR79">
        <v>139.01889200606541</v>
      </c>
      <c r="BS79">
        <v>139.10410995555711</v>
      </c>
      <c r="BT79">
        <v>139.2717939627845</v>
      </c>
      <c r="BU79">
        <v>140.62628454244771</v>
      </c>
      <c r="BV79">
        <v>141.2716330892338</v>
      </c>
      <c r="BW79">
        <v>141.20390202398681</v>
      </c>
      <c r="BX79">
        <v>141.33985249003291</v>
      </c>
      <c r="BY79">
        <v>141.7265099783439</v>
      </c>
      <c r="BZ79">
        <v>141.94670745197541</v>
      </c>
      <c r="CA79">
        <v>142.38351919859289</v>
      </c>
      <c r="CB79">
        <v>142.4953997122719</v>
      </c>
      <c r="CC79">
        <v>142.8393843428633</v>
      </c>
    </row>
    <row r="80" spans="1:81" x14ac:dyDescent="0.35">
      <c r="A80" t="s">
        <v>29</v>
      </c>
      <c r="B80">
        <v>0.36229845326112881</v>
      </c>
      <c r="C80">
        <v>0.40581553190686942</v>
      </c>
      <c r="D80">
        <v>0.60911937932036464</v>
      </c>
      <c r="E80">
        <v>0.50998908372529184</v>
      </c>
      <c r="F80">
        <v>0.71698662725259976</v>
      </c>
      <c r="G80">
        <v>0.66715234104060572</v>
      </c>
      <c r="H80">
        <v>0.46838831953553889</v>
      </c>
      <c r="I80">
        <v>0.52168728672303477</v>
      </c>
      <c r="J80">
        <v>0.43048865289530552</v>
      </c>
      <c r="K80">
        <v>0.1579174279860287</v>
      </c>
      <c r="L80">
        <v>0.15650582668446991</v>
      </c>
      <c r="M80">
        <v>7.631558207612095E-2</v>
      </c>
      <c r="N80">
        <v>0.58149371886879442</v>
      </c>
      <c r="O80">
        <v>0.57194474818222241</v>
      </c>
      <c r="P80">
        <v>0.73600686133372273</v>
      </c>
      <c r="Q80">
        <v>0.61766976070664403</v>
      </c>
      <c r="R80">
        <v>0.60271789198507353</v>
      </c>
      <c r="S80">
        <v>0.3191812160466172</v>
      </c>
      <c r="T80">
        <v>0.21657200152673051</v>
      </c>
      <c r="U80">
        <v>0.16475761026554911</v>
      </c>
      <c r="V80">
        <v>-6.9133977346072198E-2</v>
      </c>
      <c r="W80">
        <v>-0.1106179085844791</v>
      </c>
      <c r="X80">
        <v>-0.3301747366295838</v>
      </c>
      <c r="Y80">
        <v>-0.27914688842693669</v>
      </c>
      <c r="Z80">
        <v>-0.45844925357282301</v>
      </c>
      <c r="AA80">
        <v>-0.25332647523754159</v>
      </c>
      <c r="AB80">
        <v>-0.2508852595664891</v>
      </c>
      <c r="AC80">
        <v>8.4974409932307912E-2</v>
      </c>
      <c r="AD80">
        <v>0.25315464680359429</v>
      </c>
      <c r="AE80">
        <v>0.16127611335310649</v>
      </c>
      <c r="AF80">
        <v>8.6720615055743772E-2</v>
      </c>
      <c r="AG80">
        <v>-5.4549058643532329E-2</v>
      </c>
      <c r="AH80">
        <v>-0.3679049707741654</v>
      </c>
      <c r="AI80">
        <v>-0.32123660539248361</v>
      </c>
      <c r="AJ80">
        <v>-0.29099551835954102</v>
      </c>
      <c r="AK80">
        <v>-0.32191462492500672</v>
      </c>
      <c r="AL80">
        <v>-1.0011505348703109</v>
      </c>
      <c r="AM80">
        <v>-0.44948013989722368</v>
      </c>
      <c r="AN80">
        <v>-0.56390377442260309</v>
      </c>
      <c r="AO80">
        <v>-0.45891457469304331</v>
      </c>
      <c r="AP80">
        <v>0.30090555206756259</v>
      </c>
      <c r="AQ80">
        <v>-0.1195637358086519</v>
      </c>
      <c r="AR80">
        <v>0.1156801887956877</v>
      </c>
      <c r="AS80">
        <v>0.49305855878260108</v>
      </c>
      <c r="AT80">
        <v>0.80737229995690341</v>
      </c>
      <c r="AU80">
        <v>0.83231869931514735</v>
      </c>
      <c r="AV80">
        <v>0.83576682467974961</v>
      </c>
      <c r="AW80">
        <v>0.70844833634807036</v>
      </c>
      <c r="AX80">
        <v>0.17369591448847391</v>
      </c>
      <c r="AY80">
        <v>0.15652504189908589</v>
      </c>
      <c r="AZ80">
        <v>-0.1086431189069736</v>
      </c>
      <c r="BA80">
        <v>0.42122913848332533</v>
      </c>
      <c r="BB80">
        <v>0.95197247904315985</v>
      </c>
      <c r="BC80">
        <v>0.90862906384705444</v>
      </c>
      <c r="BD80">
        <v>0.8183511384431994</v>
      </c>
      <c r="BE80">
        <v>0.87252056404491452</v>
      </c>
      <c r="BF80">
        <v>0.91594114038698748</v>
      </c>
      <c r="BG80">
        <v>0.75451634381721677</v>
      </c>
      <c r="BH80">
        <v>0.66717204297186039</v>
      </c>
      <c r="BI80">
        <v>0.74153417590522674</v>
      </c>
      <c r="BJ80">
        <v>0.81527942971493772</v>
      </c>
      <c r="BK80">
        <v>0.62517229936974195</v>
      </c>
      <c r="BL80">
        <v>0.34855078730991529</v>
      </c>
      <c r="BM80">
        <v>0.89708339004826754</v>
      </c>
      <c r="BN80">
        <v>1.4869799678421189</v>
      </c>
      <c r="BO80">
        <v>1.8220072403119421</v>
      </c>
      <c r="BP80">
        <v>1.530525200680023</v>
      </c>
      <c r="BQ80">
        <v>1.6214381769620829</v>
      </c>
      <c r="BR80">
        <v>1.8546039341027181</v>
      </c>
      <c r="BS80">
        <v>2.0392136618723451</v>
      </c>
      <c r="BT80">
        <v>2.042453680453634</v>
      </c>
      <c r="BU80">
        <v>2.552417658853229</v>
      </c>
      <c r="BV80">
        <v>2.6626141543462971</v>
      </c>
      <c r="BW80">
        <v>2.440600803845566</v>
      </c>
      <c r="BX80">
        <v>2.2505698450804279</v>
      </c>
      <c r="BY80">
        <v>2.5497001564231732</v>
      </c>
      <c r="BZ80">
        <v>2.791903559681352</v>
      </c>
      <c r="CA80">
        <v>2.7271701385713758</v>
      </c>
      <c r="CB80">
        <v>2.7843917291546432</v>
      </c>
      <c r="CC80">
        <v>2.824803552003821</v>
      </c>
    </row>
    <row r="81" spans="1:81" x14ac:dyDescent="0.35">
      <c r="A81" t="s">
        <v>30</v>
      </c>
      <c r="B81">
        <v>-0.74373767447047678</v>
      </c>
      <c r="C81">
        <v>-0.74943970963715012</v>
      </c>
      <c r="D81">
        <v>-0.83965359201841183</v>
      </c>
      <c r="E81">
        <v>-0.88772454841948101</v>
      </c>
      <c r="F81">
        <v>-0.81249997001991769</v>
      </c>
      <c r="G81">
        <v>-0.55337048043564385</v>
      </c>
      <c r="H81">
        <v>-0.62173694248567613</v>
      </c>
      <c r="I81">
        <v>-0.37302944689583267</v>
      </c>
      <c r="J81">
        <v>3.0892529020382811E-3</v>
      </c>
      <c r="K81">
        <v>5.3317386761622058E-2</v>
      </c>
      <c r="L81">
        <v>1.9752527748812889E-2</v>
      </c>
      <c r="M81">
        <v>0.222544846307134</v>
      </c>
      <c r="N81">
        <v>5.2323071162671479E-2</v>
      </c>
      <c r="O81">
        <v>-3.9914807724340383E-2</v>
      </c>
      <c r="P81">
        <v>-0.13194685039271431</v>
      </c>
      <c r="Q81">
        <v>-9.3344222734918336E-3</v>
      </c>
      <c r="R81">
        <v>0.21637977491486321</v>
      </c>
      <c r="S81">
        <v>-4.5260338372152237E-2</v>
      </c>
      <c r="T81">
        <v>-0.18199528214842431</v>
      </c>
      <c r="U81">
        <v>-0.44710108661476777</v>
      </c>
      <c r="V81">
        <v>-0.3415410051190429</v>
      </c>
      <c r="W81">
        <v>-0.49713466057021138</v>
      </c>
      <c r="X81">
        <v>-0.69244778784162586</v>
      </c>
      <c r="Y81">
        <v>-0.77209352762063055</v>
      </c>
      <c r="Z81">
        <v>-0.8868075763164226</v>
      </c>
      <c r="AA81">
        <v>-1.3296126285680421</v>
      </c>
      <c r="AB81">
        <v>-1.6778526148660891</v>
      </c>
      <c r="AC81">
        <v>-1.604330410641994</v>
      </c>
      <c r="AD81">
        <v>-1.4370714584242199</v>
      </c>
      <c r="AE81">
        <v>-1.620871406420858</v>
      </c>
      <c r="AF81">
        <v>-1.745027441667389</v>
      </c>
      <c r="AG81">
        <v>-1.829339006506711</v>
      </c>
      <c r="AH81">
        <v>-2.0571760376223822</v>
      </c>
      <c r="AI81">
        <v>-1.94863722703238</v>
      </c>
      <c r="AJ81">
        <v>-1.895154985550469</v>
      </c>
      <c r="AK81">
        <v>-2.0116446628640858</v>
      </c>
      <c r="AL81">
        <v>-2.1421594788675971</v>
      </c>
      <c r="AM81">
        <v>-1.9222444504476719</v>
      </c>
      <c r="AN81">
        <v>-1.953918840687948</v>
      </c>
      <c r="AO81">
        <v>-2.0242154827208458</v>
      </c>
      <c r="AP81">
        <v>-1.511848084918143</v>
      </c>
      <c r="AQ81">
        <v>-1.447170143219318</v>
      </c>
      <c r="AR81">
        <v>-1.337656238730984</v>
      </c>
      <c r="AS81">
        <v>-1.4371949107249089</v>
      </c>
      <c r="AT81">
        <v>-1.308122851510588</v>
      </c>
      <c r="AU81">
        <v>-1.1921296628412299</v>
      </c>
      <c r="AV81">
        <v>-0.87663262341682469</v>
      </c>
      <c r="AW81">
        <v>-0.91730986720501972</v>
      </c>
      <c r="AX81">
        <v>-0.99903126131770015</v>
      </c>
      <c r="AY81">
        <v>-1.1233803851085851</v>
      </c>
      <c r="AZ81">
        <v>-1.3617927095044251</v>
      </c>
      <c r="BA81">
        <v>-0.98497222086087144</v>
      </c>
      <c r="BB81">
        <v>-0.37506900607711852</v>
      </c>
      <c r="BC81">
        <v>-0.17719026450639411</v>
      </c>
      <c r="BD81">
        <v>0.31900096305594328</v>
      </c>
      <c r="BE81">
        <v>5.3984362908206157E-2</v>
      </c>
      <c r="BF81">
        <v>0.16726162916533521</v>
      </c>
      <c r="BG81">
        <v>1.0851235319290149</v>
      </c>
      <c r="BH81">
        <v>1.94084995979775</v>
      </c>
      <c r="BI81">
        <v>2.689915685212688</v>
      </c>
      <c r="BJ81">
        <v>2.6935389992345589</v>
      </c>
      <c r="BK81">
        <v>2.4714079967110081</v>
      </c>
      <c r="BL81">
        <v>1.9598403400221589</v>
      </c>
      <c r="BM81">
        <v>1.910188568402388</v>
      </c>
      <c r="BN81">
        <v>2.1223321557467378</v>
      </c>
      <c r="BO81">
        <v>2.5837498526232769</v>
      </c>
      <c r="BP81">
        <v>2.749896293274642</v>
      </c>
      <c r="BQ81">
        <v>2.46649514650866</v>
      </c>
      <c r="BR81">
        <v>2.8355421839397921</v>
      </c>
      <c r="BS81">
        <v>3.612346641513752</v>
      </c>
      <c r="BT81">
        <v>3.527331875804316</v>
      </c>
      <c r="BU81">
        <v>3.9215472331908452</v>
      </c>
      <c r="BV81">
        <v>3.4401381416009311</v>
      </c>
      <c r="BW81">
        <v>2.576792931312923</v>
      </c>
      <c r="BX81">
        <v>2.2857866994153708</v>
      </c>
      <c r="BY81">
        <v>2.4923540050262778</v>
      </c>
      <c r="BZ81">
        <v>3.1354038511998459</v>
      </c>
      <c r="CA81">
        <v>2.6839968043961879</v>
      </c>
      <c r="CB81">
        <v>2.5297351610747638</v>
      </c>
      <c r="CC81">
        <v>2.6515188175950168</v>
      </c>
    </row>
    <row r="82" spans="1:81" x14ac:dyDescent="0.35">
      <c r="A82" t="s">
        <v>31</v>
      </c>
      <c r="B82">
        <v>-0.74211598875316931</v>
      </c>
      <c r="C82">
        <v>-0.49385273640168731</v>
      </c>
      <c r="D82">
        <v>6.8516218824322392E-2</v>
      </c>
      <c r="E82">
        <v>-0.25643735406321128</v>
      </c>
      <c r="F82">
        <v>-0.63955484556428877</v>
      </c>
      <c r="G82">
        <v>-1.6203965652618779E-2</v>
      </c>
      <c r="H82">
        <v>1.4222904010068751</v>
      </c>
      <c r="I82">
        <v>2.0472165092556711</v>
      </c>
      <c r="J82">
        <v>1.94462695217465</v>
      </c>
      <c r="K82">
        <v>1.3362875553580791</v>
      </c>
      <c r="L82">
        <v>0.63814914259691247</v>
      </c>
      <c r="M82">
        <v>1.217504099699541</v>
      </c>
      <c r="N82">
        <v>1.032678511798681</v>
      </c>
      <c r="O82">
        <v>1.399252499582577</v>
      </c>
      <c r="P82">
        <v>2.4258704165518208</v>
      </c>
      <c r="Q82">
        <v>3.3116757802554129</v>
      </c>
      <c r="R82">
        <v>3.9927613285742898</v>
      </c>
      <c r="S82">
        <v>3.8217743423228541</v>
      </c>
      <c r="T82">
        <v>3.386972448329264</v>
      </c>
      <c r="U82">
        <v>2.7112191030470632</v>
      </c>
      <c r="V82">
        <v>2.1574072676033071</v>
      </c>
      <c r="W82">
        <v>2.4924888142066179</v>
      </c>
      <c r="X82">
        <v>2.3135269248736399</v>
      </c>
      <c r="Y82">
        <v>2.3168287088859159</v>
      </c>
      <c r="Z82">
        <v>2.2672339701948032</v>
      </c>
      <c r="AA82">
        <v>2.4652356765201908</v>
      </c>
      <c r="AB82">
        <v>2.3902803595908368</v>
      </c>
      <c r="AC82">
        <v>2.652898702314515</v>
      </c>
      <c r="AD82">
        <v>2.3631641935910759</v>
      </c>
      <c r="AE82">
        <v>2.8955824229135119</v>
      </c>
      <c r="AF82">
        <v>2.9220137894846032</v>
      </c>
      <c r="AG82">
        <v>2.5285940851947881</v>
      </c>
      <c r="AH82">
        <v>2.593905590683705</v>
      </c>
      <c r="AI82">
        <v>2.3782850101532258</v>
      </c>
      <c r="AJ82">
        <v>2.1394572125164562</v>
      </c>
      <c r="AK82">
        <v>1.881284166256846</v>
      </c>
      <c r="AL82">
        <v>1.9202860266922701</v>
      </c>
      <c r="AM82">
        <v>2.4682761520459868</v>
      </c>
      <c r="AN82">
        <v>0.61128976445678251</v>
      </c>
      <c r="AO82">
        <v>-1.6875602399463521</v>
      </c>
      <c r="AP82">
        <v>2.869087425949441</v>
      </c>
      <c r="AQ82">
        <v>3.8911527861859421</v>
      </c>
      <c r="AR82">
        <v>4.0981781816619884</v>
      </c>
      <c r="AS82">
        <v>3.7854275007433689</v>
      </c>
      <c r="AT82">
        <v>3.165284755321101</v>
      </c>
      <c r="AU82">
        <v>3.622640436752028</v>
      </c>
      <c r="AV82">
        <v>4.2366843111088048</v>
      </c>
      <c r="AW82">
        <v>3.501594926394382</v>
      </c>
      <c r="AX82">
        <v>3.1088806654837469</v>
      </c>
      <c r="AY82">
        <v>3.3851840468391061</v>
      </c>
      <c r="AZ82">
        <v>3.440903491985428</v>
      </c>
      <c r="BA82">
        <v>3.4174262936975608</v>
      </c>
      <c r="BB82">
        <v>3.776638669172081</v>
      </c>
      <c r="BC82">
        <v>4.2109304470116156</v>
      </c>
      <c r="BD82">
        <v>4.2071261036635867</v>
      </c>
      <c r="BE82">
        <v>3.8840402472446831</v>
      </c>
      <c r="BF82">
        <v>3.652626454127867</v>
      </c>
      <c r="BG82">
        <v>3.5821936960439769</v>
      </c>
      <c r="BH82">
        <v>3.7828837701952072</v>
      </c>
      <c r="BI82">
        <v>3.9163245537128009</v>
      </c>
      <c r="BJ82">
        <v>3.6231255408649781</v>
      </c>
      <c r="BK82">
        <v>3.343495602377017</v>
      </c>
      <c r="BL82">
        <v>3.7229200103150819</v>
      </c>
      <c r="BM82">
        <v>4.0327915692159504</v>
      </c>
      <c r="BN82">
        <v>4.5159298262057659</v>
      </c>
      <c r="BO82">
        <v>4.6277505062795852</v>
      </c>
      <c r="BP82">
        <v>4.2515459652585186</v>
      </c>
      <c r="BQ82">
        <v>4.2228233280283156</v>
      </c>
      <c r="BR82">
        <v>4.2517744186356028</v>
      </c>
      <c r="BS82">
        <v>4.3852300063608158</v>
      </c>
      <c r="BT82">
        <v>4.0604509261607271</v>
      </c>
      <c r="BU82">
        <v>3.8403177175093051</v>
      </c>
      <c r="BV82">
        <v>3.5560926896444478</v>
      </c>
      <c r="BW82">
        <v>3.5067878694916348</v>
      </c>
      <c r="BX82">
        <v>3.701905353839849</v>
      </c>
      <c r="BY82">
        <v>3.8214769771273231</v>
      </c>
      <c r="BZ82">
        <v>4.2142874546598081</v>
      </c>
      <c r="CA82">
        <v>3.913067253634809</v>
      </c>
      <c r="CB82">
        <v>3.8294019169995281</v>
      </c>
      <c r="CC82">
        <v>3.9388122388381559</v>
      </c>
    </row>
    <row r="83" spans="1:81" x14ac:dyDescent="0.35">
      <c r="A83" t="s">
        <v>32</v>
      </c>
      <c r="B83">
        <v>0.75500418875769937</v>
      </c>
      <c r="C83">
        <v>0.23213374368187589</v>
      </c>
      <c r="D83">
        <v>0.25484715328186047</v>
      </c>
      <c r="E83">
        <v>6.5558357420215469E-3</v>
      </c>
      <c r="F83">
        <v>-3.8255429981102242E-2</v>
      </c>
      <c r="G83">
        <v>-4.7786681550864657E-2</v>
      </c>
      <c r="H83">
        <v>-0.1737487671309681</v>
      </c>
      <c r="I83">
        <v>-0.15291490853267289</v>
      </c>
      <c r="J83">
        <v>-0.13469258522965941</v>
      </c>
      <c r="K83">
        <v>-7.2462365198599887E-2</v>
      </c>
      <c r="L83">
        <v>-7.0500235350428958E-2</v>
      </c>
      <c r="M83">
        <v>-7.219800915418427E-2</v>
      </c>
      <c r="N83">
        <v>-0.14799210583809561</v>
      </c>
      <c r="O83">
        <v>-0.1547685581909142</v>
      </c>
      <c r="P83">
        <v>-7.914935907097248E-2</v>
      </c>
      <c r="Q83">
        <v>5.1463013800791858E-2</v>
      </c>
      <c r="R83">
        <v>1.9516627532992971E-2</v>
      </c>
      <c r="S83">
        <v>6.0727618618098722E-2</v>
      </c>
      <c r="T83">
        <v>9.28659135406751E-3</v>
      </c>
      <c r="U83">
        <v>7.5390181557863825E-2</v>
      </c>
      <c r="V83">
        <v>5.2268189118842227E-2</v>
      </c>
      <c r="W83">
        <v>1.9773642163775348E-2</v>
      </c>
      <c r="X83">
        <v>6.9698895971367853E-3</v>
      </c>
      <c r="Y83">
        <v>5.5743577991363008E-2</v>
      </c>
      <c r="Z83">
        <v>-0.15979511972968791</v>
      </c>
      <c r="AA83">
        <v>-0.26315529439849589</v>
      </c>
      <c r="AB83">
        <v>-0.34335916512947873</v>
      </c>
      <c r="AC83">
        <v>-0.21673894699575719</v>
      </c>
      <c r="AD83">
        <v>-9.6928410983412677E-2</v>
      </c>
      <c r="AE83">
        <v>-0.2389701560178884</v>
      </c>
      <c r="AF83">
        <v>-0.1282196318712675</v>
      </c>
      <c r="AG83">
        <v>-0.1876345806392978</v>
      </c>
      <c r="AH83">
        <v>-0.25502431127114861</v>
      </c>
      <c r="AI83">
        <v>-0.56300240441238214</v>
      </c>
      <c r="AJ83">
        <v>-0.6112519890624607</v>
      </c>
      <c r="AK83">
        <v>-0.2750897710458502</v>
      </c>
      <c r="AL83">
        <v>-0.31097755920803688</v>
      </c>
      <c r="AM83">
        <v>-0.34431583438836572</v>
      </c>
      <c r="AN83">
        <v>-0.30798481615492901</v>
      </c>
      <c r="AO83">
        <v>-0.32153283462641458</v>
      </c>
      <c r="AP83">
        <v>-0.504268243302606</v>
      </c>
      <c r="AQ83">
        <v>-0.26793158822023683</v>
      </c>
      <c r="AR83">
        <v>-0.21366795931610039</v>
      </c>
      <c r="AS83">
        <v>-0.14737971883789469</v>
      </c>
      <c r="AT83">
        <v>-4.1444837799854223E-2</v>
      </c>
      <c r="AU83">
        <v>-0.15817893870802049</v>
      </c>
      <c r="AV83">
        <v>1.8091238041337741E-2</v>
      </c>
      <c r="AW83">
        <v>-5.3162625034377339E-2</v>
      </c>
      <c r="AX83">
        <v>-0.18355416299350619</v>
      </c>
      <c r="AY83">
        <v>-0.22673457540914041</v>
      </c>
      <c r="AZ83">
        <v>-0.10653998083418111</v>
      </c>
      <c r="BA83">
        <v>-9.9925952896998155E-2</v>
      </c>
      <c r="BB83">
        <v>-8.5925378162461472E-2</v>
      </c>
      <c r="BC83">
        <v>0.19579064011823841</v>
      </c>
      <c r="BD83">
        <v>0.22113935649465591</v>
      </c>
      <c r="BE83">
        <v>-0.24199944262686809</v>
      </c>
      <c r="BF83">
        <v>-0.31606182282285411</v>
      </c>
      <c r="BG83">
        <v>-0.32643080187923867</v>
      </c>
      <c r="BH83">
        <v>-0.28130391222685708</v>
      </c>
      <c r="BI83">
        <v>-0.11096313797290649</v>
      </c>
      <c r="BJ83">
        <v>-0.23020791134194571</v>
      </c>
      <c r="BK83">
        <v>-0.32344265764625513</v>
      </c>
      <c r="BL83">
        <v>-0.26055256126891391</v>
      </c>
      <c r="BM83">
        <v>-0.13320023801918399</v>
      </c>
      <c r="BN83">
        <v>-9.8125683298665514E-2</v>
      </c>
      <c r="BO83">
        <v>-8.6272261021446514E-2</v>
      </c>
      <c r="BP83">
        <v>-9.8309422126945475E-2</v>
      </c>
      <c r="BQ83">
        <v>-0.14947396254342629</v>
      </c>
      <c r="BR83">
        <v>-0.13715575569160879</v>
      </c>
      <c r="BS83">
        <v>-0.1341847553477549</v>
      </c>
      <c r="BT83">
        <v>-0.13059918236624429</v>
      </c>
      <c r="BU83">
        <v>-0.12538875252565651</v>
      </c>
      <c r="BV83">
        <v>2.847547109680431E-2</v>
      </c>
      <c r="BW83">
        <v>-8.8576048885630101E-2</v>
      </c>
      <c r="BX83">
        <v>6.1266573981869417E-2</v>
      </c>
      <c r="BY83">
        <v>0.1523153576498279</v>
      </c>
      <c r="BZ83">
        <v>0.33523046922680411</v>
      </c>
      <c r="CA83">
        <v>0.27592010681983398</v>
      </c>
      <c r="CB83">
        <v>0.38134005362696999</v>
      </c>
      <c r="CC83">
        <v>0.1917314677456089</v>
      </c>
    </row>
    <row r="84" spans="1:81" x14ac:dyDescent="0.35">
      <c r="A84" t="s">
        <v>33</v>
      </c>
      <c r="B84">
        <v>130.2086746367635</v>
      </c>
      <c r="C84">
        <v>131.05200629501621</v>
      </c>
      <c r="D84">
        <v>131.42516516913111</v>
      </c>
      <c r="E84">
        <v>130.37828900031371</v>
      </c>
      <c r="F84">
        <v>132.99513002426019</v>
      </c>
      <c r="G84">
        <v>135.12700502504191</v>
      </c>
      <c r="H84">
        <v>136.60159180147701</v>
      </c>
      <c r="I84">
        <v>137.79070047600871</v>
      </c>
      <c r="J84">
        <v>137.75867460891129</v>
      </c>
      <c r="K84">
        <v>136.67691113045149</v>
      </c>
      <c r="L84">
        <v>135.65420231846591</v>
      </c>
      <c r="M84">
        <v>136.70498444625869</v>
      </c>
      <c r="N84">
        <v>136.9011045546435</v>
      </c>
      <c r="O84">
        <v>136.6561210265248</v>
      </c>
      <c r="P84">
        <v>137.43085910948531</v>
      </c>
      <c r="Q84">
        <v>138.13453482357869</v>
      </c>
      <c r="R84">
        <v>139.0907480143623</v>
      </c>
      <c r="S84">
        <v>138.04026583193411</v>
      </c>
      <c r="T84">
        <v>136.64989203170461</v>
      </c>
      <c r="U84">
        <v>137.20010134276751</v>
      </c>
      <c r="V84">
        <v>135.1003650602058</v>
      </c>
      <c r="W84">
        <v>135.04537669378479</v>
      </c>
      <c r="X84">
        <v>133.12574276976591</v>
      </c>
      <c r="Y84">
        <v>133.18654457679881</v>
      </c>
      <c r="Z84">
        <v>133.02866212511191</v>
      </c>
      <c r="AA84">
        <v>132.9893515791544</v>
      </c>
      <c r="AB84">
        <v>133.00920350983239</v>
      </c>
      <c r="AC84">
        <v>135.1612331444843</v>
      </c>
      <c r="AD84">
        <v>136.24483094654451</v>
      </c>
      <c r="AE84">
        <v>136.6408284984048</v>
      </c>
      <c r="AF84">
        <v>136.97167672504719</v>
      </c>
      <c r="AG84">
        <v>136.09855619831251</v>
      </c>
      <c r="AH84">
        <v>135.140484733389</v>
      </c>
      <c r="AI84">
        <v>134.23650351474089</v>
      </c>
      <c r="AJ84">
        <v>135.05770586597291</v>
      </c>
      <c r="AK84">
        <v>134.6331457045587</v>
      </c>
      <c r="AL84">
        <v>133.93285894269351</v>
      </c>
      <c r="AM84">
        <v>135.5087528026618</v>
      </c>
      <c r="AN84">
        <v>133.43426730720279</v>
      </c>
      <c r="AO84">
        <v>131.90832416257899</v>
      </c>
      <c r="AP84">
        <v>137.8501789127192</v>
      </c>
      <c r="AQ84">
        <v>137.60707461895629</v>
      </c>
      <c r="AR84">
        <v>137.90231533356041</v>
      </c>
      <c r="AS84">
        <v>139.7804612690156</v>
      </c>
      <c r="AT84">
        <v>140.5022572886011</v>
      </c>
      <c r="AU84">
        <v>140.68563420813521</v>
      </c>
      <c r="AV84">
        <v>141.28073602426079</v>
      </c>
      <c r="AW84">
        <v>140.48154089324419</v>
      </c>
      <c r="AX84">
        <v>139.50167748785219</v>
      </c>
      <c r="AY84">
        <v>139.4396097113198</v>
      </c>
      <c r="AZ84">
        <v>138.72959364983359</v>
      </c>
      <c r="BA84">
        <v>140.56014896930921</v>
      </c>
      <c r="BB84">
        <v>142.56662198906031</v>
      </c>
      <c r="BC84">
        <v>143.91426563865321</v>
      </c>
      <c r="BD84">
        <v>144.48579827865561</v>
      </c>
      <c r="BE84">
        <v>143.94539784658031</v>
      </c>
      <c r="BF84">
        <v>143.64304332479841</v>
      </c>
      <c r="BG84">
        <v>143.36427419471909</v>
      </c>
      <c r="BH84">
        <v>143.49032358152951</v>
      </c>
      <c r="BI84">
        <v>144.25913728559891</v>
      </c>
      <c r="BJ84">
        <v>143.96020288048359</v>
      </c>
      <c r="BK84">
        <v>143.05960656677141</v>
      </c>
      <c r="BL84">
        <v>142.99458594791321</v>
      </c>
      <c r="BM84">
        <v>144.78605023133031</v>
      </c>
      <c r="BN84">
        <v>146.69564271445489</v>
      </c>
      <c r="BO84">
        <v>147.7360919541712</v>
      </c>
      <c r="BP84">
        <v>147.44092451522829</v>
      </c>
      <c r="BQ84">
        <v>146.8829059171299</v>
      </c>
      <c r="BR84">
        <v>147.8236567870519</v>
      </c>
      <c r="BS84">
        <v>149.00671550995619</v>
      </c>
      <c r="BT84">
        <v>148.77143126283701</v>
      </c>
      <c r="BU84">
        <v>150.8151783994754</v>
      </c>
      <c r="BV84">
        <v>150.9589535459223</v>
      </c>
      <c r="BW84">
        <v>149.6395075797513</v>
      </c>
      <c r="BX84">
        <v>149.63938096235049</v>
      </c>
      <c r="BY84">
        <v>150.7423564745705</v>
      </c>
      <c r="BZ84">
        <v>152.42353278674321</v>
      </c>
      <c r="CA84">
        <v>151.98367350201511</v>
      </c>
      <c r="CB84">
        <v>152.02026857312791</v>
      </c>
      <c r="CC84">
        <v>152.4462504190459</v>
      </c>
    </row>
    <row r="85" spans="1:81" x14ac:dyDescent="0.35">
      <c r="A85" t="s">
        <v>34</v>
      </c>
      <c r="B85">
        <v>55670501.049999997</v>
      </c>
      <c r="C85">
        <v>55278009.369999997</v>
      </c>
      <c r="D85">
        <v>90822671.360000014</v>
      </c>
      <c r="E85">
        <v>53988177.840000004</v>
      </c>
      <c r="F85">
        <v>61084721.349999987</v>
      </c>
      <c r="G85">
        <v>70150639.599999994</v>
      </c>
      <c r="H85">
        <v>70867703.849999994</v>
      </c>
      <c r="I85">
        <v>62651428.25</v>
      </c>
      <c r="J85">
        <v>57039526.990000002</v>
      </c>
      <c r="K85">
        <v>56440735.460000001</v>
      </c>
      <c r="L85">
        <v>49910000.579999998</v>
      </c>
      <c r="M85">
        <v>52590216.259999998</v>
      </c>
      <c r="N85">
        <v>56969745.950000003</v>
      </c>
      <c r="O85">
        <v>59163489.719999999</v>
      </c>
      <c r="P85">
        <v>132123983.51000001</v>
      </c>
      <c r="Q85">
        <v>133201250.08</v>
      </c>
      <c r="R85">
        <v>109109910.7</v>
      </c>
      <c r="S85">
        <v>111230085.31999999</v>
      </c>
      <c r="T85">
        <v>98313468.549999997</v>
      </c>
      <c r="U85">
        <v>92887453.160000011</v>
      </c>
      <c r="V85">
        <v>87395082.400000006</v>
      </c>
      <c r="W85">
        <v>80569697.450000018</v>
      </c>
      <c r="X85">
        <v>77949332.019999996</v>
      </c>
      <c r="Y85">
        <v>77122678.530000001</v>
      </c>
      <c r="Z85">
        <v>62825093.719999999</v>
      </c>
      <c r="AA85">
        <v>66620857.840000004</v>
      </c>
      <c r="AB85">
        <v>102821805.75</v>
      </c>
      <c r="AC85">
        <v>80558404.109999999</v>
      </c>
      <c r="AD85">
        <v>72984697.359999999</v>
      </c>
      <c r="AE85">
        <v>70723294.629999995</v>
      </c>
      <c r="AF85">
        <v>58227280.25</v>
      </c>
      <c r="AG85">
        <v>66291796.700000003</v>
      </c>
      <c r="AH85">
        <v>64757534.090000004</v>
      </c>
      <c r="AI85">
        <v>55994623.439999998</v>
      </c>
      <c r="AJ85">
        <v>44101847.880000003</v>
      </c>
      <c r="AK85">
        <v>41601683.979999997</v>
      </c>
      <c r="AL85">
        <v>41939026.649999999</v>
      </c>
      <c r="AM85">
        <v>40188504.619999997</v>
      </c>
      <c r="AN85">
        <v>40458361.310000002</v>
      </c>
      <c r="AO85">
        <v>15018635.32</v>
      </c>
      <c r="AP85">
        <v>50735097.420000002</v>
      </c>
      <c r="AQ85">
        <v>61457290.170000002</v>
      </c>
      <c r="AR85">
        <v>58450054.619999997</v>
      </c>
      <c r="AS85">
        <v>65571434.770000011</v>
      </c>
      <c r="AT85">
        <v>59067789.020000003</v>
      </c>
      <c r="AU85">
        <v>70730295.25</v>
      </c>
      <c r="AV85">
        <v>89470626.620000005</v>
      </c>
      <c r="AW85">
        <v>76825721.5</v>
      </c>
      <c r="AX85">
        <v>85861414.789999992</v>
      </c>
      <c r="AY85">
        <v>107476859.87</v>
      </c>
      <c r="AZ85">
        <v>193074124.59999999</v>
      </c>
      <c r="BA85">
        <v>157236987.24000001</v>
      </c>
      <c r="BB85">
        <v>138934717.93000001</v>
      </c>
      <c r="BC85">
        <v>122666724.90000001</v>
      </c>
      <c r="BD85">
        <v>123721157.73</v>
      </c>
      <c r="BE85">
        <v>92330094.530000001</v>
      </c>
      <c r="BF85">
        <v>92988940.629999995</v>
      </c>
      <c r="BG85">
        <v>115859134.44</v>
      </c>
      <c r="BH85">
        <v>100577953.67</v>
      </c>
      <c r="BI85">
        <v>117028059.23999999</v>
      </c>
      <c r="BJ85">
        <v>138565384.91999999</v>
      </c>
      <c r="BK85">
        <v>141288094.31999999</v>
      </c>
      <c r="BL85">
        <v>253292784.5</v>
      </c>
      <c r="BM85">
        <v>197010590.69999999</v>
      </c>
      <c r="BN85">
        <v>169010737.27000001</v>
      </c>
      <c r="BO85">
        <v>155130307.84</v>
      </c>
      <c r="BP85">
        <v>159751592.68000001</v>
      </c>
      <c r="BQ85">
        <v>142325185.88999999</v>
      </c>
      <c r="BR85">
        <v>140937369.5</v>
      </c>
      <c r="BS85">
        <v>140690315.84</v>
      </c>
      <c r="BT85">
        <v>104764828.3</v>
      </c>
      <c r="BU85">
        <v>115427954.08</v>
      </c>
      <c r="BV85">
        <v>112876337.20999999</v>
      </c>
      <c r="BW85">
        <v>137217041.49000001</v>
      </c>
      <c r="BX85">
        <v>230712607.88</v>
      </c>
      <c r="BY85">
        <v>172216376.33000001</v>
      </c>
      <c r="BZ85">
        <v>154312112.15000001</v>
      </c>
      <c r="CA85">
        <v>144543253.83000001</v>
      </c>
      <c r="CB85">
        <v>140688318.93000001</v>
      </c>
      <c r="CC85">
        <v>118057963.09999999</v>
      </c>
    </row>
    <row r="86" spans="1:81" x14ac:dyDescent="0.35">
      <c r="A86" t="s">
        <v>35</v>
      </c>
      <c r="B86">
        <v>1.8577416057034639</v>
      </c>
      <c r="C86">
        <v>1.8333543953336719</v>
      </c>
      <c r="D86">
        <v>1.7557581547333969</v>
      </c>
      <c r="E86">
        <v>1.77242703571927</v>
      </c>
      <c r="F86">
        <v>1.8409262023264841</v>
      </c>
      <c r="G86">
        <v>1.795285049830323</v>
      </c>
      <c r="H86">
        <v>1.6509020666074281</v>
      </c>
      <c r="I86">
        <v>1.5881678988647889</v>
      </c>
      <c r="J86">
        <v>1.5998936719463901</v>
      </c>
      <c r="K86">
        <v>1.651582987959342</v>
      </c>
      <c r="L86">
        <v>1.7251510458414461</v>
      </c>
      <c r="M86">
        <v>1.6233978470613619</v>
      </c>
      <c r="N86">
        <v>1.6447871923147199</v>
      </c>
      <c r="O86">
        <v>1.588541213320757</v>
      </c>
      <c r="P86">
        <v>1.5064456214296109</v>
      </c>
      <c r="Q86">
        <v>1.4278044137781469</v>
      </c>
      <c r="R86">
        <v>1.39067853020782</v>
      </c>
      <c r="S86">
        <v>1.4035617576469439</v>
      </c>
      <c r="T86">
        <v>1.4323979565846801</v>
      </c>
      <c r="U86">
        <v>1.4844095083892579</v>
      </c>
      <c r="V86">
        <v>1.521406473576983</v>
      </c>
      <c r="W86">
        <v>1.5121912059904981</v>
      </c>
      <c r="X86">
        <v>1.5363516027281301</v>
      </c>
      <c r="Y86">
        <v>1.535696828942676</v>
      </c>
      <c r="Z86">
        <v>1.5214681054299251</v>
      </c>
      <c r="AA86">
        <v>1.5145076066958481</v>
      </c>
      <c r="AB86">
        <v>1.5227799140517251</v>
      </c>
      <c r="AC86">
        <v>1.514964832331505</v>
      </c>
      <c r="AD86">
        <v>1.531705879770872</v>
      </c>
      <c r="AE86">
        <v>1.4929345605655071</v>
      </c>
      <c r="AF86">
        <v>1.5032689848711001</v>
      </c>
      <c r="AG86">
        <v>1.5207126423738599</v>
      </c>
      <c r="AH86">
        <v>1.510112605120308</v>
      </c>
      <c r="AI86">
        <v>1.497154554966962</v>
      </c>
      <c r="AJ86">
        <v>1.489686440371059</v>
      </c>
      <c r="AK86">
        <v>1.4907631738608049</v>
      </c>
      <c r="AL86">
        <v>1.477146686546474</v>
      </c>
      <c r="AM86">
        <v>1.4394586325999339</v>
      </c>
      <c r="AN86">
        <v>1.5717690517569849</v>
      </c>
      <c r="AO86">
        <v>1.836677878042754</v>
      </c>
      <c r="AP86">
        <v>1.441698870616678</v>
      </c>
      <c r="AQ86">
        <v>1.3469697715432849</v>
      </c>
      <c r="AR86">
        <v>1.3459759952278509</v>
      </c>
      <c r="AS86">
        <v>1.3887145680618069</v>
      </c>
      <c r="AT86">
        <v>1.4538894573361121</v>
      </c>
      <c r="AU86">
        <v>1.4269948587602299</v>
      </c>
      <c r="AV86">
        <v>1.4083866709380539</v>
      </c>
      <c r="AW86">
        <v>1.4482513994311019</v>
      </c>
      <c r="AX86">
        <v>1.4716981140536569</v>
      </c>
      <c r="AY86">
        <v>1.4694987467020439</v>
      </c>
      <c r="AZ86">
        <v>1.4615401433989901</v>
      </c>
      <c r="BA86">
        <v>1.465402536714385</v>
      </c>
      <c r="BB86">
        <v>1.4539334398610699</v>
      </c>
      <c r="BC86">
        <v>1.4368567863106141</v>
      </c>
      <c r="BD86">
        <v>1.4254682944785231</v>
      </c>
      <c r="BE86">
        <v>1.4398086897497111</v>
      </c>
      <c r="BF86">
        <v>1.4509038525085789</v>
      </c>
      <c r="BG86">
        <v>1.464271757934402</v>
      </c>
      <c r="BH86">
        <v>1.4447346979140101</v>
      </c>
      <c r="BI86">
        <v>1.433583444166997</v>
      </c>
      <c r="BJ86">
        <v>1.4516059394787451</v>
      </c>
      <c r="BK86">
        <v>1.460675775888743</v>
      </c>
      <c r="BL86">
        <v>1.4392732277066469</v>
      </c>
      <c r="BM86">
        <v>1.427326971457906</v>
      </c>
      <c r="BN86">
        <v>1.4083998934821671</v>
      </c>
      <c r="BO86">
        <v>1.399158887349353</v>
      </c>
      <c r="BP86">
        <v>1.422357529276953</v>
      </c>
      <c r="BQ86">
        <v>1.419804938683892</v>
      </c>
      <c r="BR86">
        <v>1.4028235703430909</v>
      </c>
      <c r="BS86">
        <v>1.387548175972964</v>
      </c>
      <c r="BT86">
        <v>1.408740857452188</v>
      </c>
      <c r="BU86">
        <v>1.443771387410284</v>
      </c>
      <c r="BV86">
        <v>1.4593173039844261</v>
      </c>
      <c r="BW86">
        <v>1.4686103476973249</v>
      </c>
      <c r="BX86">
        <v>1.461570821114401</v>
      </c>
      <c r="BY86">
        <v>1.4718801012922731</v>
      </c>
      <c r="BZ86">
        <v>1.4643380903399399</v>
      </c>
      <c r="CA86">
        <v>1.4868282388760159</v>
      </c>
      <c r="CB86">
        <v>1.4945158287123601</v>
      </c>
      <c r="CC86">
        <v>1.4925637513647521</v>
      </c>
    </row>
    <row r="87" spans="1:81" x14ac:dyDescent="0.35">
      <c r="A87" t="s">
        <v>36</v>
      </c>
      <c r="B87">
        <v>0.23416624573999589</v>
      </c>
      <c r="C87">
        <v>0.24155625156492491</v>
      </c>
      <c r="D87">
        <v>0.24070287312935301</v>
      </c>
      <c r="E87">
        <v>0.24363714932059649</v>
      </c>
      <c r="F87">
        <v>0.24504838067393431</v>
      </c>
      <c r="G87">
        <v>0.24591568556228099</v>
      </c>
      <c r="H87">
        <v>0.2475209366200172</v>
      </c>
      <c r="I87">
        <v>0.24677449890852249</v>
      </c>
      <c r="J87">
        <v>0.24671393824628199</v>
      </c>
      <c r="K87">
        <v>0.2457802368308119</v>
      </c>
      <c r="L87">
        <v>0.24580251804294809</v>
      </c>
      <c r="M87">
        <v>0.24491288360843869</v>
      </c>
      <c r="N87">
        <v>0.24622813674785521</v>
      </c>
      <c r="O87">
        <v>0.24562824486926479</v>
      </c>
      <c r="P87">
        <v>0.2446325892618858</v>
      </c>
      <c r="Q87">
        <v>0.2422844513029889</v>
      </c>
      <c r="R87">
        <v>0.243137921309865</v>
      </c>
      <c r="S87">
        <v>0.24260872347811971</v>
      </c>
      <c r="T87">
        <v>0.24330701180427361</v>
      </c>
      <c r="U87">
        <v>0.24246617175068211</v>
      </c>
      <c r="V87">
        <v>0.24256263246635479</v>
      </c>
      <c r="W87">
        <v>0.24363822153938089</v>
      </c>
      <c r="X87">
        <v>0.24413764293146539</v>
      </c>
      <c r="Y87">
        <v>0.24343757022553189</v>
      </c>
      <c r="Z87">
        <v>0.24594074772038771</v>
      </c>
      <c r="AA87">
        <v>0.24766907302736921</v>
      </c>
      <c r="AB87">
        <v>0.24891343014520129</v>
      </c>
      <c r="AC87">
        <v>0.24751906927861811</v>
      </c>
      <c r="AD87">
        <v>0.2455948704704336</v>
      </c>
      <c r="AE87">
        <v>0.24755931080298149</v>
      </c>
      <c r="AF87">
        <v>0.2464233916006407</v>
      </c>
      <c r="AG87">
        <v>0.24685816486791651</v>
      </c>
      <c r="AH87">
        <v>0.24762337266687609</v>
      </c>
      <c r="AI87">
        <v>0.25094669016210153</v>
      </c>
      <c r="AJ87">
        <v>0.25079516745782221</v>
      </c>
      <c r="AK87">
        <v>0.24518917054241801</v>
      </c>
      <c r="AL87">
        <v>0.24535742074353209</v>
      </c>
      <c r="AM87">
        <v>0.24594865681129829</v>
      </c>
      <c r="AN87">
        <v>0.24506134777278751</v>
      </c>
      <c r="AO87">
        <v>0.2460084094703219</v>
      </c>
      <c r="AP87">
        <v>0.24955721699806679</v>
      </c>
      <c r="AQ87">
        <v>0.24527753743584879</v>
      </c>
      <c r="AR87">
        <v>0.24493470438695369</v>
      </c>
      <c r="AS87">
        <v>0.24485423318669891</v>
      </c>
      <c r="AT87">
        <v>0.24413859505010799</v>
      </c>
      <c r="AU87">
        <v>0.24595734448097051</v>
      </c>
      <c r="AV87">
        <v>0.24432576597866901</v>
      </c>
      <c r="AW87">
        <v>0.24494164612342759</v>
      </c>
      <c r="AX87">
        <v>0.24664603442284849</v>
      </c>
      <c r="AY87">
        <v>0.24789307403662239</v>
      </c>
      <c r="AZ87">
        <v>0.24607346377101219</v>
      </c>
      <c r="BA87">
        <v>0.24602925816669319</v>
      </c>
      <c r="BB87">
        <v>0.2463905797935714</v>
      </c>
      <c r="BC87">
        <v>0.24286714495320449</v>
      </c>
      <c r="BD87">
        <v>0.24209122041401221</v>
      </c>
      <c r="BE87">
        <v>0.24839165975321351</v>
      </c>
      <c r="BF87">
        <v>0.24929878874877989</v>
      </c>
      <c r="BG87">
        <v>0.24974428150464911</v>
      </c>
      <c r="BH87">
        <v>0.2488645117789379</v>
      </c>
      <c r="BI87">
        <v>0.24638294580544221</v>
      </c>
      <c r="BJ87">
        <v>0.24800691095631389</v>
      </c>
      <c r="BK87">
        <v>0.24896557779765999</v>
      </c>
      <c r="BL87">
        <v>0.24824301489592179</v>
      </c>
      <c r="BM87">
        <v>0.24674353127210841</v>
      </c>
      <c r="BN87">
        <v>0.24671805842125361</v>
      </c>
      <c r="BO87">
        <v>0.246436739960014</v>
      </c>
      <c r="BP87">
        <v>0.24657863293634991</v>
      </c>
      <c r="BQ87">
        <v>0.2471333117594455</v>
      </c>
      <c r="BR87">
        <v>0.24637563025204609</v>
      </c>
      <c r="BS87">
        <v>0.24608983653582961</v>
      </c>
      <c r="BT87">
        <v>0.24604784696951579</v>
      </c>
      <c r="BU87">
        <v>0.2467054839240897</v>
      </c>
      <c r="BV87">
        <v>0.24433828412352221</v>
      </c>
      <c r="BW87">
        <v>0.2462728508769445</v>
      </c>
      <c r="BX87">
        <v>0.2443643120779716</v>
      </c>
      <c r="BY87">
        <v>0.24370714338745611</v>
      </c>
      <c r="BZ87">
        <v>0.24184047384495941</v>
      </c>
      <c r="CA87">
        <v>0.242767174005038</v>
      </c>
      <c r="CB87">
        <v>0.24129023747906861</v>
      </c>
      <c r="CC87">
        <v>0.24424498254708579</v>
      </c>
    </row>
    <row r="89" spans="1:81" x14ac:dyDescent="0.35">
      <c r="A89" t="s">
        <v>44</v>
      </c>
      <c r="B89" t="s">
        <v>75</v>
      </c>
      <c r="C89" t="s">
        <v>76</v>
      </c>
      <c r="D89" t="s">
        <v>77</v>
      </c>
      <c r="E89" t="s">
        <v>78</v>
      </c>
      <c r="F89" t="s">
        <v>79</v>
      </c>
      <c r="G89" t="s">
        <v>80</v>
      </c>
      <c r="H89" t="s">
        <v>81</v>
      </c>
      <c r="I89" t="s">
        <v>82</v>
      </c>
      <c r="J89" t="s">
        <v>83</v>
      </c>
      <c r="K89" t="s">
        <v>84</v>
      </c>
      <c r="L89" t="s">
        <v>85</v>
      </c>
      <c r="M89" t="s">
        <v>86</v>
      </c>
      <c r="N89" t="s">
        <v>87</v>
      </c>
      <c r="O89" t="s">
        <v>88</v>
      </c>
      <c r="P89" t="s">
        <v>89</v>
      </c>
      <c r="Q89" t="s">
        <v>90</v>
      </c>
      <c r="R89" t="s">
        <v>91</v>
      </c>
      <c r="S89" t="s">
        <v>92</v>
      </c>
      <c r="T89" t="s">
        <v>93</v>
      </c>
      <c r="U89" t="s">
        <v>94</v>
      </c>
      <c r="V89" t="s">
        <v>95</v>
      </c>
      <c r="W89" t="s">
        <v>96</v>
      </c>
      <c r="X89" t="s">
        <v>97</v>
      </c>
      <c r="Y89" t="s">
        <v>98</v>
      </c>
      <c r="Z89" t="s">
        <v>99</v>
      </c>
      <c r="AA89" t="s">
        <v>100</v>
      </c>
      <c r="AB89" t="s">
        <v>101</v>
      </c>
      <c r="AC89" t="s">
        <v>102</v>
      </c>
      <c r="AD89" t="s">
        <v>103</v>
      </c>
      <c r="AE89" t="s">
        <v>104</v>
      </c>
      <c r="AF89" t="s">
        <v>105</v>
      </c>
      <c r="AG89" t="s">
        <v>106</v>
      </c>
      <c r="AH89" t="s">
        <v>107</v>
      </c>
      <c r="AI89" t="s">
        <v>108</v>
      </c>
      <c r="AJ89" t="s">
        <v>109</v>
      </c>
      <c r="AK89" t="s">
        <v>110</v>
      </c>
      <c r="AL89" t="s">
        <v>111</v>
      </c>
      <c r="AM89" t="s">
        <v>112</v>
      </c>
      <c r="AN89" t="s">
        <v>113</v>
      </c>
      <c r="AO89" t="s">
        <v>114</v>
      </c>
      <c r="AP89" t="s">
        <v>115</v>
      </c>
      <c r="AQ89" t="s">
        <v>116</v>
      </c>
      <c r="AR89" t="s">
        <v>117</v>
      </c>
      <c r="AS89" t="s">
        <v>118</v>
      </c>
      <c r="AT89" t="s">
        <v>119</v>
      </c>
      <c r="AU89" t="s">
        <v>120</v>
      </c>
      <c r="AV89" t="s">
        <v>121</v>
      </c>
      <c r="AW89" t="s">
        <v>122</v>
      </c>
      <c r="AX89" t="s">
        <v>123</v>
      </c>
      <c r="AY89" t="s">
        <v>124</v>
      </c>
      <c r="AZ89" t="s">
        <v>125</v>
      </c>
      <c r="BA89" t="s">
        <v>126</v>
      </c>
      <c r="BB89" t="s">
        <v>127</v>
      </c>
      <c r="BC89" t="s">
        <v>46</v>
      </c>
      <c r="BD89" t="s">
        <v>47</v>
      </c>
      <c r="BE89" t="s">
        <v>48</v>
      </c>
      <c r="BF89" t="s">
        <v>49</v>
      </c>
      <c r="BG89" t="s">
        <v>50</v>
      </c>
      <c r="BH89" t="s">
        <v>51</v>
      </c>
      <c r="BI89" t="s">
        <v>52</v>
      </c>
      <c r="BJ89" t="s">
        <v>53</v>
      </c>
      <c r="BK89" t="s">
        <v>54</v>
      </c>
      <c r="BL89" t="s">
        <v>55</v>
      </c>
      <c r="BM89" t="s">
        <v>56</v>
      </c>
      <c r="BN89" t="s">
        <v>57</v>
      </c>
      <c r="BO89" t="s">
        <v>58</v>
      </c>
      <c r="BP89" t="s">
        <v>59</v>
      </c>
      <c r="BQ89" t="s">
        <v>60</v>
      </c>
      <c r="BR89" t="s">
        <v>61</v>
      </c>
      <c r="BS89" t="s">
        <v>62</v>
      </c>
      <c r="BT89" t="s">
        <v>63</v>
      </c>
      <c r="BU89" t="s">
        <v>64</v>
      </c>
      <c r="BV89" t="s">
        <v>65</v>
      </c>
      <c r="BW89" t="s">
        <v>66</v>
      </c>
      <c r="BX89" t="s">
        <v>67</v>
      </c>
      <c r="BY89" t="s">
        <v>68</v>
      </c>
      <c r="BZ89" t="s">
        <v>69</v>
      </c>
      <c r="CA89" t="s">
        <v>70</v>
      </c>
      <c r="CB89" t="s">
        <v>71</v>
      </c>
      <c r="CC89" t="s">
        <v>128</v>
      </c>
    </row>
    <row r="90" spans="1:81" x14ac:dyDescent="0.35">
      <c r="A90" t="s">
        <v>28</v>
      </c>
      <c r="B90">
        <v>133.45509288460039</v>
      </c>
      <c r="C90">
        <v>134.17590483625489</v>
      </c>
      <c r="D90">
        <v>133.62369865154781</v>
      </c>
      <c r="E90">
        <v>133.32766144465009</v>
      </c>
      <c r="F90">
        <v>136.3382331449854</v>
      </c>
      <c r="G90">
        <v>137.45621864012159</v>
      </c>
      <c r="H90">
        <v>137.75195359247331</v>
      </c>
      <c r="I90">
        <v>137.43721332128041</v>
      </c>
      <c r="J90">
        <v>137.16606730736521</v>
      </c>
      <c r="K90">
        <v>136.4961059076081</v>
      </c>
      <c r="L90">
        <v>135.9255117498183</v>
      </c>
      <c r="M90">
        <v>136.20875611062061</v>
      </c>
      <c r="N90">
        <v>135.9344290309065</v>
      </c>
      <c r="O90">
        <v>135.11961692244591</v>
      </c>
      <c r="P90">
        <v>134.88607745290309</v>
      </c>
      <c r="Q90">
        <v>135.05343432097879</v>
      </c>
      <c r="R90">
        <v>135.04374843489299</v>
      </c>
      <c r="S90">
        <v>134.70398914697631</v>
      </c>
      <c r="T90">
        <v>133.5140694034101</v>
      </c>
      <c r="U90">
        <v>135.4218841867808</v>
      </c>
      <c r="V90">
        <v>133.53015478834249</v>
      </c>
      <c r="W90">
        <v>133.51064149032959</v>
      </c>
      <c r="X90">
        <v>132.5244884859008</v>
      </c>
      <c r="Y90">
        <v>132.24930610955599</v>
      </c>
      <c r="Z90">
        <v>132.18006410245749</v>
      </c>
      <c r="AA90">
        <v>132.5137933956386</v>
      </c>
      <c r="AB90">
        <v>133.45884134895391</v>
      </c>
      <c r="AC90">
        <v>134.53261178037059</v>
      </c>
      <c r="AD90">
        <v>134.62874733030441</v>
      </c>
      <c r="AE90">
        <v>135.23826459882329</v>
      </c>
      <c r="AF90">
        <v>135.81870740598501</v>
      </c>
      <c r="AG90">
        <v>136.03802923556171</v>
      </c>
      <c r="AH90">
        <v>135.7222505374304</v>
      </c>
      <c r="AI90">
        <v>136.22649042655391</v>
      </c>
      <c r="AJ90">
        <v>137.54579634314129</v>
      </c>
      <c r="AK90">
        <v>137.78434175444531</v>
      </c>
      <c r="AL90">
        <v>138.54972646122391</v>
      </c>
      <c r="AM90">
        <v>138.6142556458511</v>
      </c>
      <c r="AN90">
        <v>138.80379437184649</v>
      </c>
      <c r="AO90">
        <v>139.8115101735969</v>
      </c>
      <c r="AP90">
        <v>139.32047744008261</v>
      </c>
      <c r="AQ90">
        <v>138.54508425676099</v>
      </c>
      <c r="AR90">
        <v>137.6556227146192</v>
      </c>
      <c r="AS90">
        <v>138.62555660947899</v>
      </c>
      <c r="AT90">
        <v>138.92546086534861</v>
      </c>
      <c r="AU90">
        <v>138.61367761147139</v>
      </c>
      <c r="AV90">
        <v>137.40111703320849</v>
      </c>
      <c r="AW90">
        <v>138.9131928835051</v>
      </c>
      <c r="AX90">
        <v>138.85020830003609</v>
      </c>
      <c r="AY90">
        <v>137.98323537899651</v>
      </c>
      <c r="AZ90">
        <v>138.33501496560231</v>
      </c>
      <c r="BA90">
        <v>138.9554346255164</v>
      </c>
      <c r="BB90">
        <v>139.3046362861005</v>
      </c>
      <c r="BC90">
        <v>139.409465027321</v>
      </c>
      <c r="BD90">
        <v>139.28643247525741</v>
      </c>
      <c r="BE90">
        <v>139.57204485469941</v>
      </c>
      <c r="BF90">
        <v>139.7250086133144</v>
      </c>
      <c r="BG90">
        <v>139.12930530296231</v>
      </c>
      <c r="BH90">
        <v>138.46173946507389</v>
      </c>
      <c r="BI90">
        <v>138.20563202426129</v>
      </c>
      <c r="BJ90">
        <v>138.27244921064849</v>
      </c>
      <c r="BK90">
        <v>138.25758871283639</v>
      </c>
      <c r="BL90">
        <v>138.32301481228819</v>
      </c>
      <c r="BM90">
        <v>138.789348300879</v>
      </c>
      <c r="BN90">
        <v>139.16321017760691</v>
      </c>
      <c r="BO90">
        <v>139.3087717221988</v>
      </c>
      <c r="BP90">
        <v>139.49006400491501</v>
      </c>
      <c r="BQ90">
        <v>139.1975125450744</v>
      </c>
      <c r="BR90">
        <v>139.42868483418721</v>
      </c>
      <c r="BS90">
        <v>139.60443721237499</v>
      </c>
      <c r="BT90">
        <v>140.00913809613621</v>
      </c>
      <c r="BU90">
        <v>141.24874536290639</v>
      </c>
      <c r="BV90">
        <v>141.5295371465235</v>
      </c>
      <c r="BW90">
        <v>141.68437655979039</v>
      </c>
      <c r="BX90">
        <v>141.92315525192791</v>
      </c>
      <c r="BY90">
        <v>142.29312664955191</v>
      </c>
      <c r="BZ90">
        <v>142.47163563301589</v>
      </c>
      <c r="CA90">
        <v>142.68565628753609</v>
      </c>
      <c r="CB90">
        <v>142.92769666630139</v>
      </c>
      <c r="CC90">
        <v>143.47432099082079</v>
      </c>
    </row>
    <row r="91" spans="1:81" x14ac:dyDescent="0.35">
      <c r="A91" t="s">
        <v>29</v>
      </c>
      <c r="B91">
        <v>2.5575734899442168</v>
      </c>
      <c r="C91">
        <v>2.7194893589407352</v>
      </c>
      <c r="D91">
        <v>2.657243308514925</v>
      </c>
      <c r="E91">
        <v>2.1320223303251078</v>
      </c>
      <c r="F91">
        <v>2.8344048553023291</v>
      </c>
      <c r="G91">
        <v>2.9446407285364629</v>
      </c>
      <c r="H91">
        <v>2.8399334303917492</v>
      </c>
      <c r="I91">
        <v>2.723057851703151</v>
      </c>
      <c r="J91">
        <v>2.7815750280162099</v>
      </c>
      <c r="K91">
        <v>2.563465881485099</v>
      </c>
      <c r="L91">
        <v>2.5357744681075678</v>
      </c>
      <c r="M91">
        <v>2.286437507101573</v>
      </c>
      <c r="N91">
        <v>2.522390814109106</v>
      </c>
      <c r="O91">
        <v>2.6355796208530959</v>
      </c>
      <c r="P91">
        <v>2.5614840066816051</v>
      </c>
      <c r="Q91">
        <v>2.2387651317945512</v>
      </c>
      <c r="R91">
        <v>2.084979181860255</v>
      </c>
      <c r="S91">
        <v>1.952093827532891</v>
      </c>
      <c r="T91">
        <v>2.086282047353468</v>
      </c>
      <c r="U91">
        <v>1.6356129263998651</v>
      </c>
      <c r="V91">
        <v>1.3981108187025999</v>
      </c>
      <c r="W91">
        <v>1.378012355184199</v>
      </c>
      <c r="X91">
        <v>1.1640196869190469</v>
      </c>
      <c r="Y91">
        <v>1.063824806711843</v>
      </c>
      <c r="Z91">
        <v>0.69127369397040572</v>
      </c>
      <c r="AA91">
        <v>-2.0460205992281939E-2</v>
      </c>
      <c r="AB91">
        <v>0.70525265643549562</v>
      </c>
      <c r="AC91">
        <v>0.93728824801028421</v>
      </c>
      <c r="AD91">
        <v>0.98287952025021985</v>
      </c>
      <c r="AE91">
        <v>0.8383288482072857</v>
      </c>
      <c r="AF91">
        <v>0.81159499471921481</v>
      </c>
      <c r="AG91">
        <v>0.71773572780013295</v>
      </c>
      <c r="AH91">
        <v>0.50947916893798628</v>
      </c>
      <c r="AI91">
        <v>0.80988351778040391</v>
      </c>
      <c r="AJ91">
        <v>0.67422378243660985</v>
      </c>
      <c r="AK91">
        <v>0.64844102589992336</v>
      </c>
      <c r="AL91">
        <v>0.68695141982925412</v>
      </c>
      <c r="AM91">
        <v>0.64019641981703956</v>
      </c>
      <c r="AN91">
        <v>0.318535512621899</v>
      </c>
      <c r="AO91">
        <v>0.77482331143996175</v>
      </c>
      <c r="AP91">
        <v>1.0233412011503371</v>
      </c>
      <c r="AQ91">
        <v>0.78506407347171858</v>
      </c>
      <c r="AR91">
        <v>0.73519357071579172</v>
      </c>
      <c r="AS91">
        <v>0.87044840458858175</v>
      </c>
      <c r="AT91">
        <v>1.1283721628322001</v>
      </c>
      <c r="AU91">
        <v>0.99966155447670535</v>
      </c>
      <c r="AV91">
        <v>0.90674893026783021</v>
      </c>
      <c r="AW91">
        <v>1.374799565265072</v>
      </c>
      <c r="AX91">
        <v>0.76530931949406322</v>
      </c>
      <c r="AY91">
        <v>0.57315791711277275</v>
      </c>
      <c r="AZ91">
        <v>0.61845414707124347</v>
      </c>
      <c r="BA91">
        <v>1.067135531413375</v>
      </c>
      <c r="BB91">
        <v>1.539505345519345</v>
      </c>
      <c r="BC91">
        <v>1.5422720211470169</v>
      </c>
      <c r="BD91">
        <v>1.378721405936548</v>
      </c>
      <c r="BE91">
        <v>1.368526055594889</v>
      </c>
      <c r="BF91">
        <v>1.3061493844546961</v>
      </c>
      <c r="BG91">
        <v>1.184213154250487</v>
      </c>
      <c r="BH91">
        <v>0.96232657987496451</v>
      </c>
      <c r="BI91">
        <v>0.7929940498227398</v>
      </c>
      <c r="BJ91">
        <v>0.86787706977167889</v>
      </c>
      <c r="BK91">
        <v>0.57312485847606176</v>
      </c>
      <c r="BL91">
        <v>0.37807332843048669</v>
      </c>
      <c r="BM91">
        <v>1.133827037427221</v>
      </c>
      <c r="BN91">
        <v>1.676308869299199</v>
      </c>
      <c r="BO91">
        <v>1.9023380323718071</v>
      </c>
      <c r="BP91">
        <v>1.6711383954567749</v>
      </c>
      <c r="BQ91">
        <v>1.3157406049207629</v>
      </c>
      <c r="BR91">
        <v>1.454890882760796</v>
      </c>
      <c r="BS91">
        <v>1.8203650018710269</v>
      </c>
      <c r="BT91">
        <v>1.669100175857509</v>
      </c>
      <c r="BU91">
        <v>1.843355155092407</v>
      </c>
      <c r="BV91">
        <v>1.629722225453013</v>
      </c>
      <c r="BW91">
        <v>1.2528739938783211</v>
      </c>
      <c r="BX91">
        <v>1.1439794234274341</v>
      </c>
      <c r="BY91">
        <v>1.5312180153323209</v>
      </c>
      <c r="BZ91">
        <v>1.5573473835211771</v>
      </c>
      <c r="CA91">
        <v>1.347230065178993</v>
      </c>
      <c r="CB91">
        <v>1.427131197987912</v>
      </c>
      <c r="CC91">
        <v>1.4166631956625699</v>
      </c>
    </row>
    <row r="92" spans="1:81" x14ac:dyDescent="0.35">
      <c r="A92" t="s">
        <v>30</v>
      </c>
      <c r="B92">
        <v>-0.15079778085510831</v>
      </c>
      <c r="C92">
        <v>-0.16926156996354791</v>
      </c>
      <c r="D92">
        <v>-0.26064160211989701</v>
      </c>
      <c r="E92">
        <v>-0.28662809953415269</v>
      </c>
      <c r="F92">
        <v>-8.2030214846148045E-3</v>
      </c>
      <c r="G92">
        <v>0.2037184624502105</v>
      </c>
      <c r="H92">
        <v>-1.307960568060077E-2</v>
      </c>
      <c r="I92">
        <v>-0.1022056415243494</v>
      </c>
      <c r="J92">
        <v>0.1616848906858161</v>
      </c>
      <c r="K92">
        <v>0.2275213612014704</v>
      </c>
      <c r="L92">
        <v>0.45210900627600792</v>
      </c>
      <c r="M92">
        <v>0.58327538303848514</v>
      </c>
      <c r="N92">
        <v>0.39958937976283898</v>
      </c>
      <c r="O92">
        <v>0.4358422880676438</v>
      </c>
      <c r="P92">
        <v>0.43805028951853442</v>
      </c>
      <c r="Q92">
        <v>0.54565913339401051</v>
      </c>
      <c r="R92">
        <v>0.58839773799596351</v>
      </c>
      <c r="S92">
        <v>0.80089144236091736</v>
      </c>
      <c r="T92">
        <v>1.0520068027689009</v>
      </c>
      <c r="U92">
        <v>0.8895102658492301</v>
      </c>
      <c r="V92">
        <v>0.85272207387836041</v>
      </c>
      <c r="W92">
        <v>0.465337288212538</v>
      </c>
      <c r="X92">
        <v>0.19612375349437311</v>
      </c>
      <c r="Y92">
        <v>8.9258637342882807E-2</v>
      </c>
      <c r="Z92">
        <v>-3.428671387782093E-2</v>
      </c>
      <c r="AA92">
        <v>-1.0559363182634049</v>
      </c>
      <c r="AB92">
        <v>-0.19325362580282621</v>
      </c>
      <c r="AC92">
        <v>-0.40954000882993302</v>
      </c>
      <c r="AD92">
        <v>-0.53738162228758368</v>
      </c>
      <c r="AE92">
        <v>-0.69513203098217757</v>
      </c>
      <c r="AF92">
        <v>-0.83336551692953009</v>
      </c>
      <c r="AG92">
        <v>-0.91515148326000706</v>
      </c>
      <c r="AH92">
        <v>-1.0899169000154629</v>
      </c>
      <c r="AI92">
        <v>-1.0601984076809901</v>
      </c>
      <c r="AJ92">
        <v>-0.93346764931704995</v>
      </c>
      <c r="AK92">
        <v>-1.1942435650728309</v>
      </c>
      <c r="AL92">
        <v>-1.2935033468217469</v>
      </c>
      <c r="AM92">
        <v>-1.2384991036734769</v>
      </c>
      <c r="AN92">
        <v>-1.196262674465121</v>
      </c>
      <c r="AO92">
        <v>-0.68205529830896194</v>
      </c>
      <c r="AP92">
        <v>-0.64753176965563608</v>
      </c>
      <c r="AQ92">
        <v>-0.71616974907992015</v>
      </c>
      <c r="AR92">
        <v>-0.98656532952236187</v>
      </c>
      <c r="AS92">
        <v>-0.85370286051687938</v>
      </c>
      <c r="AT92">
        <v>-0.83831256097516116</v>
      </c>
      <c r="AU92">
        <v>-0.60347183640874535</v>
      </c>
      <c r="AV92">
        <v>-0.80184818220364906</v>
      </c>
      <c r="AW92">
        <v>-0.30000160697915368</v>
      </c>
      <c r="AX92">
        <v>-0.33529991174342128</v>
      </c>
      <c r="AY92">
        <v>-0.54302207261604307</v>
      </c>
      <c r="AZ92">
        <v>-0.83745089975660614</v>
      </c>
      <c r="BA92">
        <v>-0.45986943086061538</v>
      </c>
      <c r="BB92">
        <v>-6.9326046793033044E-2</v>
      </c>
      <c r="BC92">
        <v>1.6124339263926701E-2</v>
      </c>
      <c r="BD92">
        <v>0.13860798719744921</v>
      </c>
      <c r="BE92">
        <v>-0.21392979791355549</v>
      </c>
      <c r="BF92">
        <v>-0.20732031218219571</v>
      </c>
      <c r="BG92">
        <v>0.4152933696253101</v>
      </c>
      <c r="BH92">
        <v>0.79243373387493787</v>
      </c>
      <c r="BI92">
        <v>1.167391835222247</v>
      </c>
      <c r="BJ92">
        <v>1.3309670368878621</v>
      </c>
      <c r="BK92">
        <v>0.92556724644045696</v>
      </c>
      <c r="BL92">
        <v>0.88935509108385791</v>
      </c>
      <c r="BM92">
        <v>0.99711459948445813</v>
      </c>
      <c r="BN92">
        <v>1.322261785240973</v>
      </c>
      <c r="BO92">
        <v>1.6786266925648889</v>
      </c>
      <c r="BP92">
        <v>1.8104360970618569</v>
      </c>
      <c r="BQ92">
        <v>1.69377043885456</v>
      </c>
      <c r="BR92">
        <v>1.723249814915442</v>
      </c>
      <c r="BS92">
        <v>2.2884809211603012</v>
      </c>
      <c r="BT92">
        <v>2.0975188319227418</v>
      </c>
      <c r="BU92">
        <v>2.6784229923757281</v>
      </c>
      <c r="BV92">
        <v>2.1169360599802172</v>
      </c>
      <c r="BW92">
        <v>1.537335078167396</v>
      </c>
      <c r="BX92">
        <v>1.508700775591965</v>
      </c>
      <c r="BY92">
        <v>1.858821563431547</v>
      </c>
      <c r="BZ92">
        <v>2.1078669639229028</v>
      </c>
      <c r="CA92">
        <v>1.550197404956168</v>
      </c>
      <c r="CB92">
        <v>1.567050771937206</v>
      </c>
      <c r="CC92">
        <v>1.5992239711803551</v>
      </c>
    </row>
    <row r="93" spans="1:81" x14ac:dyDescent="0.35">
      <c r="A93" t="s">
        <v>31</v>
      </c>
      <c r="B93">
        <v>-1.616659850237949</v>
      </c>
      <c r="C93">
        <v>-1.3104025569069899</v>
      </c>
      <c r="D93">
        <v>-0.71651771043509438</v>
      </c>
      <c r="E93">
        <v>-1.168694748722692</v>
      </c>
      <c r="F93">
        <v>-1.759837193032304</v>
      </c>
      <c r="G93">
        <v>-1.057168545269545</v>
      </c>
      <c r="H93">
        <v>0.4081440225096773</v>
      </c>
      <c r="I93">
        <v>1.161252128430351</v>
      </c>
      <c r="J93">
        <v>0.71919832131365857</v>
      </c>
      <c r="K93">
        <v>-0.25995474594791079</v>
      </c>
      <c r="L93">
        <v>-1.1470076446301429</v>
      </c>
      <c r="M93">
        <v>-0.92260878513501265</v>
      </c>
      <c r="N93">
        <v>-0.81419584345140317</v>
      </c>
      <c r="O93">
        <v>1.7437139733115749E-2</v>
      </c>
      <c r="P93">
        <v>2.0948473686875069</v>
      </c>
      <c r="Q93">
        <v>3.0403797960004089</v>
      </c>
      <c r="R93">
        <v>3.4679966642004829</v>
      </c>
      <c r="S93">
        <v>3.3630529840870391</v>
      </c>
      <c r="T93">
        <v>2.8207027752669691</v>
      </c>
      <c r="U93">
        <v>2.0321554632433521</v>
      </c>
      <c r="V93">
        <v>1.9379829978142811</v>
      </c>
      <c r="W93">
        <v>2.1370242168200542</v>
      </c>
      <c r="X93">
        <v>1.909598790139811</v>
      </c>
      <c r="Y93">
        <v>1.9176250993431909</v>
      </c>
      <c r="Z93">
        <v>1.1342428261799311</v>
      </c>
      <c r="AA93">
        <v>0.4515941533771286</v>
      </c>
      <c r="AB93">
        <v>1.7681590538101291</v>
      </c>
      <c r="AC93">
        <v>1.346482877719271</v>
      </c>
      <c r="AD93">
        <v>1.278117298134277</v>
      </c>
      <c r="AE93">
        <v>1.5602725860040401</v>
      </c>
      <c r="AF93">
        <v>1.2969112008127219</v>
      </c>
      <c r="AG93">
        <v>0.43848629592888239</v>
      </c>
      <c r="AH93">
        <v>0.32645979819427662</v>
      </c>
      <c r="AI93">
        <v>-5.7102286451132529E-2</v>
      </c>
      <c r="AJ93">
        <v>-0.78087715568099691</v>
      </c>
      <c r="AK93">
        <v>-1.0426314138269781</v>
      </c>
      <c r="AL93">
        <v>-1.2061769194633241</v>
      </c>
      <c r="AM93">
        <v>-0.85086736117495509</v>
      </c>
      <c r="AN93">
        <v>-1.7723679729109141</v>
      </c>
      <c r="AO93">
        <v>-1.570506442435549</v>
      </c>
      <c r="AP93">
        <v>0.38113384496489139</v>
      </c>
      <c r="AQ93">
        <v>0.6758038822374276</v>
      </c>
      <c r="AR93">
        <v>0.60070314077688969</v>
      </c>
      <c r="AS93">
        <v>0.59599278775379994</v>
      </c>
      <c r="AT93">
        <v>2.5014663403743791E-2</v>
      </c>
      <c r="AU93">
        <v>0.73533738889329592</v>
      </c>
      <c r="AV93">
        <v>2.9288075589680309</v>
      </c>
      <c r="AW93">
        <v>-0.29242989884672249</v>
      </c>
      <c r="AX93">
        <v>-0.43389674789627081</v>
      </c>
      <c r="AY93">
        <v>-1.712376231584497</v>
      </c>
      <c r="AZ93">
        <v>0.66682458319423576</v>
      </c>
      <c r="BA93">
        <v>1.4242980758848289</v>
      </c>
      <c r="BB93">
        <v>1.790665165407094</v>
      </c>
      <c r="BC93">
        <v>1.950047319546369</v>
      </c>
      <c r="BD93">
        <v>1.443029832421419</v>
      </c>
      <c r="BE93">
        <v>1.1226798362585511</v>
      </c>
      <c r="BF93">
        <v>1.0888469626424371</v>
      </c>
      <c r="BG93">
        <v>1.2690442262425039</v>
      </c>
      <c r="BH93">
        <v>1.227741293558642</v>
      </c>
      <c r="BI93">
        <v>1.490046929571486</v>
      </c>
      <c r="BJ93">
        <v>1.52959584093404</v>
      </c>
      <c r="BK93">
        <v>1.4187998618929769</v>
      </c>
      <c r="BL93">
        <v>1.838192741851439</v>
      </c>
      <c r="BM93">
        <v>2.290748798057225</v>
      </c>
      <c r="BN93">
        <v>2.377852514644339</v>
      </c>
      <c r="BO93">
        <v>2.4861031788345511</v>
      </c>
      <c r="BP93">
        <v>2.324672008984968</v>
      </c>
      <c r="BQ93">
        <v>2.0460836751212361</v>
      </c>
      <c r="BR93">
        <v>1.7576121434946641</v>
      </c>
      <c r="BS93">
        <v>2.0576177828420121</v>
      </c>
      <c r="BT93">
        <v>1.752829795569129</v>
      </c>
      <c r="BU93">
        <v>2.1894822233383682</v>
      </c>
      <c r="BV93">
        <v>1.8642199969387669</v>
      </c>
      <c r="BW93">
        <v>1.8846324057888599</v>
      </c>
      <c r="BX93">
        <v>1.982098176209657</v>
      </c>
      <c r="BY93">
        <v>2.2372681340152818</v>
      </c>
      <c r="BZ93">
        <v>2.716172759168535</v>
      </c>
      <c r="CA93">
        <v>2.595351988320604</v>
      </c>
      <c r="CB93">
        <v>2.589951047234706</v>
      </c>
      <c r="CC93">
        <v>2.2628459451591039</v>
      </c>
    </row>
    <row r="94" spans="1:81" x14ac:dyDescent="0.35">
      <c r="A94" t="s">
        <v>32</v>
      </c>
      <c r="B94">
        <v>0.65548441064897367</v>
      </c>
      <c r="C94">
        <v>0.29481109572952813</v>
      </c>
      <c r="D94">
        <v>0.33341521668937862</v>
      </c>
      <c r="E94">
        <v>0.10464758572097579</v>
      </c>
      <c r="F94">
        <v>0.205464151665123</v>
      </c>
      <c r="G94">
        <v>0.17838627284480521</v>
      </c>
      <c r="H94">
        <v>9.3276810172000804E-2</v>
      </c>
      <c r="I94">
        <v>-0.1471571012817301</v>
      </c>
      <c r="J94">
        <v>0.1063047650203988</v>
      </c>
      <c r="K94">
        <v>0.15658486998324869</v>
      </c>
      <c r="L94">
        <v>8.583626496016869E-2</v>
      </c>
      <c r="M94">
        <v>0.15945935606650971</v>
      </c>
      <c r="N94">
        <v>3.0071224649208139E-2</v>
      </c>
      <c r="O94">
        <v>-1.7662550785612768E-2</v>
      </c>
      <c r="P94">
        <v>0.18980446467628159</v>
      </c>
      <c r="Q94">
        <v>0.15132501409610799</v>
      </c>
      <c r="R94">
        <v>0.1181645541065824</v>
      </c>
      <c r="S94">
        <v>0.2100076029481284</v>
      </c>
      <c r="T94">
        <v>0.47325177152719639</v>
      </c>
      <c r="U94">
        <v>0.53686444950768375</v>
      </c>
      <c r="V94">
        <v>0.60122785229224307</v>
      </c>
      <c r="W94">
        <v>0.50313968748351234</v>
      </c>
      <c r="X94">
        <v>0.49017159973961771</v>
      </c>
      <c r="Y94">
        <v>0.42102688810338651</v>
      </c>
      <c r="Z94">
        <v>7.1153625166101311E-2</v>
      </c>
      <c r="AA94">
        <v>-0.18270257854804409</v>
      </c>
      <c r="AB94">
        <v>7.9022621893550929E-2</v>
      </c>
      <c r="AC94">
        <v>5.9714525544790273E-2</v>
      </c>
      <c r="AD94">
        <v>3.793190445083721E-2</v>
      </c>
      <c r="AE94">
        <v>8.1020697510125999E-5</v>
      </c>
      <c r="AF94">
        <v>2.8173408455685119E-2</v>
      </c>
      <c r="AG94">
        <v>-3.3603252441678097E-2</v>
      </c>
      <c r="AH94">
        <v>3.8821189587791592E-2</v>
      </c>
      <c r="AI94">
        <v>-4.4467161849087063E-2</v>
      </c>
      <c r="AJ94">
        <v>-1.8873318430619991E-2</v>
      </c>
      <c r="AK94">
        <v>2.73741584760696E-2</v>
      </c>
      <c r="AL94">
        <v>-0.27261391108945171</v>
      </c>
      <c r="AM94">
        <v>-0.26327514205955399</v>
      </c>
      <c r="AN94">
        <v>-0.27540704125453352</v>
      </c>
      <c r="AO94">
        <v>-0.25197604979633442</v>
      </c>
      <c r="AP94">
        <v>-0.27840831180809272</v>
      </c>
      <c r="AQ94">
        <v>-0.17760297766154401</v>
      </c>
      <c r="AR94">
        <v>-0.10935735669203871</v>
      </c>
      <c r="AS94">
        <v>-8.6447394102181899E-2</v>
      </c>
      <c r="AT94">
        <v>-2.3223127669416029E-2</v>
      </c>
      <c r="AU94">
        <v>-0.13949270985492679</v>
      </c>
      <c r="AV94">
        <v>-1.3865954416470899E-2</v>
      </c>
      <c r="AW94">
        <v>2.9555950555804629E-2</v>
      </c>
      <c r="AX94">
        <v>-0.2371633009028925</v>
      </c>
      <c r="AY94">
        <v>-0.35924508360413698</v>
      </c>
      <c r="AZ94">
        <v>-2.1244425515347519E-2</v>
      </c>
      <c r="BA94">
        <v>8.6517881103526539E-2</v>
      </c>
      <c r="BB94">
        <v>0.1032033543781449</v>
      </c>
      <c r="BC94">
        <v>0.24993652508657979</v>
      </c>
      <c r="BD94">
        <v>0.20512496012799139</v>
      </c>
      <c r="BE94">
        <v>-1.7848749826169831E-2</v>
      </c>
      <c r="BF94">
        <v>-2.6873285777622911E-2</v>
      </c>
      <c r="BG94">
        <v>2.7179454272743809E-2</v>
      </c>
      <c r="BH94">
        <v>1.440794681894955E-2</v>
      </c>
      <c r="BI94">
        <v>-7.0873809153003078E-2</v>
      </c>
      <c r="BJ94">
        <v>-0.23872513305143361</v>
      </c>
      <c r="BK94">
        <v>-0.17581558404371531</v>
      </c>
      <c r="BL94">
        <v>-0.1674943251968585</v>
      </c>
      <c r="BM94">
        <v>-5.9368943787818852E-2</v>
      </c>
      <c r="BN94">
        <v>-8.9747989354941965E-2</v>
      </c>
      <c r="BO94">
        <v>-0.11128667312340219</v>
      </c>
      <c r="BP94">
        <v>-9.7319679895529768E-2</v>
      </c>
      <c r="BQ94">
        <v>-0.14307247674479021</v>
      </c>
      <c r="BR94">
        <v>7.6296475199571515E-2</v>
      </c>
      <c r="BS94">
        <v>0.1988860883457983</v>
      </c>
      <c r="BT94">
        <v>0.26671010103106801</v>
      </c>
      <c r="BU94">
        <v>0.356591482476531</v>
      </c>
      <c r="BV94">
        <v>0.15072316015870771</v>
      </c>
      <c r="BW94">
        <v>0.21062834997624469</v>
      </c>
      <c r="BX94">
        <v>0.34920445455221588</v>
      </c>
      <c r="BY94">
        <v>0.38959401687863843</v>
      </c>
      <c r="BZ94">
        <v>0.52948167423290937</v>
      </c>
      <c r="CA94">
        <v>0.51801908127148788</v>
      </c>
      <c r="CB94">
        <v>0.67341515837840527</v>
      </c>
      <c r="CC94">
        <v>0.70351156871684806</v>
      </c>
    </row>
    <row r="95" spans="1:81" x14ac:dyDescent="0.35">
      <c r="A95" t="s">
        <v>33</v>
      </c>
      <c r="B95">
        <v>134.90069315410051</v>
      </c>
      <c r="C95">
        <v>135.7105411640546</v>
      </c>
      <c r="D95">
        <v>135.63719786419711</v>
      </c>
      <c r="E95">
        <v>134.10900851243929</v>
      </c>
      <c r="F95">
        <v>137.61006193743589</v>
      </c>
      <c r="G95">
        <v>139.72579555868359</v>
      </c>
      <c r="H95">
        <v>141.0802282498662</v>
      </c>
      <c r="I95">
        <v>141.07216055860781</v>
      </c>
      <c r="J95">
        <v>140.93483031240129</v>
      </c>
      <c r="K95">
        <v>139.18372327432999</v>
      </c>
      <c r="L95">
        <v>137.85222384453189</v>
      </c>
      <c r="M95">
        <v>138.3153195716921</v>
      </c>
      <c r="N95">
        <v>138.07228460597619</v>
      </c>
      <c r="O95">
        <v>138.1908134203141</v>
      </c>
      <c r="P95">
        <v>140.17026358246699</v>
      </c>
      <c r="Q95">
        <v>141.02956339626391</v>
      </c>
      <c r="R95">
        <v>141.30328657305631</v>
      </c>
      <c r="S95">
        <v>141.0300350039052</v>
      </c>
      <c r="T95">
        <v>139.94631280032661</v>
      </c>
      <c r="U95">
        <v>140.51602729178089</v>
      </c>
      <c r="V95">
        <v>138.32019853103</v>
      </c>
      <c r="W95">
        <v>137.9941550380299</v>
      </c>
      <c r="X95">
        <v>136.28440231619359</v>
      </c>
      <c r="Y95">
        <v>135.74104154105731</v>
      </c>
      <c r="Z95">
        <v>134.04244753389611</v>
      </c>
      <c r="AA95">
        <v>131.706288446212</v>
      </c>
      <c r="AB95">
        <v>135.81802205529019</v>
      </c>
      <c r="AC95">
        <v>136.46655742281499</v>
      </c>
      <c r="AD95">
        <v>136.39029443085209</v>
      </c>
      <c r="AE95">
        <v>136.94181502274989</v>
      </c>
      <c r="AF95">
        <v>137.12202149304309</v>
      </c>
      <c r="AG95">
        <v>136.24549652358911</v>
      </c>
      <c r="AH95">
        <v>135.50709379413499</v>
      </c>
      <c r="AI95">
        <v>135.87460608835309</v>
      </c>
      <c r="AJ95">
        <v>136.4868020021492</v>
      </c>
      <c r="AK95">
        <v>136.22328195992151</v>
      </c>
      <c r="AL95">
        <v>136.46438370367861</v>
      </c>
      <c r="AM95">
        <v>136.9018104587602</v>
      </c>
      <c r="AN95">
        <v>135.87829219583779</v>
      </c>
      <c r="AO95">
        <v>138.08179569449601</v>
      </c>
      <c r="AP95">
        <v>139.7990124047341</v>
      </c>
      <c r="AQ95">
        <v>139.11217948572869</v>
      </c>
      <c r="AR95">
        <v>137.89559673989751</v>
      </c>
      <c r="AS95">
        <v>139.15184754720241</v>
      </c>
      <c r="AT95">
        <v>139.21731200293999</v>
      </c>
      <c r="AU95">
        <v>139.60571200857771</v>
      </c>
      <c r="AV95">
        <v>140.42095938582429</v>
      </c>
      <c r="AW95">
        <v>139.72511689350009</v>
      </c>
      <c r="AX95">
        <v>138.60915765898761</v>
      </c>
      <c r="AY95">
        <v>135.94174990830459</v>
      </c>
      <c r="AZ95">
        <v>138.76159837059581</v>
      </c>
      <c r="BA95">
        <v>141.07351668305751</v>
      </c>
      <c r="BB95">
        <v>142.66868410461211</v>
      </c>
      <c r="BC95">
        <v>143.1678452323649</v>
      </c>
      <c r="BD95">
        <v>142.45191666094081</v>
      </c>
      <c r="BE95">
        <v>141.83147219881309</v>
      </c>
      <c r="BF95">
        <v>141.8858113624517</v>
      </c>
      <c r="BG95">
        <v>142.02503550735341</v>
      </c>
      <c r="BH95">
        <v>141.4586490192014</v>
      </c>
      <c r="BI95">
        <v>141.5851910297248</v>
      </c>
      <c r="BJ95">
        <v>141.76216402519071</v>
      </c>
      <c r="BK95">
        <v>140.9992650956022</v>
      </c>
      <c r="BL95">
        <v>141.26114164845711</v>
      </c>
      <c r="BM95">
        <v>143.15166979206001</v>
      </c>
      <c r="BN95">
        <v>144.44988535743639</v>
      </c>
      <c r="BO95">
        <v>145.2645529528466</v>
      </c>
      <c r="BP95">
        <v>145.1989908265231</v>
      </c>
      <c r="BQ95">
        <v>144.1100347872262</v>
      </c>
      <c r="BR95">
        <v>144.44073415055769</v>
      </c>
      <c r="BS95">
        <v>145.96978700659409</v>
      </c>
      <c r="BT95">
        <v>145.79529700051671</v>
      </c>
      <c r="BU95">
        <v>148.31659721618951</v>
      </c>
      <c r="BV95">
        <v>147.29113858905421</v>
      </c>
      <c r="BW95">
        <v>146.56984638760119</v>
      </c>
      <c r="BX95">
        <v>146.90713808170921</v>
      </c>
      <c r="BY95">
        <v>148.31002837920971</v>
      </c>
      <c r="BZ95">
        <v>149.3825044138614</v>
      </c>
      <c r="CA95">
        <v>148.69645482726341</v>
      </c>
      <c r="CB95">
        <v>149.18524484183959</v>
      </c>
      <c r="CC95">
        <v>149.45656567153969</v>
      </c>
    </row>
    <row r="96" spans="1:81" x14ac:dyDescent="0.35">
      <c r="A96" t="s">
        <v>34</v>
      </c>
      <c r="B96">
        <v>116918389.81999999</v>
      </c>
      <c r="C96">
        <v>128711877.14</v>
      </c>
      <c r="D96">
        <v>196982138.24000001</v>
      </c>
      <c r="E96">
        <v>94042303.030000001</v>
      </c>
      <c r="F96">
        <v>137273615.68000001</v>
      </c>
      <c r="G96">
        <v>164521988</v>
      </c>
      <c r="H96">
        <v>172263622.93000001</v>
      </c>
      <c r="I96">
        <v>150922174.44999999</v>
      </c>
      <c r="J96">
        <v>140785733.74000001</v>
      </c>
      <c r="K96">
        <v>135694611.16999999</v>
      </c>
      <c r="L96">
        <v>131877846.39</v>
      </c>
      <c r="M96">
        <v>122519490.69</v>
      </c>
      <c r="N96">
        <v>139579712.72</v>
      </c>
      <c r="O96">
        <v>153138200.06999999</v>
      </c>
      <c r="P96">
        <v>323941769.04000002</v>
      </c>
      <c r="Q96">
        <v>285203151.12</v>
      </c>
      <c r="R96">
        <v>219652053.43000001</v>
      </c>
      <c r="S96">
        <v>221656787.37</v>
      </c>
      <c r="T96">
        <v>212901127.56999999</v>
      </c>
      <c r="U96">
        <v>208328293.30000001</v>
      </c>
      <c r="V96">
        <v>197648597.12</v>
      </c>
      <c r="W96">
        <v>181527858.16</v>
      </c>
      <c r="X96">
        <v>181686889.03</v>
      </c>
      <c r="Y96">
        <v>159872508.75</v>
      </c>
      <c r="Z96">
        <v>116586961.51000001</v>
      </c>
      <c r="AA96">
        <v>77042996.640000001</v>
      </c>
      <c r="AB96">
        <v>260216410.73999989</v>
      </c>
      <c r="AC96">
        <v>197678414.13999999</v>
      </c>
      <c r="AD96">
        <v>202585860.94</v>
      </c>
      <c r="AE96">
        <v>179507213.50999999</v>
      </c>
      <c r="AF96">
        <v>157257291.97999999</v>
      </c>
      <c r="AG96">
        <v>168493039.12</v>
      </c>
      <c r="AH96">
        <v>157543087.96000001</v>
      </c>
      <c r="AI96">
        <v>137306567.09999999</v>
      </c>
      <c r="AJ96">
        <v>118282927.42</v>
      </c>
      <c r="AK96">
        <v>108816786.68000001</v>
      </c>
      <c r="AL96">
        <v>112824572.31</v>
      </c>
      <c r="AM96">
        <v>134844620.56999999</v>
      </c>
      <c r="AN96">
        <v>134793886.28</v>
      </c>
      <c r="AO96">
        <v>96655683.930000007</v>
      </c>
      <c r="AP96">
        <v>144436334.22999999</v>
      </c>
      <c r="AQ96">
        <v>143866459.69999999</v>
      </c>
      <c r="AR96">
        <v>105437793.5</v>
      </c>
      <c r="AS96">
        <v>115972894.3</v>
      </c>
      <c r="AT96">
        <v>107878141.38</v>
      </c>
      <c r="AU96">
        <v>121443240.63</v>
      </c>
      <c r="AV96">
        <v>97867780.210000008</v>
      </c>
      <c r="AW96">
        <v>142722250.03</v>
      </c>
      <c r="AX96">
        <v>168293793.66999999</v>
      </c>
      <c r="AY96">
        <v>251498316.28999999</v>
      </c>
      <c r="AZ96">
        <v>356369058.13999999</v>
      </c>
      <c r="BA96">
        <v>269615560.05000001</v>
      </c>
      <c r="BB96">
        <v>248950406.36000001</v>
      </c>
      <c r="BC96">
        <v>225912491.96000001</v>
      </c>
      <c r="BD96">
        <v>232208300.09999999</v>
      </c>
      <c r="BE96">
        <v>196634281.81999999</v>
      </c>
      <c r="BF96">
        <v>180556740.86000001</v>
      </c>
      <c r="BG96">
        <v>206182397.28</v>
      </c>
      <c r="BH96">
        <v>199535917.83000001</v>
      </c>
      <c r="BI96">
        <v>215394518.43000001</v>
      </c>
      <c r="BJ96">
        <v>235832358.37</v>
      </c>
      <c r="BK96">
        <v>281497935.72000003</v>
      </c>
      <c r="BL96">
        <v>456602400.44</v>
      </c>
      <c r="BM96">
        <v>333840185.60000002</v>
      </c>
      <c r="BN96">
        <v>298803073.38999999</v>
      </c>
      <c r="BO96">
        <v>273457136.14999998</v>
      </c>
      <c r="BP96">
        <v>278764989.32999998</v>
      </c>
      <c r="BQ96">
        <v>265718500.56</v>
      </c>
      <c r="BR96">
        <v>277138930.02999997</v>
      </c>
      <c r="BS96">
        <v>260896993.83000001</v>
      </c>
      <c r="BT96">
        <v>208772690.72999999</v>
      </c>
      <c r="BU96">
        <v>232383155.59</v>
      </c>
      <c r="BV96">
        <v>246985682.91</v>
      </c>
      <c r="BW96">
        <v>305442233.72000003</v>
      </c>
      <c r="BX96">
        <v>488024344.61000001</v>
      </c>
      <c r="BY96">
        <v>329680212.57999998</v>
      </c>
      <c r="BZ96">
        <v>312962849.07000011</v>
      </c>
      <c r="CA96">
        <v>312623750.91000003</v>
      </c>
      <c r="CB96">
        <v>305337082.80000001</v>
      </c>
      <c r="CC96">
        <v>282578443.75</v>
      </c>
    </row>
    <row r="97" spans="1:81" x14ac:dyDescent="0.35">
      <c r="A97" t="s">
        <v>35</v>
      </c>
      <c r="B97">
        <v>1.802087007737724</v>
      </c>
      <c r="C97">
        <v>1.766589430242707</v>
      </c>
      <c r="D97">
        <v>1.714456033204111</v>
      </c>
      <c r="E97">
        <v>1.763097770639819</v>
      </c>
      <c r="F97">
        <v>1.8014906330396221</v>
      </c>
      <c r="G97">
        <v>1.746187656686941</v>
      </c>
      <c r="H97">
        <v>1.625938629396591</v>
      </c>
      <c r="I97">
        <v>1.570685671946688</v>
      </c>
      <c r="J97">
        <v>1.5982016671170101</v>
      </c>
      <c r="K97">
        <v>1.668006710660016</v>
      </c>
      <c r="L97">
        <v>1.7334463524878581</v>
      </c>
      <c r="M97">
        <v>1.7016138948971651</v>
      </c>
      <c r="N97">
        <v>1.69400116297976</v>
      </c>
      <c r="O97">
        <v>1.622312530477575</v>
      </c>
      <c r="P97">
        <v>1.493195295188114</v>
      </c>
      <c r="Q97">
        <v>1.432229425812481</v>
      </c>
      <c r="R97">
        <v>1.409880765512934</v>
      </c>
      <c r="S97">
        <v>1.4173535577933161</v>
      </c>
      <c r="T97">
        <v>1.4470859550740309</v>
      </c>
      <c r="U97">
        <v>1.495558876567151</v>
      </c>
      <c r="V97">
        <v>1.503626345883516</v>
      </c>
      <c r="W97">
        <v>1.4969481774595841</v>
      </c>
      <c r="X97">
        <v>1.514458981736611</v>
      </c>
      <c r="Y97">
        <v>1.51788344062103</v>
      </c>
      <c r="Z97">
        <v>1.558428599561956</v>
      </c>
      <c r="AA97">
        <v>1.71923651769356</v>
      </c>
      <c r="AB97">
        <v>1.515842871806905</v>
      </c>
      <c r="AC97">
        <v>1.5435603586504769</v>
      </c>
      <c r="AD97">
        <v>1.5436999664971509</v>
      </c>
      <c r="AE97">
        <v>1.526914704573008</v>
      </c>
      <c r="AF97">
        <v>1.5449849458185601</v>
      </c>
      <c r="AG97">
        <v>1.597792512447173</v>
      </c>
      <c r="AH97">
        <v>1.6044041821796551</v>
      </c>
      <c r="AI97">
        <v>1.6190054640564819</v>
      </c>
      <c r="AJ97">
        <v>1.6587856699422501</v>
      </c>
      <c r="AK97">
        <v>1.6722832696272401</v>
      </c>
      <c r="AL97">
        <v>1.680216928299644</v>
      </c>
      <c r="AM97">
        <v>1.650706387835021</v>
      </c>
      <c r="AN97">
        <v>1.71765747345377</v>
      </c>
      <c r="AO97">
        <v>1.7128728728409399</v>
      </c>
      <c r="AP97">
        <v>1.5774662628351599</v>
      </c>
      <c r="AQ97">
        <v>1.5503776973079679</v>
      </c>
      <c r="AR97">
        <v>1.5733247813462139</v>
      </c>
      <c r="AS97">
        <v>1.584838113219428</v>
      </c>
      <c r="AT97">
        <v>1.6368347501503819</v>
      </c>
      <c r="AU97">
        <v>1.590658755585052</v>
      </c>
      <c r="AV97">
        <v>1.523097929946289</v>
      </c>
      <c r="AW97">
        <v>1.675181771986189</v>
      </c>
      <c r="AX97">
        <v>1.675437939851103</v>
      </c>
      <c r="AY97">
        <v>1.781889957140498</v>
      </c>
      <c r="AZ97">
        <v>1.60127787092111</v>
      </c>
      <c r="BA97">
        <v>1.5538132344422919</v>
      </c>
      <c r="BB97">
        <v>1.5338794756382841</v>
      </c>
      <c r="BC97">
        <v>1.5278903221471389</v>
      </c>
      <c r="BD97">
        <v>1.5542779132661471</v>
      </c>
      <c r="BE97">
        <v>1.5643673905853579</v>
      </c>
      <c r="BF97">
        <v>1.5697401139048961</v>
      </c>
      <c r="BG97">
        <v>1.5677137966881109</v>
      </c>
      <c r="BH97">
        <v>1.560340986365353</v>
      </c>
      <c r="BI97">
        <v>1.5459755373996209</v>
      </c>
      <c r="BJ97">
        <v>1.547255961604477</v>
      </c>
      <c r="BK97">
        <v>1.541177529037822</v>
      </c>
      <c r="BL97">
        <v>1.520463709371864</v>
      </c>
      <c r="BM97">
        <v>1.4994656973576099</v>
      </c>
      <c r="BN97">
        <v>1.4981801596932229</v>
      </c>
      <c r="BO97">
        <v>1.4903043043427979</v>
      </c>
      <c r="BP97">
        <v>1.5007921721178481</v>
      </c>
      <c r="BQ97">
        <v>1.5121937254947559</v>
      </c>
      <c r="BR97">
        <v>1.5202094393919121</v>
      </c>
      <c r="BS97">
        <v>1.499987575913948</v>
      </c>
      <c r="BT97">
        <v>1.516740158573852</v>
      </c>
      <c r="BU97">
        <v>1.5005851838698889</v>
      </c>
      <c r="BV97">
        <v>1.515984894335118</v>
      </c>
      <c r="BW97">
        <v>1.517061931647999</v>
      </c>
      <c r="BX97">
        <v>1.5154127535618269</v>
      </c>
      <c r="BY97">
        <v>1.5139215364745839</v>
      </c>
      <c r="BZ97">
        <v>1.491020883323017</v>
      </c>
      <c r="CA97">
        <v>1.497036633196146</v>
      </c>
      <c r="CB97">
        <v>1.4985938415751681</v>
      </c>
      <c r="CC97">
        <v>1.513228626019145</v>
      </c>
    </row>
    <row r="98" spans="1:81" x14ac:dyDescent="0.35">
      <c r="A98" t="s">
        <v>36</v>
      </c>
      <c r="B98">
        <v>0.23971230143814179</v>
      </c>
      <c r="C98">
        <v>0.24456186036539071</v>
      </c>
      <c r="D98">
        <v>0.24370846466103421</v>
      </c>
      <c r="E98">
        <v>0.24541040961170091</v>
      </c>
      <c r="F98">
        <v>0.24573064986229989</v>
      </c>
      <c r="G98">
        <v>0.24641283868613051</v>
      </c>
      <c r="H98">
        <v>0.24745026324300351</v>
      </c>
      <c r="I98">
        <v>0.2494380309353143</v>
      </c>
      <c r="J98">
        <v>0.24717480244340981</v>
      </c>
      <c r="K98">
        <v>0.24651096087468891</v>
      </c>
      <c r="L98">
        <v>0.247366630981598</v>
      </c>
      <c r="M98">
        <v>0.24604794766063681</v>
      </c>
      <c r="N98">
        <v>0.24762038586578031</v>
      </c>
      <c r="O98">
        <v>0.24791979922440649</v>
      </c>
      <c r="P98">
        <v>0.24574859712013569</v>
      </c>
      <c r="Q98">
        <v>0.24521455484127261</v>
      </c>
      <c r="R98">
        <v>0.2455841123912183</v>
      </c>
      <c r="S98">
        <v>0.24462386806483269</v>
      </c>
      <c r="T98">
        <v>0.24255465211986779</v>
      </c>
      <c r="U98">
        <v>0.24196785031657531</v>
      </c>
      <c r="V98">
        <v>0.24134316701493619</v>
      </c>
      <c r="W98">
        <v>0.24258585869727639</v>
      </c>
      <c r="X98">
        <v>0.24296103994131449</v>
      </c>
      <c r="Y98">
        <v>0.24317444104567479</v>
      </c>
      <c r="Z98">
        <v>0.24635230262299709</v>
      </c>
      <c r="AA98">
        <v>0.24756789332137971</v>
      </c>
      <c r="AB98">
        <v>0.24757703431963449</v>
      </c>
      <c r="AC98">
        <v>0.247614302851413</v>
      </c>
      <c r="AD98">
        <v>0.24773650216334289</v>
      </c>
      <c r="AE98">
        <v>0.24816339286476291</v>
      </c>
      <c r="AF98">
        <v>0.24797324293702361</v>
      </c>
      <c r="AG98">
        <v>0.24839041080335761</v>
      </c>
      <c r="AH98">
        <v>0.24768922101892249</v>
      </c>
      <c r="AI98">
        <v>0.24866700901302499</v>
      </c>
      <c r="AJ98">
        <v>0.24835546448151991</v>
      </c>
      <c r="AK98">
        <v>0.24693001277221691</v>
      </c>
      <c r="AL98">
        <v>0.24973228676288919</v>
      </c>
      <c r="AM98">
        <v>0.25028436793873993</v>
      </c>
      <c r="AN98">
        <v>0.25021662931904298</v>
      </c>
      <c r="AO98">
        <v>0.25125563223939212</v>
      </c>
      <c r="AP98">
        <v>0.25078490248940039</v>
      </c>
      <c r="AQ98">
        <v>0.24856901152776481</v>
      </c>
      <c r="AR98">
        <v>0.24710761005764981</v>
      </c>
      <c r="AS98">
        <v>0.2471195244278041</v>
      </c>
      <c r="AT98">
        <v>0.24679556058588081</v>
      </c>
      <c r="AU98">
        <v>0.2480853356670181</v>
      </c>
      <c r="AV98">
        <v>0.24509495258482469</v>
      </c>
      <c r="AW98">
        <v>0.2467369714113874</v>
      </c>
      <c r="AX98">
        <v>0.24962149893616939</v>
      </c>
      <c r="AY98">
        <v>0.25153572875327412</v>
      </c>
      <c r="AZ98">
        <v>0.24753396116396631</v>
      </c>
      <c r="BA98">
        <v>0.24633979218504309</v>
      </c>
      <c r="BB98">
        <v>0.24658204945760751</v>
      </c>
      <c r="BC98">
        <v>0.2447933133415566</v>
      </c>
      <c r="BD98">
        <v>0.24497552712439929</v>
      </c>
      <c r="BE98">
        <v>0.2483553895635339</v>
      </c>
      <c r="BF98">
        <v>0.24837691638262879</v>
      </c>
      <c r="BG98">
        <v>0.2479006481690634</v>
      </c>
      <c r="BH98">
        <v>0.24797720096790951</v>
      </c>
      <c r="BI98">
        <v>0.2481330762975211</v>
      </c>
      <c r="BJ98">
        <v>0.249789684174305</v>
      </c>
      <c r="BK98">
        <v>0.24960593087310851</v>
      </c>
      <c r="BL98">
        <v>0.2492385132399349</v>
      </c>
      <c r="BM98">
        <v>0.24789961540243341</v>
      </c>
      <c r="BN98">
        <v>0.24846164362093751</v>
      </c>
      <c r="BO98">
        <v>0.2485575057764314</v>
      </c>
      <c r="BP98">
        <v>0.24841986370954361</v>
      </c>
      <c r="BQ98">
        <v>0.24904963205600891</v>
      </c>
      <c r="BR98">
        <v>0.24680070459463049</v>
      </c>
      <c r="BS98">
        <v>0.24537270690264909</v>
      </c>
      <c r="BT98">
        <v>0.2449316129951955</v>
      </c>
      <c r="BU98">
        <v>0.24447402526569251</v>
      </c>
      <c r="BV98">
        <v>0.24613377654748719</v>
      </c>
      <c r="BW98">
        <v>0.24600028202816371</v>
      </c>
      <c r="BX98">
        <v>0.24436207441666299</v>
      </c>
      <c r="BY98">
        <v>0.2438339397856118</v>
      </c>
      <c r="BZ98">
        <v>0.24259502972780281</v>
      </c>
      <c r="CA98">
        <v>0.2430302948768078</v>
      </c>
      <c r="CB98">
        <v>0.2413652866437376</v>
      </c>
      <c r="CC98">
        <v>0.2418068287757778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98"/>
  <sheetViews>
    <sheetView tabSelected="1" topLeftCell="A98" zoomScale="175" zoomScaleNormal="175" workbookViewId="0">
      <pane xSplit="1" topLeftCell="T1" activePane="topRight" state="frozen"/>
      <selection pane="topRight" activeCell="AD104" sqref="AD104"/>
    </sheetView>
  </sheetViews>
  <sheetFormatPr defaultRowHeight="14.5" x14ac:dyDescent="0.35"/>
  <sheetData>
    <row r="1" spans="1:40" x14ac:dyDescent="0.35">
      <c r="A1" t="s">
        <v>0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  <c r="R1" t="s">
        <v>145</v>
      </c>
      <c r="S1" t="s">
        <v>146</v>
      </c>
      <c r="T1" t="s">
        <v>147</v>
      </c>
      <c r="U1" t="s">
        <v>148</v>
      </c>
      <c r="V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154</v>
      </c>
      <c r="AB1" t="s">
        <v>155</v>
      </c>
      <c r="AC1" t="s">
        <v>156</v>
      </c>
      <c r="AD1" t="s">
        <v>157</v>
      </c>
      <c r="AE1" t="s">
        <v>158</v>
      </c>
      <c r="AF1" t="s">
        <v>159</v>
      </c>
      <c r="AG1" t="s">
        <v>160</v>
      </c>
      <c r="AH1" t="s">
        <v>161</v>
      </c>
      <c r="AI1" t="s">
        <v>162</v>
      </c>
      <c r="AJ1" t="s">
        <v>163</v>
      </c>
      <c r="AK1" t="s">
        <v>164</v>
      </c>
      <c r="AL1" t="s">
        <v>165</v>
      </c>
      <c r="AM1" t="s">
        <v>166</v>
      </c>
      <c r="AN1" t="s">
        <v>167</v>
      </c>
    </row>
    <row r="2" spans="1:40" x14ac:dyDescent="0.35">
      <c r="A2" t="s">
        <v>28</v>
      </c>
      <c r="B2">
        <v>140.48957720429499</v>
      </c>
      <c r="C2">
        <v>140.53183755730009</v>
      </c>
      <c r="D2">
        <v>140.4284786949259</v>
      </c>
      <c r="E2">
        <v>140.13327318499901</v>
      </c>
      <c r="F2">
        <v>140.42300565729701</v>
      </c>
      <c r="G2">
        <v>139.65779540597211</v>
      </c>
      <c r="H2">
        <v>140.71684399524409</v>
      </c>
      <c r="I2">
        <v>140.2661303096688</v>
      </c>
      <c r="J2">
        <v>139.50565153486619</v>
      </c>
      <c r="K2">
        <v>141.36988648185309</v>
      </c>
      <c r="L2">
        <v>140.72276927446109</v>
      </c>
      <c r="M2">
        <v>139.5328914508093</v>
      </c>
      <c r="N2">
        <v>140.5651370476894</v>
      </c>
      <c r="O2">
        <v>140.87895178150379</v>
      </c>
      <c r="P2">
        <v>139.7826755104175</v>
      </c>
      <c r="Q2">
        <v>140.6606801654211</v>
      </c>
      <c r="R2">
        <v>140.722873913185</v>
      </c>
      <c r="S2">
        <v>140.9437018671953</v>
      </c>
      <c r="T2">
        <v>140.98491324403079</v>
      </c>
      <c r="U2">
        <v>141.62522003935331</v>
      </c>
      <c r="V2">
        <v>140.73212147936499</v>
      </c>
      <c r="W2">
        <v>140.7522022415655</v>
      </c>
      <c r="X2">
        <v>140.81055832100711</v>
      </c>
      <c r="Y2">
        <v>141.05537322829471</v>
      </c>
      <c r="Z2">
        <v>142.18569838481429</v>
      </c>
      <c r="AA2">
        <v>141.38209872817541</v>
      </c>
      <c r="AB2">
        <v>141.13144602664721</v>
      </c>
      <c r="AC2">
        <v>141.15729292874431</v>
      </c>
      <c r="AD2">
        <v>140.7502065941498</v>
      </c>
      <c r="AE2">
        <v>140.6600513866891</v>
      </c>
      <c r="AF2">
        <v>140.9769725757649</v>
      </c>
      <c r="AG2">
        <v>142.68916787016229</v>
      </c>
      <c r="AH2">
        <v>142.51219913696681</v>
      </c>
      <c r="AI2">
        <v>141.4203961754645</v>
      </c>
      <c r="AJ2">
        <v>141.5730517035297</v>
      </c>
      <c r="AK2">
        <v>141.50277530031309</v>
      </c>
      <c r="AL2">
        <v>141.70299831174469</v>
      </c>
      <c r="AM2">
        <v>143.23177848279599</v>
      </c>
    </row>
    <row r="3" spans="1:40" x14ac:dyDescent="0.35">
      <c r="A3" t="s">
        <v>29</v>
      </c>
      <c r="B3">
        <v>3.352920648626053</v>
      </c>
      <c r="C3">
        <v>3.5436269793568731</v>
      </c>
      <c r="D3">
        <v>3.051215262865981</v>
      </c>
      <c r="E3">
        <v>3.6058476528015722</v>
      </c>
      <c r="F3">
        <v>2.8174643234309831</v>
      </c>
      <c r="G3">
        <v>2.9687542311875461</v>
      </c>
      <c r="H3">
        <v>3.0033211384138951</v>
      </c>
      <c r="I3">
        <v>3.1073408273441601</v>
      </c>
      <c r="J3">
        <v>2.2135580702784239</v>
      </c>
      <c r="K3">
        <v>2.6739508959268221</v>
      </c>
      <c r="L3">
        <v>2.7227385329082101</v>
      </c>
      <c r="M3">
        <v>2.78891480580026</v>
      </c>
      <c r="N3">
        <v>2.987648667084386</v>
      </c>
      <c r="O3">
        <v>3.3318987918154899</v>
      </c>
      <c r="P3">
        <v>3.0394308602666911</v>
      </c>
      <c r="Q3">
        <v>3.3660005004880991</v>
      </c>
      <c r="R3">
        <v>3.619021219922729</v>
      </c>
      <c r="S3">
        <v>3.3947145200768318</v>
      </c>
      <c r="T3">
        <v>3.728870134574549</v>
      </c>
      <c r="U3">
        <v>3.5161685322256631</v>
      </c>
      <c r="V3">
        <v>2.8095754735832661</v>
      </c>
      <c r="W3">
        <v>3.7381513010983269</v>
      </c>
      <c r="X3">
        <v>3.6067685211737341</v>
      </c>
      <c r="Y3">
        <v>3.5190572895859868</v>
      </c>
      <c r="Z3">
        <v>3.5311802390942262</v>
      </c>
      <c r="AA3">
        <v>3.274467806364044</v>
      </c>
      <c r="AB3">
        <v>4.00792529873425</v>
      </c>
      <c r="AC3">
        <v>3.6984067358998232</v>
      </c>
      <c r="AD3">
        <v>3.01992784121262</v>
      </c>
      <c r="AE3">
        <v>3.1954945606135539</v>
      </c>
      <c r="AF3">
        <v>3.152865963173241</v>
      </c>
      <c r="AG3">
        <v>3.2585748779295329</v>
      </c>
      <c r="AH3">
        <v>3.7584736293098051</v>
      </c>
      <c r="AI3">
        <v>3.805967195362427</v>
      </c>
      <c r="AJ3">
        <v>3.0920595622000349</v>
      </c>
      <c r="AK3">
        <v>3.7364590071629209</v>
      </c>
      <c r="AL3">
        <v>3.825086832559236</v>
      </c>
      <c r="AM3">
        <v>3.518737206371497</v>
      </c>
    </row>
    <row r="4" spans="1:40" x14ac:dyDescent="0.35">
      <c r="A4" t="s">
        <v>30</v>
      </c>
      <c r="B4">
        <v>4.7071746922561903</v>
      </c>
      <c r="C4">
        <v>3.6718177040500448</v>
      </c>
      <c r="D4">
        <v>3.087353424079045</v>
      </c>
      <c r="E4">
        <v>1.985699973909461</v>
      </c>
      <c r="F4">
        <v>2.5316478880016922</v>
      </c>
      <c r="G4">
        <v>1.9316049171336811</v>
      </c>
      <c r="H4">
        <v>1.629399335396444</v>
      </c>
      <c r="I4">
        <v>1.062412226081981</v>
      </c>
      <c r="J4">
        <v>1.160679260865682</v>
      </c>
      <c r="K4">
        <v>2.3394701403376459</v>
      </c>
      <c r="L4">
        <v>1.203318765593131</v>
      </c>
      <c r="M4">
        <v>1.06230033557285</v>
      </c>
      <c r="N4">
        <v>1.6820264487013601</v>
      </c>
      <c r="O4">
        <v>2.6086704145874449</v>
      </c>
      <c r="P4">
        <v>1.4978307993717681</v>
      </c>
      <c r="Q4">
        <v>4.3558096547000318</v>
      </c>
      <c r="R4">
        <v>3.2032058170000588</v>
      </c>
      <c r="S4">
        <v>3.793948960664923</v>
      </c>
      <c r="T4">
        <v>3.3213138607131421</v>
      </c>
      <c r="U4">
        <v>3.7222458205872471</v>
      </c>
      <c r="V4">
        <v>3.0231992527383409</v>
      </c>
      <c r="W4">
        <v>5.0552586219166562</v>
      </c>
      <c r="X4">
        <v>2.7529595977694359</v>
      </c>
      <c r="Y4">
        <v>4.3024142126939928</v>
      </c>
      <c r="Z4">
        <v>2.5382274576934658</v>
      </c>
      <c r="AA4">
        <v>2.3643402857410249</v>
      </c>
      <c r="AB4">
        <v>3.6863544698134239</v>
      </c>
      <c r="AC4">
        <v>4.8592304108738311</v>
      </c>
      <c r="AD4">
        <v>2.490040036217529</v>
      </c>
      <c r="AE4">
        <v>2.6886543175581048</v>
      </c>
      <c r="AF4">
        <v>4.231920125354117</v>
      </c>
      <c r="AG4">
        <v>2.7725488831636711</v>
      </c>
      <c r="AH4">
        <v>2.6778703276265352</v>
      </c>
      <c r="AI4">
        <v>4.1158761190125626</v>
      </c>
      <c r="AJ4">
        <v>4.2328033977120292</v>
      </c>
      <c r="AK4">
        <v>5.7189604213979059</v>
      </c>
      <c r="AL4">
        <v>3.0195350789995552</v>
      </c>
      <c r="AM4">
        <v>1.541719346877864</v>
      </c>
    </row>
    <row r="5" spans="1:40" x14ac:dyDescent="0.35">
      <c r="A5" t="s">
        <v>31</v>
      </c>
      <c r="B5">
        <v>3.7095542627163121</v>
      </c>
      <c r="C5">
        <v>3.5689275033858672</v>
      </c>
      <c r="D5">
        <v>4.47270030364046</v>
      </c>
      <c r="E5">
        <v>2.955829501934605</v>
      </c>
      <c r="F5">
        <v>5.0231278838560716</v>
      </c>
      <c r="G5">
        <v>4.0788916575616083</v>
      </c>
      <c r="H5">
        <v>4.1724997532807846</v>
      </c>
      <c r="I5">
        <v>4.7258881438344682</v>
      </c>
      <c r="J5">
        <v>5.2541837993603853</v>
      </c>
      <c r="K5">
        <v>4.2430978252204072</v>
      </c>
      <c r="L5">
        <v>3.634226828141955</v>
      </c>
      <c r="M5">
        <v>3.7949420166025409</v>
      </c>
      <c r="N5">
        <v>3.8117861143964049</v>
      </c>
      <c r="O5">
        <v>3.5696735113001079</v>
      </c>
      <c r="P5">
        <v>3.110210385375991</v>
      </c>
      <c r="Q5">
        <v>4.7292947359288071</v>
      </c>
      <c r="R5">
        <v>3.525319865058639</v>
      </c>
      <c r="S5">
        <v>4.8476357094796096</v>
      </c>
      <c r="T5">
        <v>4.2021771931231466</v>
      </c>
      <c r="U5">
        <v>4.4979174205448356</v>
      </c>
      <c r="V5">
        <v>4.8759551528737779</v>
      </c>
      <c r="W5">
        <v>3.9981230844336308</v>
      </c>
      <c r="X5">
        <v>4.9520214973779737</v>
      </c>
      <c r="Y5">
        <v>4.0103005809446088</v>
      </c>
      <c r="Z5">
        <v>4.012422264265517</v>
      </c>
      <c r="AA5">
        <v>4.177202210564567</v>
      </c>
      <c r="AB5">
        <v>4.3764110554066278</v>
      </c>
      <c r="AC5">
        <v>4.6046255547845627</v>
      </c>
      <c r="AD5">
        <v>4.0742077507331214</v>
      </c>
      <c r="AE5">
        <v>4.0686059882364747</v>
      </c>
      <c r="AF5">
        <v>3.4561030453591099</v>
      </c>
      <c r="AG5">
        <v>4.1062914855263291</v>
      </c>
      <c r="AH5">
        <v>3.6981245297212779</v>
      </c>
      <c r="AI5">
        <v>3.9550680234125588</v>
      </c>
      <c r="AJ5">
        <v>4.6146834627207163</v>
      </c>
      <c r="AK5">
        <v>4.4269415911236409</v>
      </c>
      <c r="AL5">
        <v>3.969374229029309</v>
      </c>
      <c r="AM5">
        <v>4.35088313252513</v>
      </c>
    </row>
    <row r="6" spans="1:40" x14ac:dyDescent="0.35">
      <c r="A6" t="s">
        <v>32</v>
      </c>
      <c r="B6">
        <v>0.90865500736102012</v>
      </c>
      <c r="C6">
        <v>0.63210115333337225</v>
      </c>
      <c r="D6">
        <v>0.53279522851262306</v>
      </c>
      <c r="E6">
        <v>0.15830178030447981</v>
      </c>
      <c r="F6">
        <v>1.0417458315557959</v>
      </c>
      <c r="G6">
        <v>-0.1040264791156814</v>
      </c>
      <c r="H6">
        <v>0.48134244541352889</v>
      </c>
      <c r="I6">
        <v>0.80361610571575048</v>
      </c>
      <c r="J6">
        <v>0.2062351111874014</v>
      </c>
      <c r="K6">
        <v>0.75367878544518885</v>
      </c>
      <c r="L6">
        <v>0.52668375103561504</v>
      </c>
      <c r="M6">
        <v>0.48054851473891491</v>
      </c>
      <c r="N6">
        <v>0.82284421274018471</v>
      </c>
      <c r="O6">
        <v>0.54170994012501583</v>
      </c>
      <c r="P6">
        <v>0.86180154601915582</v>
      </c>
      <c r="Q6">
        <v>1.1294387471822911</v>
      </c>
      <c r="R6">
        <v>1.020041859223455</v>
      </c>
      <c r="S6">
        <v>1.517406563926917</v>
      </c>
      <c r="T6">
        <v>1.74450588220908</v>
      </c>
      <c r="U6">
        <v>1.2232640130786281</v>
      </c>
      <c r="V6">
        <v>1.284592543156053</v>
      </c>
      <c r="W6">
        <v>1.316202585342543</v>
      </c>
      <c r="X6">
        <v>1.462752840003184</v>
      </c>
      <c r="Y6">
        <v>1.8012694690834219</v>
      </c>
      <c r="Z6">
        <v>1.943157421969762</v>
      </c>
      <c r="AA6">
        <v>1.7028213446379341</v>
      </c>
      <c r="AB6">
        <v>1.762562693037673</v>
      </c>
      <c r="AC6">
        <v>1.958681122262661</v>
      </c>
      <c r="AD6">
        <v>1.2840725314428949</v>
      </c>
      <c r="AE6">
        <v>1.3832321443475399</v>
      </c>
      <c r="AF6">
        <v>1.177879865440276</v>
      </c>
      <c r="AG6">
        <v>1.29521091966623</v>
      </c>
      <c r="AH6">
        <v>0.78290382182568063</v>
      </c>
      <c r="AI6">
        <v>1.5277359718706109</v>
      </c>
      <c r="AJ6">
        <v>1.3021852668057039</v>
      </c>
      <c r="AK6">
        <v>1.5531982059419549</v>
      </c>
      <c r="AL6">
        <v>0.90867207532377414</v>
      </c>
      <c r="AM6">
        <v>1.347776328808699</v>
      </c>
    </row>
    <row r="7" spans="1:40" x14ac:dyDescent="0.35">
      <c r="A7" t="s">
        <v>33</v>
      </c>
      <c r="B7">
        <v>153.16788181525459</v>
      </c>
      <c r="C7">
        <v>151.94831089742621</v>
      </c>
      <c r="D7">
        <v>151.57254291402401</v>
      </c>
      <c r="E7">
        <v>148.8389520939491</v>
      </c>
      <c r="F7">
        <v>151.83699158414149</v>
      </c>
      <c r="G7">
        <v>148.53301973273929</v>
      </c>
      <c r="H7">
        <v>150.00340666774869</v>
      </c>
      <c r="I7">
        <v>149.9653876126452</v>
      </c>
      <c r="J7">
        <v>148.34030777655809</v>
      </c>
      <c r="K7">
        <v>151.38008412878321</v>
      </c>
      <c r="L7">
        <v>148.80973715214</v>
      </c>
      <c r="M7">
        <v>147.65959712352381</v>
      </c>
      <c r="N7">
        <v>149.8694424906117</v>
      </c>
      <c r="O7">
        <v>150.93090443933181</v>
      </c>
      <c r="P7">
        <v>148.29194910145111</v>
      </c>
      <c r="Q7">
        <v>154.24122380372029</v>
      </c>
      <c r="R7">
        <v>152.0904626743899</v>
      </c>
      <c r="S7">
        <v>154.4974076213436</v>
      </c>
      <c r="T7">
        <v>153.98178031465071</v>
      </c>
      <c r="U7">
        <v>154.5848158257896</v>
      </c>
      <c r="V7">
        <v>152.7254439017164</v>
      </c>
      <c r="W7">
        <v>154.85993783435671</v>
      </c>
      <c r="X7">
        <v>153.58506077733139</v>
      </c>
      <c r="Y7">
        <v>154.6884147806027</v>
      </c>
      <c r="Z7">
        <v>154.2106857678373</v>
      </c>
      <c r="AA7">
        <v>152.900930375483</v>
      </c>
      <c r="AB7">
        <v>154.9646995436392</v>
      </c>
      <c r="AC7">
        <v>156.27823675256519</v>
      </c>
      <c r="AD7">
        <v>151.61845475375591</v>
      </c>
      <c r="AE7">
        <v>151.99603839744481</v>
      </c>
      <c r="AF7">
        <v>152.99574157509161</v>
      </c>
      <c r="AG7">
        <v>154.12179403644811</v>
      </c>
      <c r="AH7">
        <v>153.42957144545011</v>
      </c>
      <c r="AI7">
        <v>154.82504348512271</v>
      </c>
      <c r="AJ7">
        <v>154.81478339296811</v>
      </c>
      <c r="AK7">
        <v>156.9383345259395</v>
      </c>
      <c r="AL7">
        <v>153.42566652765649</v>
      </c>
      <c r="AM7">
        <v>153.9908944973792</v>
      </c>
    </row>
    <row r="8" spans="1:40" x14ac:dyDescent="0.35">
      <c r="A8" t="s">
        <v>34</v>
      </c>
      <c r="B8">
        <v>3220104.85</v>
      </c>
      <c r="C8">
        <v>2980427.93</v>
      </c>
      <c r="D8">
        <v>2913291.580000001</v>
      </c>
      <c r="E8">
        <v>2476521.89</v>
      </c>
      <c r="F8">
        <v>3187504.58</v>
      </c>
      <c r="G8">
        <v>3487655.37</v>
      </c>
      <c r="H8">
        <v>3939777.66</v>
      </c>
      <c r="I8">
        <v>5484726.75</v>
      </c>
      <c r="J8">
        <v>7653936.4199999999</v>
      </c>
      <c r="K8">
        <v>5920748.5199999996</v>
      </c>
      <c r="L8">
        <v>4553613.71</v>
      </c>
      <c r="M8">
        <v>3951213.06</v>
      </c>
      <c r="N8">
        <v>4744420.74</v>
      </c>
      <c r="O8">
        <v>4517768.0299999993</v>
      </c>
      <c r="P8">
        <v>4391450.1300000008</v>
      </c>
      <c r="Q8">
        <v>4977656.9700000007</v>
      </c>
      <c r="R8">
        <v>5492368.9699999997</v>
      </c>
      <c r="S8">
        <v>5252397.91</v>
      </c>
      <c r="T8">
        <v>5039020.99</v>
      </c>
      <c r="U8">
        <v>5139222.7499999991</v>
      </c>
      <c r="V8">
        <v>5859138.3000000007</v>
      </c>
      <c r="W8">
        <v>5861629.4499999993</v>
      </c>
      <c r="X8">
        <v>4958280.5299999993</v>
      </c>
      <c r="Y8">
        <v>5247689.3900000006</v>
      </c>
      <c r="Z8">
        <v>5299439.4699999988</v>
      </c>
      <c r="AA8">
        <v>4975160.92</v>
      </c>
      <c r="AB8">
        <v>5642143.4199999999</v>
      </c>
      <c r="AC8">
        <v>5845718.1600000001</v>
      </c>
      <c r="AD8">
        <v>6315728.21</v>
      </c>
      <c r="AE8">
        <v>5682107.120000001</v>
      </c>
      <c r="AF8">
        <v>5370998</v>
      </c>
      <c r="AG8">
        <v>4318566.4300000006</v>
      </c>
      <c r="AH8">
        <v>4300895.5299999993</v>
      </c>
      <c r="AI8">
        <v>4263398.8</v>
      </c>
      <c r="AJ8">
        <v>3856887.03</v>
      </c>
      <c r="AK8">
        <v>3224207.83</v>
      </c>
      <c r="AL8">
        <v>2806540.15</v>
      </c>
      <c r="AM8">
        <v>1493439.58</v>
      </c>
    </row>
    <row r="9" spans="1:40" x14ac:dyDescent="0.35">
      <c r="A9" t="s">
        <v>35</v>
      </c>
      <c r="B9">
        <v>1.592501682152297</v>
      </c>
      <c r="C9">
        <v>1.60338938403916</v>
      </c>
      <c r="D9">
        <v>1.5359037072020509</v>
      </c>
      <c r="E9">
        <v>1.652649918501397</v>
      </c>
      <c r="F9">
        <v>1.4975166186169131</v>
      </c>
      <c r="G9">
        <v>1.564598392352812</v>
      </c>
      <c r="H9">
        <v>1.557680972219144</v>
      </c>
      <c r="I9">
        <v>1.5180046855465059</v>
      </c>
      <c r="J9">
        <v>1.481968527686371</v>
      </c>
      <c r="K9">
        <v>1.552504266154874</v>
      </c>
      <c r="L9">
        <v>1.5983152785264669</v>
      </c>
      <c r="M9">
        <v>1.5859625852127399</v>
      </c>
      <c r="N9">
        <v>1.584678980396897</v>
      </c>
      <c r="O9">
        <v>1.6033312333266829</v>
      </c>
      <c r="P9">
        <v>1.6399629525498569</v>
      </c>
      <c r="Q9">
        <v>1.5177667016255461</v>
      </c>
      <c r="R9">
        <v>1.6067959094826889</v>
      </c>
      <c r="S9">
        <v>1.509545492178364</v>
      </c>
      <c r="T9">
        <v>1.5555006308831789</v>
      </c>
      <c r="U9">
        <v>1.5341020878832721</v>
      </c>
      <c r="V9">
        <v>1.5075913151919</v>
      </c>
      <c r="W9">
        <v>1.5706165673659089</v>
      </c>
      <c r="X9">
        <v>1.50236733341115</v>
      </c>
      <c r="Y9">
        <v>1.569706243513306</v>
      </c>
      <c r="Z9">
        <v>1.569547745863026</v>
      </c>
      <c r="AA9">
        <v>1.5573350847803411</v>
      </c>
      <c r="AB9">
        <v>1.542822128303831</v>
      </c>
      <c r="AC9">
        <v>1.5265249525556459</v>
      </c>
      <c r="AD9">
        <v>1.564946136532829</v>
      </c>
      <c r="AE9">
        <v>1.5653622274968819</v>
      </c>
      <c r="AF9">
        <v>1.6122327858278069</v>
      </c>
      <c r="AG9">
        <v>1.562567257379919</v>
      </c>
      <c r="AH9">
        <v>1.593381079171819</v>
      </c>
      <c r="AI9">
        <v>1.5738436144970891</v>
      </c>
      <c r="AJ9">
        <v>1.5258146184227619</v>
      </c>
      <c r="AK9">
        <v>1.5391837355669249</v>
      </c>
      <c r="AL9">
        <v>1.57276987094558</v>
      </c>
      <c r="AM9">
        <v>1.5446667847551241</v>
      </c>
    </row>
    <row r="10" spans="1:40" x14ac:dyDescent="0.35">
      <c r="A10" t="s">
        <v>36</v>
      </c>
      <c r="B10">
        <v>0.23701921418055691</v>
      </c>
      <c r="C10">
        <v>0.24096998352380899</v>
      </c>
      <c r="D10">
        <v>0.24238863959267681</v>
      </c>
      <c r="E10">
        <v>0.24773854599565029</v>
      </c>
      <c r="F10">
        <v>0.23511791669206011</v>
      </c>
      <c r="G10">
        <v>0.25148609255879539</v>
      </c>
      <c r="H10">
        <v>0.2431236793512353</v>
      </c>
      <c r="I10">
        <v>0.23851976991834639</v>
      </c>
      <c r="J10">
        <v>0.24705378412589429</v>
      </c>
      <c r="K10">
        <v>0.2392331602079259</v>
      </c>
      <c r="L10">
        <v>0.2424759464137769</v>
      </c>
      <c r="M10">
        <v>0.2431350212180155</v>
      </c>
      <c r="N10">
        <v>0.23824508267514019</v>
      </c>
      <c r="O10">
        <v>0.2422612865696426</v>
      </c>
      <c r="P10">
        <v>0.23768854934258349</v>
      </c>
      <c r="Q10">
        <v>0.2338651607545387</v>
      </c>
      <c r="R10">
        <v>0.2354279734396649</v>
      </c>
      <c r="S10">
        <v>0.22832276337247259</v>
      </c>
      <c r="T10">
        <v>0.22507848739701311</v>
      </c>
      <c r="U10">
        <v>0.23252479981316251</v>
      </c>
      <c r="V10">
        <v>0.23164867795491351</v>
      </c>
      <c r="W10">
        <v>0.23119710592367801</v>
      </c>
      <c r="X10">
        <v>0.22910353085709739</v>
      </c>
      <c r="Y10">
        <v>0.22426757901309399</v>
      </c>
      <c r="Z10">
        <v>0.2222406082575748</v>
      </c>
      <c r="AA10">
        <v>0.22567398079088671</v>
      </c>
      <c r="AB10">
        <v>0.2248205329566047</v>
      </c>
      <c r="AC10">
        <v>0.22201884111053341</v>
      </c>
      <c r="AD10">
        <v>0.2316561066936729</v>
      </c>
      <c r="AE10">
        <v>0.23023954079503511</v>
      </c>
      <c r="AF10">
        <v>0.23317314477942461</v>
      </c>
      <c r="AG10">
        <v>0.231496986861911</v>
      </c>
      <c r="AH10">
        <v>0.23881565968820459</v>
      </c>
      <c r="AI10">
        <v>0.22817520040184841</v>
      </c>
      <c r="AJ10">
        <v>0.23139735333134709</v>
      </c>
      <c r="AK10">
        <v>0.22781145420082921</v>
      </c>
      <c r="AL10">
        <v>0.23701897035251751</v>
      </c>
      <c r="AM10">
        <v>0.23074605244558999</v>
      </c>
    </row>
    <row r="12" spans="1:40" x14ac:dyDescent="0.35">
      <c r="A12" t="s">
        <v>37</v>
      </c>
      <c r="B12" t="s">
        <v>129</v>
      </c>
      <c r="C12" t="s">
        <v>130</v>
      </c>
      <c r="D12" t="s">
        <v>131</v>
      </c>
      <c r="E12" t="s">
        <v>132</v>
      </c>
      <c r="F12" t="s">
        <v>133</v>
      </c>
      <c r="G12" t="s">
        <v>134</v>
      </c>
      <c r="H12" t="s">
        <v>135</v>
      </c>
      <c r="I12" t="s">
        <v>136</v>
      </c>
      <c r="J12" t="s">
        <v>137</v>
      </c>
      <c r="K12" t="s">
        <v>138</v>
      </c>
      <c r="L12" t="s">
        <v>139</v>
      </c>
      <c r="M12" t="s">
        <v>140</v>
      </c>
      <c r="N12" t="s">
        <v>141</v>
      </c>
      <c r="O12" t="s">
        <v>142</v>
      </c>
      <c r="P12" t="s">
        <v>143</v>
      </c>
      <c r="Q12" t="s">
        <v>144</v>
      </c>
      <c r="R12" t="s">
        <v>145</v>
      </c>
      <c r="S12" t="s">
        <v>146</v>
      </c>
      <c r="T12" t="s">
        <v>147</v>
      </c>
      <c r="U12" t="s">
        <v>148</v>
      </c>
      <c r="V12" t="s">
        <v>149</v>
      </c>
      <c r="W12" t="s">
        <v>150</v>
      </c>
      <c r="X12" t="s">
        <v>151</v>
      </c>
      <c r="Y12" t="s">
        <v>152</v>
      </c>
      <c r="Z12" t="s">
        <v>153</v>
      </c>
      <c r="AA12" t="s">
        <v>154</v>
      </c>
      <c r="AB12" t="s">
        <v>155</v>
      </c>
      <c r="AC12" t="s">
        <v>156</v>
      </c>
      <c r="AD12" t="s">
        <v>157</v>
      </c>
      <c r="AE12" t="s">
        <v>158</v>
      </c>
      <c r="AF12" t="s">
        <v>159</v>
      </c>
      <c r="AG12" t="s">
        <v>160</v>
      </c>
      <c r="AH12" t="s">
        <v>161</v>
      </c>
      <c r="AI12" t="s">
        <v>162</v>
      </c>
      <c r="AJ12" t="s">
        <v>163</v>
      </c>
      <c r="AK12" t="s">
        <v>164</v>
      </c>
      <c r="AL12" t="s">
        <v>165</v>
      </c>
      <c r="AM12" t="s">
        <v>166</v>
      </c>
      <c r="AN12" t="s">
        <v>167</v>
      </c>
    </row>
    <row r="13" spans="1:40" x14ac:dyDescent="0.35">
      <c r="A13" t="s">
        <v>28</v>
      </c>
      <c r="B13">
        <v>142.6922926278769</v>
      </c>
      <c r="C13">
        <v>142.8182217403828</v>
      </c>
      <c r="D13">
        <v>143.08317772857831</v>
      </c>
      <c r="E13">
        <v>143.25059430311151</v>
      </c>
      <c r="F13">
        <v>142.2628631334085</v>
      </c>
      <c r="G13">
        <v>142.5331774888958</v>
      </c>
      <c r="H13">
        <v>143.0639090314433</v>
      </c>
      <c r="I13">
        <v>142.74647987665401</v>
      </c>
      <c r="J13">
        <v>142.77753010730299</v>
      </c>
      <c r="K13">
        <v>142.47484936353101</v>
      </c>
      <c r="L13">
        <v>142.75654323643391</v>
      </c>
      <c r="M13">
        <v>142.8353684025104</v>
      </c>
      <c r="N13">
        <v>143.1887986406399</v>
      </c>
      <c r="O13">
        <v>142.9859002563143</v>
      </c>
      <c r="P13">
        <v>143.51443845623331</v>
      </c>
      <c r="Q13">
        <v>142.9647841277482</v>
      </c>
      <c r="R13">
        <v>142.91714379085241</v>
      </c>
      <c r="S13">
        <v>142.9881148362289</v>
      </c>
      <c r="T13">
        <v>142.74049133811499</v>
      </c>
      <c r="U13">
        <v>142.75612771982199</v>
      </c>
      <c r="V13">
        <v>142.9862020108948</v>
      </c>
      <c r="W13">
        <v>142.860756850012</v>
      </c>
      <c r="X13">
        <v>143.79727554305569</v>
      </c>
      <c r="Y13">
        <v>144.0283592557015</v>
      </c>
      <c r="Z13">
        <v>143.61530354341599</v>
      </c>
      <c r="AA13">
        <v>143.0688886092419</v>
      </c>
      <c r="AB13">
        <v>143.7704644958871</v>
      </c>
      <c r="AC13">
        <v>143.84235964986999</v>
      </c>
      <c r="AD13">
        <v>143.90285798559671</v>
      </c>
      <c r="AE13">
        <v>143.98865201787169</v>
      </c>
      <c r="AF13">
        <v>143.6921220119259</v>
      </c>
      <c r="AG13">
        <v>143.2019447237532</v>
      </c>
      <c r="AH13">
        <v>143.67919780404659</v>
      </c>
      <c r="AI13">
        <v>143.22227314044551</v>
      </c>
      <c r="AJ13">
        <v>143.8824719139497</v>
      </c>
      <c r="AK13">
        <v>143.8880731415363</v>
      </c>
      <c r="AL13">
        <v>143.16507656995461</v>
      </c>
      <c r="AM13">
        <v>143.28770268757049</v>
      </c>
      <c r="AN13">
        <v>146.90317669693769</v>
      </c>
    </row>
    <row r="14" spans="1:40" x14ac:dyDescent="0.35">
      <c r="A14" t="s">
        <v>29</v>
      </c>
      <c r="B14">
        <v>2.7853834034104921</v>
      </c>
      <c r="C14">
        <v>2.819886621121412</v>
      </c>
      <c r="D14">
        <v>2.744878693227605</v>
      </c>
      <c r="E14">
        <v>3.0205189931353398</v>
      </c>
      <c r="F14">
        <v>2.6413156675313019</v>
      </c>
      <c r="G14">
        <v>2.5914367162826011</v>
      </c>
      <c r="H14">
        <v>2.7556939320833749</v>
      </c>
      <c r="I14">
        <v>2.5824381698089671</v>
      </c>
      <c r="J14">
        <v>2.5968588825497529</v>
      </c>
      <c r="K14">
        <v>2.6980438497242858</v>
      </c>
      <c r="L14">
        <v>2.6312741446041339</v>
      </c>
      <c r="M14">
        <v>2.3372202570274401</v>
      </c>
      <c r="N14">
        <v>2.8736939927622132</v>
      </c>
      <c r="O14">
        <v>2.742958476732269</v>
      </c>
      <c r="P14">
        <v>2.815452470231008</v>
      </c>
      <c r="Q14">
        <v>3.2634687578106711</v>
      </c>
      <c r="R14">
        <v>2.981065063978718</v>
      </c>
      <c r="S14">
        <v>2.9888341663278482</v>
      </c>
      <c r="T14">
        <v>3.25550599263866</v>
      </c>
      <c r="U14">
        <v>2.8329549774423981</v>
      </c>
      <c r="V14">
        <v>2.952912283966413</v>
      </c>
      <c r="W14">
        <v>2.8781760034779889</v>
      </c>
      <c r="X14">
        <v>2.6324359596821409</v>
      </c>
      <c r="Y14">
        <v>2.7943593577119259</v>
      </c>
      <c r="Z14">
        <v>3.1252082647807811</v>
      </c>
      <c r="AA14">
        <v>3.1374534822194562</v>
      </c>
      <c r="AB14">
        <v>3.1557051720728571</v>
      </c>
      <c r="AC14">
        <v>3.276076779860432</v>
      </c>
      <c r="AD14">
        <v>2.851147258498969</v>
      </c>
      <c r="AE14">
        <v>3.1629571123615681</v>
      </c>
      <c r="AF14">
        <v>2.9400136421840561</v>
      </c>
      <c r="AG14">
        <v>3.216103116105018</v>
      </c>
      <c r="AH14">
        <v>2.9850492457869682</v>
      </c>
      <c r="AI14">
        <v>2.9979010671871151</v>
      </c>
      <c r="AJ14">
        <v>3.0679593205074132</v>
      </c>
      <c r="AK14">
        <v>3.2732589754828889</v>
      </c>
      <c r="AL14">
        <v>3.4970613739705811</v>
      </c>
      <c r="AM14">
        <v>3.6683148028690198</v>
      </c>
      <c r="AN14">
        <v>4.0586017203019944</v>
      </c>
    </row>
    <row r="15" spans="1:40" x14ac:dyDescent="0.35">
      <c r="A15" t="s">
        <v>30</v>
      </c>
      <c r="B15">
        <v>4.2351599285698169</v>
      </c>
      <c r="C15">
        <v>4.3924053289127754</v>
      </c>
      <c r="D15">
        <v>2.5130748041342099</v>
      </c>
      <c r="E15">
        <v>2.809897322567414</v>
      </c>
      <c r="F15">
        <v>3.0121870325324398</v>
      </c>
      <c r="G15">
        <v>2.8569161401741221</v>
      </c>
      <c r="H15">
        <v>2.526899014377701</v>
      </c>
      <c r="I15">
        <v>2.898518432681342</v>
      </c>
      <c r="J15">
        <v>2.2124312515876809</v>
      </c>
      <c r="K15">
        <v>1.747412585980771</v>
      </c>
      <c r="L15">
        <v>2.2001338465892619</v>
      </c>
      <c r="M15">
        <v>2.518763311049629</v>
      </c>
      <c r="N15">
        <v>2.5601980170678118</v>
      </c>
      <c r="O15">
        <v>2.8934275026713991</v>
      </c>
      <c r="P15">
        <v>2.2572976991097491</v>
      </c>
      <c r="Q15">
        <v>2.9132077556708111</v>
      </c>
      <c r="R15">
        <v>2.6781828341756069</v>
      </c>
      <c r="S15">
        <v>2.6496251519311769</v>
      </c>
      <c r="T15">
        <v>3.7715994211607771</v>
      </c>
      <c r="U15">
        <v>3.6208128190065039</v>
      </c>
      <c r="V15">
        <v>3.041988072648135</v>
      </c>
      <c r="W15">
        <v>3.1479170401519379</v>
      </c>
      <c r="X15">
        <v>2.6705048210235312</v>
      </c>
      <c r="Y15">
        <v>2.3893543354383291</v>
      </c>
      <c r="Z15">
        <v>2.8594819368788702</v>
      </c>
      <c r="AA15">
        <v>2.198712194631979</v>
      </c>
      <c r="AB15">
        <v>2.3115442842377578</v>
      </c>
      <c r="AC15">
        <v>2.5289140818953921</v>
      </c>
      <c r="AD15">
        <v>2.9287485820570671</v>
      </c>
      <c r="AE15">
        <v>2.277570389658703</v>
      </c>
      <c r="AF15">
        <v>2.6287245711450189</v>
      </c>
      <c r="AG15">
        <v>3.7767715182422039</v>
      </c>
      <c r="AH15">
        <v>2.462515827872414</v>
      </c>
      <c r="AI15">
        <v>3.0974695352941981</v>
      </c>
      <c r="AJ15">
        <v>3.2721353890453631</v>
      </c>
      <c r="AK15">
        <v>3.302416537332725</v>
      </c>
      <c r="AL15">
        <v>3.9939749702024518</v>
      </c>
      <c r="AM15">
        <v>3.196081072147523</v>
      </c>
      <c r="AN15">
        <v>-3.676420219652611</v>
      </c>
    </row>
    <row r="16" spans="1:40" x14ac:dyDescent="0.35">
      <c r="A16" t="s">
        <v>31</v>
      </c>
      <c r="B16">
        <v>5.8970429184465392</v>
      </c>
      <c r="C16">
        <v>6.1599528765942706</v>
      </c>
      <c r="D16">
        <v>5.236470721817839</v>
      </c>
      <c r="E16">
        <v>4.9656389535257182</v>
      </c>
      <c r="F16">
        <v>4.6014788818401184</v>
      </c>
      <c r="G16">
        <v>4.9482360914342047</v>
      </c>
      <c r="H16">
        <v>4.6105828993171256</v>
      </c>
      <c r="I16">
        <v>4.8446660039351794</v>
      </c>
      <c r="J16">
        <v>5.0268109553103448</v>
      </c>
      <c r="K16">
        <v>5.1718527680179491</v>
      </c>
      <c r="L16">
        <v>5.1702405568493441</v>
      </c>
      <c r="M16">
        <v>4.7916431613779373</v>
      </c>
      <c r="N16">
        <v>4.9287958122733322</v>
      </c>
      <c r="O16">
        <v>4.8982750964765369</v>
      </c>
      <c r="P16">
        <v>5.1948403854574101</v>
      </c>
      <c r="Q16">
        <v>4.9381277709102473</v>
      </c>
      <c r="R16">
        <v>5.1768281482064626</v>
      </c>
      <c r="S16">
        <v>5.1930069293415126</v>
      </c>
      <c r="T16">
        <v>5.0782625851337082</v>
      </c>
      <c r="U16">
        <v>5.2814299023591822</v>
      </c>
      <c r="V16">
        <v>4.6144988772550626</v>
      </c>
      <c r="W16">
        <v>5.1434403691057664</v>
      </c>
      <c r="X16">
        <v>4.9475707379644938</v>
      </c>
      <c r="Y16">
        <v>4.6976832054220354</v>
      </c>
      <c r="Z16">
        <v>5.0078135215416442</v>
      </c>
      <c r="AA16">
        <v>4.8665280204990049</v>
      </c>
      <c r="AB16">
        <v>5.0151125046620173</v>
      </c>
      <c r="AC16">
        <v>4.6322216890165038</v>
      </c>
      <c r="AD16">
        <v>4.4874420126642844</v>
      </c>
      <c r="AE16">
        <v>4.7694794977112087</v>
      </c>
      <c r="AF16">
        <v>4.6210598587398817</v>
      </c>
      <c r="AG16">
        <v>5.0140651074586184</v>
      </c>
      <c r="AH16">
        <v>4.6323299101237776</v>
      </c>
      <c r="AI16">
        <v>5.2184858572388091</v>
      </c>
      <c r="AJ16">
        <v>4.861743458298367</v>
      </c>
      <c r="AK16">
        <v>5.1529645366940677</v>
      </c>
      <c r="AL16">
        <v>4.8395384790584064</v>
      </c>
      <c r="AM16">
        <v>4.3416769380437881</v>
      </c>
      <c r="AN16">
        <v>2.6031926698027261</v>
      </c>
    </row>
    <row r="17" spans="1:40" x14ac:dyDescent="0.35">
      <c r="A17" t="s">
        <v>32</v>
      </c>
      <c r="B17">
        <v>-0.3111852046709368</v>
      </c>
      <c r="C17">
        <v>-0.39140733742859313</v>
      </c>
      <c r="D17">
        <v>-0.62707401675760166</v>
      </c>
      <c r="E17">
        <v>-0.31127210735839789</v>
      </c>
      <c r="F17">
        <v>-0.55730403801348916</v>
      </c>
      <c r="G17">
        <v>-0.54747361715345166</v>
      </c>
      <c r="H17">
        <v>-0.49617640817652742</v>
      </c>
      <c r="I17">
        <v>-0.20514350045897239</v>
      </c>
      <c r="J17">
        <v>-0.28051605971721683</v>
      </c>
      <c r="K17">
        <v>-0.46722054244508748</v>
      </c>
      <c r="L17">
        <v>-0.29522787647664361</v>
      </c>
      <c r="M17">
        <v>-0.25993278649054491</v>
      </c>
      <c r="N17">
        <v>-0.47855139028949217</v>
      </c>
      <c r="O17">
        <v>-0.1678579935650365</v>
      </c>
      <c r="P17">
        <v>-0.24924900774186021</v>
      </c>
      <c r="Q17">
        <v>-0.30092070082065442</v>
      </c>
      <c r="R17">
        <v>-0.35560563806460438</v>
      </c>
      <c r="S17">
        <v>-0.18819608347585609</v>
      </c>
      <c r="T17">
        <v>-0.29378086963325167</v>
      </c>
      <c r="U17">
        <v>-0.20061289535611759</v>
      </c>
      <c r="V17">
        <v>-0.24805167967009209</v>
      </c>
      <c r="W17">
        <v>-0.52005244683797247</v>
      </c>
      <c r="X17">
        <v>-0.55700765965584598</v>
      </c>
      <c r="Y17">
        <v>-0.3045227472260531</v>
      </c>
      <c r="Z17">
        <v>-0.40958959108302828</v>
      </c>
      <c r="AA17">
        <v>-0.53234121689946456</v>
      </c>
      <c r="AB17">
        <v>-0.51949113593127427</v>
      </c>
      <c r="AC17">
        <v>-0.28757628159810422</v>
      </c>
      <c r="AD17">
        <v>-0.53506426874044888</v>
      </c>
      <c r="AE17">
        <v>-0.3028008807296545</v>
      </c>
      <c r="AF17">
        <v>-0.45320595718669138</v>
      </c>
      <c r="AG17">
        <v>-0.60610128432648014</v>
      </c>
      <c r="AH17">
        <v>-0.54155267072507285</v>
      </c>
      <c r="AI17">
        <v>-0.37248829423045859</v>
      </c>
      <c r="AJ17">
        <v>-0.54065339777444543</v>
      </c>
      <c r="AK17">
        <v>-0.20482895725830011</v>
      </c>
      <c r="AL17">
        <v>-0.56694515849218641</v>
      </c>
      <c r="AM17">
        <v>-6.3538358101233872E-3</v>
      </c>
      <c r="AN17">
        <v>-1.1542277643578669</v>
      </c>
    </row>
    <row r="18" spans="1:40" x14ac:dyDescent="0.35">
      <c r="A18" t="s">
        <v>33</v>
      </c>
      <c r="B18">
        <v>155.29869367363281</v>
      </c>
      <c r="C18">
        <v>155.79905922958261</v>
      </c>
      <c r="D18">
        <v>152.95052793100041</v>
      </c>
      <c r="E18">
        <v>153.73537746498161</v>
      </c>
      <c r="F18">
        <v>151.96054067729881</v>
      </c>
      <c r="G18">
        <v>152.38229281963319</v>
      </c>
      <c r="H18">
        <v>152.46090846904499</v>
      </c>
      <c r="I18">
        <v>152.8669589826205</v>
      </c>
      <c r="J18">
        <v>152.33311513703359</v>
      </c>
      <c r="K18">
        <v>151.6249380248089</v>
      </c>
      <c r="L18">
        <v>152.46296390800001</v>
      </c>
      <c r="M18">
        <v>152.22306234547489</v>
      </c>
      <c r="N18">
        <v>153.07293507245379</v>
      </c>
      <c r="O18">
        <v>153.3527033386294</v>
      </c>
      <c r="P18">
        <v>153.53278000328959</v>
      </c>
      <c r="Q18">
        <v>153.77866771131929</v>
      </c>
      <c r="R18">
        <v>153.39761419914859</v>
      </c>
      <c r="S18">
        <v>153.63138500035359</v>
      </c>
      <c r="T18">
        <v>154.5520784674149</v>
      </c>
      <c r="U18">
        <v>154.29071252327401</v>
      </c>
      <c r="V18">
        <v>153.3475495650944</v>
      </c>
      <c r="W18">
        <v>153.5102378159097</v>
      </c>
      <c r="X18">
        <v>153.49077940206999</v>
      </c>
      <c r="Y18">
        <v>153.60523340704779</v>
      </c>
      <c r="Z18">
        <v>154.19821767553429</v>
      </c>
      <c r="AA18">
        <v>152.73924108969291</v>
      </c>
      <c r="AB18">
        <v>153.73333532092849</v>
      </c>
      <c r="AC18">
        <v>153.9919959190442</v>
      </c>
      <c r="AD18">
        <v>153.63513157007651</v>
      </c>
      <c r="AE18">
        <v>153.89585813687361</v>
      </c>
      <c r="AF18">
        <v>153.4287141268081</v>
      </c>
      <c r="AG18">
        <v>154.6027831812325</v>
      </c>
      <c r="AH18">
        <v>153.2175401171047</v>
      </c>
      <c r="AI18">
        <v>154.1636413059351</v>
      </c>
      <c r="AJ18">
        <v>154.54365668402639</v>
      </c>
      <c r="AK18">
        <v>155.4118842337877</v>
      </c>
      <c r="AL18">
        <v>154.92870623469381</v>
      </c>
      <c r="AM18">
        <v>154.48742166482069</v>
      </c>
      <c r="AN18">
        <v>148.73432310303201</v>
      </c>
    </row>
    <row r="19" spans="1:40" x14ac:dyDescent="0.35">
      <c r="A19" t="s">
        <v>34</v>
      </c>
      <c r="B19">
        <v>7386062.4199999999</v>
      </c>
      <c r="C19">
        <v>9056714.5099999979</v>
      </c>
      <c r="D19">
        <v>7686121.0300000003</v>
      </c>
      <c r="E19">
        <v>8952649.1099999994</v>
      </c>
      <c r="F19">
        <v>9840409.0399999991</v>
      </c>
      <c r="G19">
        <v>10451944.960000001</v>
      </c>
      <c r="H19">
        <v>11097946.640000001</v>
      </c>
      <c r="I19">
        <v>14539330.640000001</v>
      </c>
      <c r="J19">
        <v>24074629.379999999</v>
      </c>
      <c r="K19">
        <v>17715453.27</v>
      </c>
      <c r="L19">
        <v>17624387.34</v>
      </c>
      <c r="M19">
        <v>14797654.49</v>
      </c>
      <c r="N19">
        <v>14901850.77</v>
      </c>
      <c r="O19">
        <v>16449231.9</v>
      </c>
      <c r="P19">
        <v>13001173.279999999</v>
      </c>
      <c r="Q19">
        <v>14391890.300000001</v>
      </c>
      <c r="R19">
        <v>14289500.67</v>
      </c>
      <c r="S19">
        <v>15262331.550000001</v>
      </c>
      <c r="T19">
        <v>14758841.359999999</v>
      </c>
      <c r="U19">
        <v>12555862.039999999</v>
      </c>
      <c r="V19">
        <v>12315641.699999999</v>
      </c>
      <c r="W19">
        <v>13186194.949999999</v>
      </c>
      <c r="X19">
        <v>11436559.52</v>
      </c>
      <c r="Y19">
        <v>10211545.109999999</v>
      </c>
      <c r="Z19">
        <v>11298732.65</v>
      </c>
      <c r="AA19">
        <v>10409650.74</v>
      </c>
      <c r="AB19">
        <v>10062414.65</v>
      </c>
      <c r="AC19">
        <v>10250596.27</v>
      </c>
      <c r="AD19">
        <v>9030073.5</v>
      </c>
      <c r="AE19">
        <v>9682337.7100000009</v>
      </c>
      <c r="AF19">
        <v>9968653.8399999999</v>
      </c>
      <c r="AG19">
        <v>10234467.82</v>
      </c>
      <c r="AH19">
        <v>8661709.4100000001</v>
      </c>
      <c r="AI19">
        <v>8832898.5700000003</v>
      </c>
      <c r="AJ19">
        <v>9556976.9200000018</v>
      </c>
      <c r="AK19">
        <v>7952666.4299999997</v>
      </c>
      <c r="AL19">
        <v>6309360.2599999998</v>
      </c>
      <c r="AM19">
        <v>3340071.09</v>
      </c>
      <c r="AN19">
        <v>236568.05</v>
      </c>
    </row>
    <row r="20" spans="1:40" x14ac:dyDescent="0.35">
      <c r="A20" t="s">
        <v>35</v>
      </c>
      <c r="B20">
        <v>1.440360666548357</v>
      </c>
      <c r="C20">
        <v>1.4240098058804771</v>
      </c>
      <c r="D20">
        <v>1.4831490308235331</v>
      </c>
      <c r="E20">
        <v>1.5014359504760211</v>
      </c>
      <c r="F20">
        <v>1.526747320421916</v>
      </c>
      <c r="G20">
        <v>1.502626446271516</v>
      </c>
      <c r="H20">
        <v>1.5261041385904559</v>
      </c>
      <c r="I20">
        <v>1.5097507095809499</v>
      </c>
      <c r="J20">
        <v>1.497266221011853</v>
      </c>
      <c r="K20">
        <v>1.48747154083453</v>
      </c>
      <c r="L20">
        <v>1.487579709179613</v>
      </c>
      <c r="M20">
        <v>1.513424194576183</v>
      </c>
      <c r="N20">
        <v>1.503958552139987</v>
      </c>
      <c r="O20">
        <v>1.506054694020468</v>
      </c>
      <c r="P20">
        <v>1.485930938327868</v>
      </c>
      <c r="Q20">
        <v>1.5033188038831271</v>
      </c>
      <c r="R20">
        <v>1.487137826004538</v>
      </c>
      <c r="S20">
        <v>1.4860536972300471</v>
      </c>
      <c r="T20">
        <v>1.4937769615172041</v>
      </c>
      <c r="U20">
        <v>1.480156351927308</v>
      </c>
      <c r="V20">
        <v>1.525827648713376</v>
      </c>
      <c r="W20">
        <v>1.489380125683327</v>
      </c>
      <c r="X20">
        <v>1.502671999272877</v>
      </c>
      <c r="Y20">
        <v>1.5199779482335991</v>
      </c>
      <c r="Z20">
        <v>1.498558680884795</v>
      </c>
      <c r="AA20">
        <v>1.5082412703600021</v>
      </c>
      <c r="AB20">
        <v>1.498061842428287</v>
      </c>
      <c r="AC20">
        <v>1.5245775710936429</v>
      </c>
      <c r="AD20">
        <v>1.534849982634612</v>
      </c>
      <c r="AE20">
        <v>1.5149650226348981</v>
      </c>
      <c r="AF20">
        <v>1.5253646313119329</v>
      </c>
      <c r="AG20">
        <v>1.498133118032162</v>
      </c>
      <c r="AH20">
        <v>1.524569944015397</v>
      </c>
      <c r="AI20">
        <v>1.4843495732295851</v>
      </c>
      <c r="AJ20">
        <v>1.508571357216312</v>
      </c>
      <c r="AK20">
        <v>1.4887398002814509</v>
      </c>
      <c r="AL20">
        <v>1.5101051714817151</v>
      </c>
      <c r="AM20">
        <v>1.545333110221047</v>
      </c>
      <c r="AN20">
        <v>1.682379016291732</v>
      </c>
    </row>
    <row r="21" spans="1:40" x14ac:dyDescent="0.35">
      <c r="A21" t="s">
        <v>36</v>
      </c>
      <c r="B21">
        <v>0.25444550292387053</v>
      </c>
      <c r="C21">
        <v>0.25559153339183699</v>
      </c>
      <c r="D21">
        <v>0.25895820023939431</v>
      </c>
      <c r="E21">
        <v>0.25444674439083431</v>
      </c>
      <c r="F21">
        <v>0.25796148625733561</v>
      </c>
      <c r="G21">
        <v>0.25782105167362068</v>
      </c>
      <c r="H21">
        <v>0.25708823440252182</v>
      </c>
      <c r="I21">
        <v>0.25293062143512818</v>
      </c>
      <c r="J21">
        <v>0.25400737228167453</v>
      </c>
      <c r="K21">
        <v>0.25667457917778702</v>
      </c>
      <c r="L21">
        <v>0.25421754109252348</v>
      </c>
      <c r="M21">
        <v>0.2537133255212935</v>
      </c>
      <c r="N21">
        <v>0.25683644843270698</v>
      </c>
      <c r="O21">
        <v>0.25239797133664338</v>
      </c>
      <c r="P21">
        <v>0.253560700110598</v>
      </c>
      <c r="Q21">
        <v>0.25429886715458078</v>
      </c>
      <c r="R21">
        <v>0.25508008054378012</v>
      </c>
      <c r="S21">
        <v>0.25268851547822652</v>
      </c>
      <c r="T21">
        <v>0.25419686956618931</v>
      </c>
      <c r="U21">
        <v>0.25286589850508739</v>
      </c>
      <c r="V21">
        <v>0.25354359542385851</v>
      </c>
      <c r="W21">
        <v>0.25742932066911389</v>
      </c>
      <c r="X21">
        <v>0.2579572522807978</v>
      </c>
      <c r="Y21">
        <v>0.25435032496037219</v>
      </c>
      <c r="Z21">
        <v>0.25585127987261469</v>
      </c>
      <c r="AA21">
        <v>0.25760487452713521</v>
      </c>
      <c r="AB21">
        <v>0.25742130194187529</v>
      </c>
      <c r="AC21">
        <v>0.25410823259425858</v>
      </c>
      <c r="AD21">
        <v>0.2576437752677207</v>
      </c>
      <c r="AE21">
        <v>0.25432572686756649</v>
      </c>
      <c r="AF21">
        <v>0.25647437081695268</v>
      </c>
      <c r="AG21">
        <v>0.25865858977609257</v>
      </c>
      <c r="AH21">
        <v>0.2577364667246439</v>
      </c>
      <c r="AI21">
        <v>0.25532126134614941</v>
      </c>
      <c r="AJ21">
        <v>0.25772361996820642</v>
      </c>
      <c r="AK21">
        <v>0.25292612796083291</v>
      </c>
      <c r="AL21">
        <v>0.25809921654988838</v>
      </c>
      <c r="AM21">
        <v>0.25009076908300182</v>
      </c>
      <c r="AN21">
        <v>0.26648896806225519</v>
      </c>
    </row>
    <row r="23" spans="1:40" x14ac:dyDescent="0.35">
      <c r="A23" t="s">
        <v>38</v>
      </c>
      <c r="B23" t="s">
        <v>129</v>
      </c>
      <c r="C23" t="s">
        <v>130</v>
      </c>
      <c r="D23" t="s">
        <v>131</v>
      </c>
      <c r="E23" t="s">
        <v>132</v>
      </c>
      <c r="F23" t="s">
        <v>133</v>
      </c>
      <c r="G23" t="s">
        <v>134</v>
      </c>
      <c r="H23" t="s">
        <v>135</v>
      </c>
      <c r="I23" t="s">
        <v>136</v>
      </c>
      <c r="J23" t="s">
        <v>137</v>
      </c>
      <c r="K23" t="s">
        <v>138</v>
      </c>
      <c r="L23" t="s">
        <v>139</v>
      </c>
      <c r="M23" t="s">
        <v>140</v>
      </c>
      <c r="N23" t="s">
        <v>141</v>
      </c>
      <c r="O23" t="s">
        <v>142</v>
      </c>
      <c r="P23" t="s">
        <v>143</v>
      </c>
      <c r="Q23" t="s">
        <v>144</v>
      </c>
      <c r="R23" t="s">
        <v>145</v>
      </c>
      <c r="S23" t="s">
        <v>146</v>
      </c>
      <c r="T23" t="s">
        <v>147</v>
      </c>
      <c r="U23" t="s">
        <v>148</v>
      </c>
      <c r="V23" t="s">
        <v>149</v>
      </c>
      <c r="W23" t="s">
        <v>150</v>
      </c>
      <c r="X23" t="s">
        <v>151</v>
      </c>
      <c r="Y23" t="s">
        <v>152</v>
      </c>
      <c r="Z23" t="s">
        <v>153</v>
      </c>
      <c r="AA23" t="s">
        <v>154</v>
      </c>
      <c r="AB23" t="s">
        <v>155</v>
      </c>
      <c r="AC23" t="s">
        <v>156</v>
      </c>
      <c r="AD23" t="s">
        <v>157</v>
      </c>
      <c r="AE23" t="s">
        <v>158</v>
      </c>
      <c r="AF23" t="s">
        <v>159</v>
      </c>
      <c r="AG23" t="s">
        <v>160</v>
      </c>
      <c r="AH23" t="s">
        <v>161</v>
      </c>
      <c r="AI23" t="s">
        <v>162</v>
      </c>
      <c r="AJ23" t="s">
        <v>163</v>
      </c>
      <c r="AK23" t="s">
        <v>164</v>
      </c>
      <c r="AL23" t="s">
        <v>165</v>
      </c>
      <c r="AM23" t="s">
        <v>166</v>
      </c>
      <c r="AN23" t="s">
        <v>167</v>
      </c>
    </row>
    <row r="24" spans="1:40" x14ac:dyDescent="0.35">
      <c r="A24" t="s">
        <v>28</v>
      </c>
      <c r="B24">
        <v>141.79467750736291</v>
      </c>
      <c r="C24">
        <v>141.1362168142349</v>
      </c>
      <c r="D24">
        <v>141.691381811198</v>
      </c>
      <c r="E24">
        <v>141.075914410667</v>
      </c>
      <c r="F24">
        <v>141.25999287794531</v>
      </c>
      <c r="G24">
        <v>140.88727624701781</v>
      </c>
      <c r="H24">
        <v>141.05512460824309</v>
      </c>
      <c r="I24">
        <v>140.93491923623401</v>
      </c>
      <c r="J24">
        <v>140.47199551244901</v>
      </c>
      <c r="K24">
        <v>140.52282074038811</v>
      </c>
      <c r="L24">
        <v>140.68988221680291</v>
      </c>
      <c r="M24">
        <v>141.18904866508899</v>
      </c>
      <c r="N24">
        <v>140.88852842521831</v>
      </c>
      <c r="O24">
        <v>141.17395909185939</v>
      </c>
      <c r="P24">
        <v>140.87281592171919</v>
      </c>
      <c r="Q24">
        <v>141.01380097588651</v>
      </c>
      <c r="R24">
        <v>141.41598511213761</v>
      </c>
      <c r="S24">
        <v>141.57709174441769</v>
      </c>
      <c r="T24">
        <v>140.80731775336969</v>
      </c>
      <c r="U24">
        <v>140.8217678681952</v>
      </c>
      <c r="V24">
        <v>141.51973551199811</v>
      </c>
      <c r="W24">
        <v>140.83527960817091</v>
      </c>
      <c r="X24">
        <v>141.58569027713091</v>
      </c>
      <c r="Y24">
        <v>141.55485848038549</v>
      </c>
      <c r="Z24">
        <v>140.63279458480801</v>
      </c>
      <c r="AA24">
        <v>141.29539290152101</v>
      </c>
      <c r="AB24">
        <v>141.73603374765901</v>
      </c>
      <c r="AC24">
        <v>140.58360731089871</v>
      </c>
      <c r="AD24">
        <v>141.53579051467659</v>
      </c>
      <c r="AE24">
        <v>141.47370853432031</v>
      </c>
      <c r="AF24">
        <v>141.0067908691486</v>
      </c>
      <c r="AG24">
        <v>141.4697529990022</v>
      </c>
      <c r="AH24">
        <v>141.55874136909401</v>
      </c>
      <c r="AI24">
        <v>141.57913719544649</v>
      </c>
      <c r="AJ24">
        <v>141.92607941190201</v>
      </c>
      <c r="AK24">
        <v>141.61932689729349</v>
      </c>
      <c r="AL24">
        <v>141.17622761499061</v>
      </c>
      <c r="AM24">
        <v>141.1359973343194</v>
      </c>
    </row>
    <row r="25" spans="1:40" x14ac:dyDescent="0.35">
      <c r="A25" t="s">
        <v>29</v>
      </c>
      <c r="B25">
        <v>3.0477127410842968</v>
      </c>
      <c r="C25">
        <v>3.434355478855537</v>
      </c>
      <c r="D25">
        <v>3.5440396164472929</v>
      </c>
      <c r="E25">
        <v>3.364099915565419</v>
      </c>
      <c r="F25">
        <v>2.9417582815954688</v>
      </c>
      <c r="G25">
        <v>2.7219595533578058</v>
      </c>
      <c r="H25">
        <v>3.5800325652029699</v>
      </c>
      <c r="I25">
        <v>3.1977613886045622</v>
      </c>
      <c r="J25">
        <v>2.103589155777712</v>
      </c>
      <c r="K25">
        <v>3.1855504234179359</v>
      </c>
      <c r="L25">
        <v>3.1081764609112099</v>
      </c>
      <c r="M25">
        <v>2.7337271557115912</v>
      </c>
      <c r="N25">
        <v>3.11937670418996</v>
      </c>
      <c r="O25">
        <v>3.2236718681061229</v>
      </c>
      <c r="P25">
        <v>3.1819359286051001</v>
      </c>
      <c r="Q25">
        <v>2.8637553973910599</v>
      </c>
      <c r="R25">
        <v>3.3570656035647062</v>
      </c>
      <c r="S25">
        <v>3.4078253451185958</v>
      </c>
      <c r="T25">
        <v>3.2361907325981178</v>
      </c>
      <c r="U25">
        <v>2.6658989513811089</v>
      </c>
      <c r="V25">
        <v>3.198909773695362</v>
      </c>
      <c r="W25">
        <v>3.498607776504969</v>
      </c>
      <c r="X25">
        <v>2.8061627472960708</v>
      </c>
      <c r="Y25">
        <v>3.307258341651504</v>
      </c>
      <c r="Z25">
        <v>3.0521303263129198</v>
      </c>
      <c r="AA25">
        <v>3.1473340620833028</v>
      </c>
      <c r="AB25">
        <v>3.3660604011647588</v>
      </c>
      <c r="AC25">
        <v>2.826458049544414</v>
      </c>
      <c r="AD25">
        <v>3.0620033718518869</v>
      </c>
      <c r="AE25">
        <v>3.0552297329043649</v>
      </c>
      <c r="AF25">
        <v>2.9382745009552882</v>
      </c>
      <c r="AG25">
        <v>2.7172939945829171</v>
      </c>
      <c r="AH25">
        <v>3.7310235896224242</v>
      </c>
      <c r="AI25">
        <v>3.1153192587094618</v>
      </c>
      <c r="AJ25">
        <v>3.3568464666869029</v>
      </c>
      <c r="AK25">
        <v>3.1246752138715408</v>
      </c>
      <c r="AL25">
        <v>2.9418011754825391</v>
      </c>
      <c r="AM25">
        <v>3.3620456958345528</v>
      </c>
    </row>
    <row r="26" spans="1:40" x14ac:dyDescent="0.35">
      <c r="A26" t="s">
        <v>30</v>
      </c>
      <c r="B26">
        <v>6.0724162660162184</v>
      </c>
      <c r="C26">
        <v>3.3392450124611992</v>
      </c>
      <c r="D26">
        <v>3.6788609974430382</v>
      </c>
      <c r="E26">
        <v>3.34550719472381</v>
      </c>
      <c r="F26">
        <v>3.9290730345704521</v>
      </c>
      <c r="G26">
        <v>2.483863082394635</v>
      </c>
      <c r="H26">
        <v>3.4828099890900761</v>
      </c>
      <c r="I26">
        <v>2.5622139243802931</v>
      </c>
      <c r="J26">
        <v>2.3317417032318399</v>
      </c>
      <c r="K26">
        <v>2.7184486503666019</v>
      </c>
      <c r="L26">
        <v>3.846642695823391</v>
      </c>
      <c r="M26">
        <v>3.5323067986217902</v>
      </c>
      <c r="N26">
        <v>3.7363692892496831</v>
      </c>
      <c r="O26">
        <v>2.8115946975518402</v>
      </c>
      <c r="P26">
        <v>2.984207563792626</v>
      </c>
      <c r="Q26">
        <v>4.6506459883743707</v>
      </c>
      <c r="R26">
        <v>4.4846681405722446</v>
      </c>
      <c r="S26">
        <v>4.7612930210418032</v>
      </c>
      <c r="T26">
        <v>4.5190725154593823</v>
      </c>
      <c r="U26">
        <v>4.5074174954124322</v>
      </c>
      <c r="V26">
        <v>4.7781637446770899</v>
      </c>
      <c r="W26">
        <v>4.6427041594333769</v>
      </c>
      <c r="X26">
        <v>3.8255620711522691</v>
      </c>
      <c r="Y26">
        <v>4.7394043135022006</v>
      </c>
      <c r="Z26">
        <v>4.7596829709852271</v>
      </c>
      <c r="AA26">
        <v>3.4025661143042329</v>
      </c>
      <c r="AB26">
        <v>4.0847971683553466</v>
      </c>
      <c r="AC26">
        <v>4.3568125220750353</v>
      </c>
      <c r="AD26">
        <v>4.4089833336054101</v>
      </c>
      <c r="AE26">
        <v>4.2972049501886938</v>
      </c>
      <c r="AF26">
        <v>3.4265668907712068</v>
      </c>
      <c r="AG26">
        <v>3.305599158471237</v>
      </c>
      <c r="AH26">
        <v>4.7253564213456274</v>
      </c>
      <c r="AI26">
        <v>3.522716400620979</v>
      </c>
      <c r="AJ26">
        <v>4.7373437842566561</v>
      </c>
      <c r="AK26">
        <v>5.7530917412680278</v>
      </c>
      <c r="AL26">
        <v>3.843206661175059</v>
      </c>
      <c r="AM26">
        <v>5.0251276827275566</v>
      </c>
    </row>
    <row r="27" spans="1:40" x14ac:dyDescent="0.35">
      <c r="A27" t="s">
        <v>31</v>
      </c>
      <c r="B27">
        <v>5.1042748048924036</v>
      </c>
      <c r="C27">
        <v>5.3333636868153631</v>
      </c>
      <c r="D27">
        <v>4.8080198474873583</v>
      </c>
      <c r="E27">
        <v>5.4010130128343166</v>
      </c>
      <c r="F27">
        <v>5.7453207846817858</v>
      </c>
      <c r="G27">
        <v>5.8069074843939941</v>
      </c>
      <c r="H27">
        <v>5.4582862035011317</v>
      </c>
      <c r="I27">
        <v>5.0132091156033063</v>
      </c>
      <c r="J27">
        <v>5.3437558179308553</v>
      </c>
      <c r="K27">
        <v>4.4884401551463924</v>
      </c>
      <c r="L27">
        <v>5.4876027707982908</v>
      </c>
      <c r="M27">
        <v>5.5997514741849486</v>
      </c>
      <c r="N27">
        <v>5.4128819264640988</v>
      </c>
      <c r="O27">
        <v>5.2673947286484966</v>
      </c>
      <c r="P27">
        <v>4.5420030265163591</v>
      </c>
      <c r="Q27">
        <v>5.3624567007812711</v>
      </c>
      <c r="R27">
        <v>6.0359891868742714</v>
      </c>
      <c r="S27">
        <v>5.96690933428716</v>
      </c>
      <c r="T27">
        <v>5.799672623452615</v>
      </c>
      <c r="U27">
        <v>5.8449831506099379</v>
      </c>
      <c r="V27">
        <v>5.7841673551057022</v>
      </c>
      <c r="W27">
        <v>5.3981902234299044</v>
      </c>
      <c r="X27">
        <v>5.273183205077153</v>
      </c>
      <c r="Y27">
        <v>5.3491704579926864</v>
      </c>
      <c r="Z27">
        <v>4.846614118299005</v>
      </c>
      <c r="AA27">
        <v>4.7198144016065662</v>
      </c>
      <c r="AB27">
        <v>5.4186290685862417</v>
      </c>
      <c r="AC27">
        <v>5.2158839304840594</v>
      </c>
      <c r="AD27">
        <v>5.2593956762841767</v>
      </c>
      <c r="AE27">
        <v>5.1675838210525677</v>
      </c>
      <c r="AF27">
        <v>5.0840799463480622</v>
      </c>
      <c r="AG27">
        <v>4.8713146388617119</v>
      </c>
      <c r="AH27">
        <v>5.2778610679288516</v>
      </c>
      <c r="AI27">
        <v>5.2653152956054941</v>
      </c>
      <c r="AJ27">
        <v>4.5349684787281248</v>
      </c>
      <c r="AK27">
        <v>5.5568847290680221</v>
      </c>
      <c r="AL27">
        <v>4.7196137189895486</v>
      </c>
      <c r="AM27">
        <v>5.2127938974132322</v>
      </c>
    </row>
    <row r="28" spans="1:40" x14ac:dyDescent="0.35">
      <c r="A28" t="s">
        <v>32</v>
      </c>
      <c r="B28">
        <v>0.77596715609730027</v>
      </c>
      <c r="C28">
        <v>0.78428717985840346</v>
      </c>
      <c r="D28">
        <v>0.85432174096566782</v>
      </c>
      <c r="E28">
        <v>0.63158200572876877</v>
      </c>
      <c r="F28">
        <v>0.90802737134755129</v>
      </c>
      <c r="G28">
        <v>0.48642374720653769</v>
      </c>
      <c r="H28">
        <v>0.72649188092405848</v>
      </c>
      <c r="I28">
        <v>0.54822279334576562</v>
      </c>
      <c r="J28">
        <v>0.61165323345011013</v>
      </c>
      <c r="K28">
        <v>0.69154802911736057</v>
      </c>
      <c r="L28">
        <v>0.81415579778152403</v>
      </c>
      <c r="M28">
        <v>0.87128490714792228</v>
      </c>
      <c r="N28">
        <v>0.66347624602928812</v>
      </c>
      <c r="O28">
        <v>0.70074809835844742</v>
      </c>
      <c r="P28">
        <v>0.78032025770673152</v>
      </c>
      <c r="Q28">
        <v>0.78902524726805368</v>
      </c>
      <c r="R28">
        <v>1.2576311803035849</v>
      </c>
      <c r="S28">
        <v>1.0488575017178861</v>
      </c>
      <c r="T28">
        <v>1.0406529015525181</v>
      </c>
      <c r="U28">
        <v>0.76032649910015238</v>
      </c>
      <c r="V28">
        <v>1.1051947857949369</v>
      </c>
      <c r="W28">
        <v>1.0852155897158831</v>
      </c>
      <c r="X28">
        <v>1.018081729261219</v>
      </c>
      <c r="Y28">
        <v>1.2265004783085429</v>
      </c>
      <c r="Z28">
        <v>0.82243563677131215</v>
      </c>
      <c r="AA28">
        <v>0.9804031383281937</v>
      </c>
      <c r="AB28">
        <v>1.0708619469119729</v>
      </c>
      <c r="AC28">
        <v>0.98776463862167052</v>
      </c>
      <c r="AD28">
        <v>0.91829589340333151</v>
      </c>
      <c r="AE28">
        <v>1.0734036445356701</v>
      </c>
      <c r="AF28">
        <v>1.063596184543111</v>
      </c>
      <c r="AG28">
        <v>0.60314825975754827</v>
      </c>
      <c r="AH28">
        <v>0.78969969834909781</v>
      </c>
      <c r="AI28">
        <v>0.75589860256760844</v>
      </c>
      <c r="AJ28">
        <v>0.77338293078503428</v>
      </c>
      <c r="AK28">
        <v>1.160187369011932</v>
      </c>
      <c r="AL28">
        <v>0.94716928260141098</v>
      </c>
      <c r="AM28">
        <v>0.88899399242094845</v>
      </c>
    </row>
    <row r="29" spans="1:40" x14ac:dyDescent="0.35">
      <c r="A29" t="s">
        <v>33</v>
      </c>
      <c r="B29">
        <v>156.79504847545309</v>
      </c>
      <c r="C29">
        <v>154.02746817222541</v>
      </c>
      <c r="D29">
        <v>154.57662401354139</v>
      </c>
      <c r="E29">
        <v>153.81811653951931</v>
      </c>
      <c r="F29">
        <v>154.78417235014049</v>
      </c>
      <c r="G29">
        <v>152.3864301143708</v>
      </c>
      <c r="H29">
        <v>154.30274524696131</v>
      </c>
      <c r="I29">
        <v>152.25632645816791</v>
      </c>
      <c r="J29">
        <v>150.86273542283951</v>
      </c>
      <c r="K29">
        <v>151.60680799843641</v>
      </c>
      <c r="L29">
        <v>153.9464599421174</v>
      </c>
      <c r="M29">
        <v>153.92611900075531</v>
      </c>
      <c r="N29">
        <v>153.82063259115139</v>
      </c>
      <c r="O29">
        <v>153.17736848452429</v>
      </c>
      <c r="P29">
        <v>152.36128269834001</v>
      </c>
      <c r="Q29">
        <v>154.6796843097012</v>
      </c>
      <c r="R29">
        <v>156.5513392234524</v>
      </c>
      <c r="S29">
        <v>156.7619769465831</v>
      </c>
      <c r="T29">
        <v>155.40290652643239</v>
      </c>
      <c r="U29">
        <v>154.60039396469881</v>
      </c>
      <c r="V29">
        <v>156.3861711712712</v>
      </c>
      <c r="W29">
        <v>155.45999735725499</v>
      </c>
      <c r="X29">
        <v>154.50868002991751</v>
      </c>
      <c r="Y29">
        <v>156.17719207184049</v>
      </c>
      <c r="Z29">
        <v>154.1136576371764</v>
      </c>
      <c r="AA29">
        <v>153.54551061784329</v>
      </c>
      <c r="AB29">
        <v>155.67638233267741</v>
      </c>
      <c r="AC29">
        <v>153.9705264516239</v>
      </c>
      <c r="AD29">
        <v>155.18446878982141</v>
      </c>
      <c r="AE29">
        <v>155.06713068300161</v>
      </c>
      <c r="AF29">
        <v>153.51930839176629</v>
      </c>
      <c r="AG29">
        <v>152.96710905067559</v>
      </c>
      <c r="AH29">
        <v>156.08268214633989</v>
      </c>
      <c r="AI29">
        <v>154.23838675294999</v>
      </c>
      <c r="AJ29">
        <v>155.32862107235869</v>
      </c>
      <c r="AK29">
        <v>157.21416595051309</v>
      </c>
      <c r="AL29">
        <v>153.62801845323921</v>
      </c>
      <c r="AM29">
        <v>155.62495860271571</v>
      </c>
    </row>
    <row r="30" spans="1:40" x14ac:dyDescent="0.35">
      <c r="A30" t="s">
        <v>34</v>
      </c>
      <c r="B30">
        <v>4666888.1400000006</v>
      </c>
      <c r="C30">
        <v>4991684.96</v>
      </c>
      <c r="D30">
        <v>5465248.5000000009</v>
      </c>
      <c r="E30">
        <v>6374204.1299999999</v>
      </c>
      <c r="F30">
        <v>7003451.6799999997</v>
      </c>
      <c r="G30">
        <v>6621099.459999999</v>
      </c>
      <c r="H30">
        <v>7677039.2899999991</v>
      </c>
      <c r="I30">
        <v>10003066.35</v>
      </c>
      <c r="J30">
        <v>15775922.25</v>
      </c>
      <c r="K30">
        <v>11373588.67</v>
      </c>
      <c r="L30">
        <v>11269683.449999999</v>
      </c>
      <c r="M30">
        <v>9850065.3999999985</v>
      </c>
      <c r="N30">
        <v>10947304.48</v>
      </c>
      <c r="O30">
        <v>9613964.8200000003</v>
      </c>
      <c r="P30">
        <v>9280333.3300000001</v>
      </c>
      <c r="Q30">
        <v>9951292.8399999999</v>
      </c>
      <c r="R30">
        <v>10058959.15</v>
      </c>
      <c r="S30">
        <v>9564744.7799999993</v>
      </c>
      <c r="T30">
        <v>9457058.0300000012</v>
      </c>
      <c r="U30">
        <v>8299521.2200000007</v>
      </c>
      <c r="V30">
        <v>8329698.4800000004</v>
      </c>
      <c r="W30">
        <v>9036785.6000000015</v>
      </c>
      <c r="X30">
        <v>8560512.3500000015</v>
      </c>
      <c r="Y30">
        <v>8917287.9299999997</v>
      </c>
      <c r="Z30">
        <v>8263841.3399999999</v>
      </c>
      <c r="AA30">
        <v>9118608.4600000009</v>
      </c>
      <c r="AB30">
        <v>8884209.8900000006</v>
      </c>
      <c r="AC30">
        <v>8646568.6699999999</v>
      </c>
      <c r="AD30">
        <v>8972399.5199999996</v>
      </c>
      <c r="AE30">
        <v>8838112.9800000004</v>
      </c>
      <c r="AF30">
        <v>8830943.4400000013</v>
      </c>
      <c r="AG30">
        <v>7392162.5</v>
      </c>
      <c r="AH30">
        <v>7798769.8800000008</v>
      </c>
      <c r="AI30">
        <v>7712442.5299999993</v>
      </c>
      <c r="AJ30">
        <v>6960341.540000001</v>
      </c>
      <c r="AK30">
        <v>6464601.1500000004</v>
      </c>
      <c r="AL30">
        <v>5743358.0999999996</v>
      </c>
      <c r="AM30">
        <v>2562857.66</v>
      </c>
    </row>
    <row r="31" spans="1:40" x14ac:dyDescent="0.35">
      <c r="A31" t="s">
        <v>35</v>
      </c>
      <c r="B31">
        <v>1.492019090927174</v>
      </c>
      <c r="C31">
        <v>1.4767144108914481</v>
      </c>
      <c r="D31">
        <v>1.512287691896971</v>
      </c>
      <c r="E31">
        <v>1.472254847631427</v>
      </c>
      <c r="F31">
        <v>1.4499685589051321</v>
      </c>
      <c r="G31">
        <v>1.4460531320419969</v>
      </c>
      <c r="H31">
        <v>1.468500298783199</v>
      </c>
      <c r="I31">
        <v>1.4981913734978001</v>
      </c>
      <c r="J31">
        <v>1.4760275876955991</v>
      </c>
      <c r="K31">
        <v>1.5347786885360051</v>
      </c>
      <c r="L31">
        <v>1.4665858489294741</v>
      </c>
      <c r="M31">
        <v>1.4593080829969349</v>
      </c>
      <c r="N31">
        <v>1.471475203778178</v>
      </c>
      <c r="O31">
        <v>1.4810892967900291</v>
      </c>
      <c r="P31">
        <v>1.5309625553113351</v>
      </c>
      <c r="Q31">
        <v>1.474793241247407</v>
      </c>
      <c r="R31">
        <v>1.4316728373354051</v>
      </c>
      <c r="S31">
        <v>1.4359790218165911</v>
      </c>
      <c r="T31">
        <v>1.446511997987002</v>
      </c>
      <c r="U31">
        <v>1.443642999540556</v>
      </c>
      <c r="V31">
        <v>1.4474963901899851</v>
      </c>
      <c r="W31">
        <v>1.4724403923269149</v>
      </c>
      <c r="X31">
        <v>1.48070438321911</v>
      </c>
      <c r="Y31">
        <v>1.4756699834559379</v>
      </c>
      <c r="Z31">
        <v>1.509616081531624</v>
      </c>
      <c r="AA31">
        <v>1.5184291813083151</v>
      </c>
      <c r="AB31">
        <v>1.471097982802736</v>
      </c>
      <c r="AC31">
        <v>1.484523420413882</v>
      </c>
      <c r="AD31">
        <v>1.4816215354461699</v>
      </c>
      <c r="AE31">
        <v>1.487757992311227</v>
      </c>
      <c r="AF31">
        <v>1.4933834726247559</v>
      </c>
      <c r="AG31">
        <v>1.507911186161621</v>
      </c>
      <c r="AH31">
        <v>1.4803934677318691</v>
      </c>
      <c r="AI31">
        <v>1.4812276207249251</v>
      </c>
      <c r="AJ31">
        <v>1.5314626549176089</v>
      </c>
      <c r="AK31">
        <v>1.4620813288769521</v>
      </c>
      <c r="AL31">
        <v>1.51844321113158</v>
      </c>
      <c r="AM31">
        <v>1.484729933222882</v>
      </c>
    </row>
    <row r="32" spans="1:40" x14ac:dyDescent="0.35">
      <c r="A32" t="s">
        <v>36</v>
      </c>
      <c r="B32">
        <v>0.23891475491289571</v>
      </c>
      <c r="C32">
        <v>0.23879589743059421</v>
      </c>
      <c r="D32">
        <v>0.23779540370049049</v>
      </c>
      <c r="E32">
        <v>0.24097739991816039</v>
      </c>
      <c r="F32">
        <v>0.23702818040932069</v>
      </c>
      <c r="G32">
        <v>0.24305108932562089</v>
      </c>
      <c r="H32">
        <v>0.23962154455822771</v>
      </c>
      <c r="I32">
        <v>0.24216824580934621</v>
      </c>
      <c r="J32">
        <v>0.2412620966649984</v>
      </c>
      <c r="K32">
        <v>0.24012074244118059</v>
      </c>
      <c r="L32">
        <v>0.2383692028888354</v>
      </c>
      <c r="M32">
        <v>0.23755307275502971</v>
      </c>
      <c r="N32">
        <v>0.24052176791386731</v>
      </c>
      <c r="O32">
        <v>0.23998931288059361</v>
      </c>
      <c r="P32">
        <v>0.23885256774704669</v>
      </c>
      <c r="Q32">
        <v>0.23872821075331349</v>
      </c>
      <c r="R32">
        <v>0.23203384028137741</v>
      </c>
      <c r="S32">
        <v>0.2350163214040302</v>
      </c>
      <c r="T32">
        <v>0.23513352997782119</v>
      </c>
      <c r="U32">
        <v>0.2391381928699978</v>
      </c>
      <c r="V32">
        <v>0.2342115030600723</v>
      </c>
      <c r="W32">
        <v>0.23449692014691589</v>
      </c>
      <c r="X32">
        <v>0.2354559752962683</v>
      </c>
      <c r="Y32">
        <v>0.23247856459559221</v>
      </c>
      <c r="Z32">
        <v>0.23825091947469551</v>
      </c>
      <c r="AA32">
        <v>0.2359942408810258</v>
      </c>
      <c r="AB32">
        <v>0.23470197218697181</v>
      </c>
      <c r="AC32">
        <v>0.23588907659111899</v>
      </c>
      <c r="AD32">
        <v>0.23688148723709529</v>
      </c>
      <c r="AE32">
        <v>0.234665662220919</v>
      </c>
      <c r="AF32">
        <v>0.2348057687922413</v>
      </c>
      <c r="AG32">
        <v>0.24138359628917791</v>
      </c>
      <c r="AH32">
        <v>0.23871857573787</v>
      </c>
      <c r="AI32">
        <v>0.23920144853474851</v>
      </c>
      <c r="AJ32">
        <v>0.23895167241735671</v>
      </c>
      <c r="AK32">
        <v>0.233425894728401</v>
      </c>
      <c r="AL32">
        <v>0.2364690102485513</v>
      </c>
      <c r="AM32">
        <v>0.2373000858225579</v>
      </c>
    </row>
    <row r="34" spans="1:40" x14ac:dyDescent="0.35">
      <c r="A34" t="s">
        <v>39</v>
      </c>
      <c r="B34" t="s">
        <v>129</v>
      </c>
      <c r="C34" t="s">
        <v>130</v>
      </c>
      <c r="D34" t="s">
        <v>131</v>
      </c>
      <c r="E34" t="s">
        <v>132</v>
      </c>
      <c r="F34" t="s">
        <v>133</v>
      </c>
      <c r="G34" t="s">
        <v>134</v>
      </c>
      <c r="H34" t="s">
        <v>135</v>
      </c>
      <c r="I34" t="s">
        <v>136</v>
      </c>
      <c r="J34" t="s">
        <v>137</v>
      </c>
      <c r="K34" t="s">
        <v>138</v>
      </c>
      <c r="L34" t="s">
        <v>139</v>
      </c>
      <c r="M34" t="s">
        <v>140</v>
      </c>
      <c r="N34" t="s">
        <v>141</v>
      </c>
      <c r="O34" t="s">
        <v>142</v>
      </c>
      <c r="P34" t="s">
        <v>143</v>
      </c>
      <c r="Q34" t="s">
        <v>144</v>
      </c>
      <c r="R34" t="s">
        <v>145</v>
      </c>
      <c r="S34" t="s">
        <v>146</v>
      </c>
      <c r="T34" t="s">
        <v>147</v>
      </c>
      <c r="U34" t="s">
        <v>148</v>
      </c>
      <c r="V34" t="s">
        <v>149</v>
      </c>
      <c r="W34" t="s">
        <v>150</v>
      </c>
      <c r="X34" t="s">
        <v>151</v>
      </c>
      <c r="Y34" t="s">
        <v>152</v>
      </c>
      <c r="Z34" t="s">
        <v>153</v>
      </c>
      <c r="AA34" t="s">
        <v>154</v>
      </c>
      <c r="AB34" t="s">
        <v>155</v>
      </c>
      <c r="AC34" t="s">
        <v>156</v>
      </c>
      <c r="AD34" t="s">
        <v>157</v>
      </c>
      <c r="AE34" t="s">
        <v>158</v>
      </c>
      <c r="AF34" t="s">
        <v>159</v>
      </c>
      <c r="AG34" t="s">
        <v>160</v>
      </c>
      <c r="AH34" t="s">
        <v>161</v>
      </c>
      <c r="AI34" t="s">
        <v>162</v>
      </c>
      <c r="AJ34" t="s">
        <v>163</v>
      </c>
      <c r="AK34" t="s">
        <v>164</v>
      </c>
      <c r="AL34" t="s">
        <v>165</v>
      </c>
      <c r="AM34" t="s">
        <v>166</v>
      </c>
      <c r="AN34" t="s">
        <v>167</v>
      </c>
    </row>
    <row r="35" spans="1:40" x14ac:dyDescent="0.35">
      <c r="A35" t="s">
        <v>28</v>
      </c>
      <c r="B35">
        <v>141.15016984666661</v>
      </c>
      <c r="C35">
        <v>140.62125219032231</v>
      </c>
      <c r="D35">
        <v>141.59249195283849</v>
      </c>
      <c r="E35">
        <v>141.53382131861721</v>
      </c>
      <c r="F35">
        <v>140.66080470743421</v>
      </c>
      <c r="G35">
        <v>141.00487558325301</v>
      </c>
      <c r="H35">
        <v>140.80773671463569</v>
      </c>
      <c r="I35">
        <v>140.3392945143888</v>
      </c>
      <c r="J35">
        <v>140.99229629267529</v>
      </c>
      <c r="K35">
        <v>140.7674079096565</v>
      </c>
      <c r="L35">
        <v>141.5914538060004</v>
      </c>
      <c r="M35">
        <v>141.68274484467679</v>
      </c>
      <c r="N35">
        <v>141.37710839526031</v>
      </c>
      <c r="O35">
        <v>141.19289017093459</v>
      </c>
      <c r="P35">
        <v>141.79870456047101</v>
      </c>
      <c r="Q35">
        <v>141.44515973219541</v>
      </c>
      <c r="R35">
        <v>141.17233093572551</v>
      </c>
      <c r="S35">
        <v>141.89494607442151</v>
      </c>
      <c r="T35">
        <v>141.335634415155</v>
      </c>
      <c r="U35">
        <v>141.9227887595458</v>
      </c>
      <c r="V35">
        <v>142.16540391650759</v>
      </c>
      <c r="W35">
        <v>142.2250894834844</v>
      </c>
      <c r="X35">
        <v>142.36344024327241</v>
      </c>
      <c r="Y35">
        <v>142.0960083156271</v>
      </c>
      <c r="Z35">
        <v>142.9113732569792</v>
      </c>
      <c r="AA35">
        <v>141.94351119905539</v>
      </c>
      <c r="AB35">
        <v>142.98549060453951</v>
      </c>
      <c r="AC35">
        <v>141.55385274557409</v>
      </c>
      <c r="AD35">
        <v>141.26404248640361</v>
      </c>
      <c r="AE35">
        <v>142.37761349355929</v>
      </c>
      <c r="AF35">
        <v>143.0688139110533</v>
      </c>
      <c r="AG35">
        <v>143.2040362909342</v>
      </c>
      <c r="AH35">
        <v>142.58914486883381</v>
      </c>
      <c r="AI35">
        <v>142.85600282223709</v>
      </c>
      <c r="AJ35">
        <v>143.19846568162541</v>
      </c>
      <c r="AK35">
        <v>143.20134667620269</v>
      </c>
      <c r="AL35">
        <v>143.10194260844079</v>
      </c>
      <c r="AM35">
        <v>144.7867123007421</v>
      </c>
    </row>
    <row r="36" spans="1:40" x14ac:dyDescent="0.35">
      <c r="A36" t="s">
        <v>29</v>
      </c>
      <c r="B36">
        <v>2.6502497435965888</v>
      </c>
      <c r="C36">
        <v>2.7832269092844801</v>
      </c>
      <c r="D36">
        <v>2.2113631186088871</v>
      </c>
      <c r="E36">
        <v>2.206002809534851</v>
      </c>
      <c r="F36">
        <v>2.7976952037738272</v>
      </c>
      <c r="G36">
        <v>2.6462725765967718</v>
      </c>
      <c r="H36">
        <v>2.6526191191760229</v>
      </c>
      <c r="I36">
        <v>2.7558401143167832</v>
      </c>
      <c r="J36">
        <v>1.3562681093721951</v>
      </c>
      <c r="K36">
        <v>1.835569423248955</v>
      </c>
      <c r="L36">
        <v>2.2640624777783391</v>
      </c>
      <c r="M36">
        <v>2.656858341472883</v>
      </c>
      <c r="N36">
        <v>1.8158355218290301</v>
      </c>
      <c r="O36">
        <v>2.6544341462564489</v>
      </c>
      <c r="P36">
        <v>2.5062758044364841</v>
      </c>
      <c r="Q36">
        <v>2.3363807149768259</v>
      </c>
      <c r="R36">
        <v>2.2722203531730831</v>
      </c>
      <c r="S36">
        <v>2.596385397611471</v>
      </c>
      <c r="T36">
        <v>2.4951803853295189</v>
      </c>
      <c r="U36">
        <v>2.3893598377851499</v>
      </c>
      <c r="V36">
        <v>2.2796331246117352</v>
      </c>
      <c r="W36">
        <v>2.195561993576149</v>
      </c>
      <c r="X36">
        <v>2.4716608994902738</v>
      </c>
      <c r="Y36">
        <v>3.2171924103132881</v>
      </c>
      <c r="Z36">
        <v>2.5384982993741119</v>
      </c>
      <c r="AA36">
        <v>2.674799159071199</v>
      </c>
      <c r="AB36">
        <v>1.9471161484540289</v>
      </c>
      <c r="AC36">
        <v>2.668861608968399</v>
      </c>
      <c r="AD36">
        <v>2.0570013540245209</v>
      </c>
      <c r="AE36">
        <v>2.4213002859509629</v>
      </c>
      <c r="AF36">
        <v>3.0657041042386202</v>
      </c>
      <c r="AG36">
        <v>3.8196902515824149</v>
      </c>
      <c r="AH36">
        <v>1.7616420654765359</v>
      </c>
      <c r="AI36">
        <v>3.113064811540994</v>
      </c>
      <c r="AJ36">
        <v>3.2211869911708959</v>
      </c>
      <c r="AK36">
        <v>3.5052554760153498</v>
      </c>
      <c r="AL36">
        <v>3.3944014905512461</v>
      </c>
      <c r="AM36">
        <v>3.549038348057763</v>
      </c>
    </row>
    <row r="37" spans="1:40" x14ac:dyDescent="0.35">
      <c r="A37" t="s">
        <v>30</v>
      </c>
      <c r="B37">
        <v>1.0705460464322301</v>
      </c>
      <c r="C37">
        <v>2.365397028878482</v>
      </c>
      <c r="D37">
        <v>0.80305411698287088</v>
      </c>
      <c r="E37">
        <v>2.186596676119402</v>
      </c>
      <c r="F37">
        <v>1.47975077327633</v>
      </c>
      <c r="G37">
        <v>1.6757651533393101</v>
      </c>
      <c r="H37">
        <v>1.181489959891088</v>
      </c>
      <c r="I37">
        <v>1.125253377098544</v>
      </c>
      <c r="J37">
        <v>0.93628630269142876</v>
      </c>
      <c r="K37">
        <v>0.67722604741887882</v>
      </c>
      <c r="L37">
        <v>1.233328711976365</v>
      </c>
      <c r="M37">
        <v>0.5185026826671375</v>
      </c>
      <c r="N37">
        <v>0.41202551615579341</v>
      </c>
      <c r="O37">
        <v>0.47344861557627549</v>
      </c>
      <c r="P37">
        <v>0.22931786329212719</v>
      </c>
      <c r="Q37">
        <v>0.38748951585600161</v>
      </c>
      <c r="R37">
        <v>0.64530909833044714</v>
      </c>
      <c r="S37">
        <v>0.45951703848636738</v>
      </c>
      <c r="T37">
        <v>1.145472224649178</v>
      </c>
      <c r="U37">
        <v>-0.25940931791992428</v>
      </c>
      <c r="V37">
        <v>0.98032866739930047</v>
      </c>
      <c r="W37">
        <v>1.0374352664131601</v>
      </c>
      <c r="X37">
        <v>0.16396925599535281</v>
      </c>
      <c r="Y37">
        <v>-0.32618019717584379</v>
      </c>
      <c r="Z37">
        <v>-0.24103587731306639</v>
      </c>
      <c r="AA37">
        <v>-0.28199560228251191</v>
      </c>
      <c r="AB37">
        <v>-1.627158862630367</v>
      </c>
      <c r="AC37">
        <v>0.27825765010758258</v>
      </c>
      <c r="AD37">
        <v>-0.28082353606869481</v>
      </c>
      <c r="AE37">
        <v>1.314831864837571</v>
      </c>
      <c r="AF37">
        <v>-4.1046688935798367E-2</v>
      </c>
      <c r="AG37">
        <v>0.62406820833653165</v>
      </c>
      <c r="AH37">
        <v>-0.59284159542386683</v>
      </c>
      <c r="AI37">
        <v>0.88676579727860183</v>
      </c>
      <c r="AJ37">
        <v>-1.975428086442933</v>
      </c>
      <c r="AK37">
        <v>1.786858875137963</v>
      </c>
      <c r="AL37">
        <v>-1.925248018926611</v>
      </c>
      <c r="AM37">
        <v>2.343236971356065</v>
      </c>
    </row>
    <row r="38" spans="1:40" x14ac:dyDescent="0.35">
      <c r="A38" t="s">
        <v>31</v>
      </c>
      <c r="B38">
        <v>-6.8012777946696579E-3</v>
      </c>
      <c r="C38">
        <v>-0.73094665646596602</v>
      </c>
      <c r="D38">
        <v>3.5460275592167127E-2</v>
      </c>
      <c r="E38">
        <v>-0.78595349764572253</v>
      </c>
      <c r="F38">
        <v>-0.42701120862114272</v>
      </c>
      <c r="G38">
        <v>-0.39195883929835879</v>
      </c>
      <c r="H38">
        <v>-0.22108273089204619</v>
      </c>
      <c r="I38">
        <v>0.36101764972045691</v>
      </c>
      <c r="J38">
        <v>0.520622840621906</v>
      </c>
      <c r="K38">
        <v>-0.41515494374085682</v>
      </c>
      <c r="L38">
        <v>-0.55255143292296316</v>
      </c>
      <c r="M38">
        <v>-0.52088626855909126</v>
      </c>
      <c r="N38">
        <v>-0.2417753959578873</v>
      </c>
      <c r="O38">
        <v>-0.71006328144221853</v>
      </c>
      <c r="P38">
        <v>-0.30156828914682832</v>
      </c>
      <c r="Q38">
        <v>-0.41931288159070251</v>
      </c>
      <c r="R38">
        <v>-0.60341370562236252</v>
      </c>
      <c r="S38">
        <v>-0.46345175746701212</v>
      </c>
      <c r="T38">
        <v>-0.1146985403256402</v>
      </c>
      <c r="U38">
        <v>-0.46603675158054658</v>
      </c>
      <c r="V38">
        <v>-4.0176727353522512E-3</v>
      </c>
      <c r="W38">
        <v>-0.18092552994561259</v>
      </c>
      <c r="X38">
        <v>5.3421837889905621E-2</v>
      </c>
      <c r="Y38">
        <v>-0.51182564653875162</v>
      </c>
      <c r="Z38">
        <v>-1.108590073301988</v>
      </c>
      <c r="AA38">
        <v>1.444071663252444E-3</v>
      </c>
      <c r="AB38">
        <v>-0.70378868601643263</v>
      </c>
      <c r="AC38">
        <v>-0.23052362178196739</v>
      </c>
      <c r="AD38">
        <v>-1.6461374150905059</v>
      </c>
      <c r="AE38">
        <v>-1.0224332714712729</v>
      </c>
      <c r="AF38">
        <v>7.7271021296877684E-2</v>
      </c>
      <c r="AG38">
        <v>-0.98698770155788429</v>
      </c>
      <c r="AH38">
        <v>-0.26102303922012821</v>
      </c>
      <c r="AI38">
        <v>-0.81155071294795922</v>
      </c>
      <c r="AJ38">
        <v>-1.382805495832296</v>
      </c>
      <c r="AK38">
        <v>6.5109633769489861E-2</v>
      </c>
      <c r="AL38">
        <v>-1.8911690012375739</v>
      </c>
      <c r="AM38">
        <v>0.22272456504428531</v>
      </c>
    </row>
    <row r="39" spans="1:40" x14ac:dyDescent="0.35">
      <c r="A39" t="s">
        <v>32</v>
      </c>
      <c r="B39">
        <v>-0.59473366482685142</v>
      </c>
      <c r="C39">
        <v>-0.48530831098843041</v>
      </c>
      <c r="D39">
        <v>-0.44864837352714038</v>
      </c>
      <c r="E39">
        <v>-0.42109534766812262</v>
      </c>
      <c r="F39">
        <v>-0.48842210498492539</v>
      </c>
      <c r="G39">
        <v>-0.24393837876172739</v>
      </c>
      <c r="H39">
        <v>-0.52205152003392097</v>
      </c>
      <c r="I39">
        <v>-0.43228870705553418</v>
      </c>
      <c r="J39">
        <v>-0.54943795375986892</v>
      </c>
      <c r="K39">
        <v>-0.34952239649779371</v>
      </c>
      <c r="L39">
        <v>-3.112551145260711E-2</v>
      </c>
      <c r="M39">
        <v>-0.20395501043036141</v>
      </c>
      <c r="N39">
        <v>-0.25139941418877509</v>
      </c>
      <c r="O39">
        <v>-5.4496071137448143E-2</v>
      </c>
      <c r="P39">
        <v>-0.39323779847738488</v>
      </c>
      <c r="Q39">
        <v>-0.26482074133514721</v>
      </c>
      <c r="R39">
        <v>-0.36304140254338341</v>
      </c>
      <c r="S39">
        <v>-0.33205218958302751</v>
      </c>
      <c r="T39">
        <v>-0.37916285219704671</v>
      </c>
      <c r="U39">
        <v>-0.29336716676178431</v>
      </c>
      <c r="V39">
        <v>-0.53604357364777333</v>
      </c>
      <c r="W39">
        <v>-0.31040580313211552</v>
      </c>
      <c r="X39">
        <v>-0.43126950159568828</v>
      </c>
      <c r="Y39">
        <v>-0.13779383016922139</v>
      </c>
      <c r="Z39">
        <v>-0.23534778942270521</v>
      </c>
      <c r="AA39">
        <v>-0.51724064896947419</v>
      </c>
      <c r="AB39">
        <v>-0.41898762626698782</v>
      </c>
      <c r="AC39">
        <v>-0.4902532310446136</v>
      </c>
      <c r="AD39">
        <v>-0.88530604213432385</v>
      </c>
      <c r="AE39">
        <v>-0.25526288948236692</v>
      </c>
      <c r="AF39">
        <v>-0.46139233330780649</v>
      </c>
      <c r="AG39">
        <v>-0.50474847574651316</v>
      </c>
      <c r="AH39">
        <v>-1.122673561327123</v>
      </c>
      <c r="AI39">
        <v>-0.77508119953035248</v>
      </c>
      <c r="AJ39">
        <v>-0.64481394032014749</v>
      </c>
      <c r="AK39">
        <v>-0.9402739503959352</v>
      </c>
      <c r="AL39">
        <v>-0.96685740666416209</v>
      </c>
      <c r="AM39">
        <v>-0.40552757489024321</v>
      </c>
    </row>
    <row r="40" spans="1:40" x14ac:dyDescent="0.35">
      <c r="A40" t="s">
        <v>33</v>
      </c>
      <c r="B40">
        <v>144.2694306940738</v>
      </c>
      <c r="C40">
        <v>144.55362116103089</v>
      </c>
      <c r="D40">
        <v>144.19372109049519</v>
      </c>
      <c r="E40">
        <v>144.71937195895771</v>
      </c>
      <c r="F40">
        <v>144.0228173708783</v>
      </c>
      <c r="G40">
        <v>144.69101609512899</v>
      </c>
      <c r="H40">
        <v>143.89871154277691</v>
      </c>
      <c r="I40">
        <v>144.14911694846899</v>
      </c>
      <c r="J40">
        <v>143.25603559160089</v>
      </c>
      <c r="K40">
        <v>142.51552604008569</v>
      </c>
      <c r="L40">
        <v>144.50516805137951</v>
      </c>
      <c r="M40">
        <v>144.13326458982741</v>
      </c>
      <c r="N40">
        <v>143.1117946230984</v>
      </c>
      <c r="O40">
        <v>143.55621358018769</v>
      </c>
      <c r="P40">
        <v>143.8394921405754</v>
      </c>
      <c r="Q40">
        <v>143.48489634010241</v>
      </c>
      <c r="R40">
        <v>143.12340527906329</v>
      </c>
      <c r="S40">
        <v>144.15534456346941</v>
      </c>
      <c r="T40">
        <v>144.48242563261101</v>
      </c>
      <c r="U40">
        <v>143.2933353610687</v>
      </c>
      <c r="V40">
        <v>144.88530446213551</v>
      </c>
      <c r="W40">
        <v>144.96675541039599</v>
      </c>
      <c r="X40">
        <v>144.62122273505221</v>
      </c>
      <c r="Y40">
        <v>144.33740105205649</v>
      </c>
      <c r="Z40">
        <v>143.86489781631559</v>
      </c>
      <c r="AA40">
        <v>143.8205181785379</v>
      </c>
      <c r="AB40">
        <v>142.18267157807981</v>
      </c>
      <c r="AC40">
        <v>143.78019515182351</v>
      </c>
      <c r="AD40">
        <v>140.5087768471347</v>
      </c>
      <c r="AE40">
        <v>144.83604948339419</v>
      </c>
      <c r="AF40">
        <v>145.7093500143452</v>
      </c>
      <c r="AG40">
        <v>146.15605857354879</v>
      </c>
      <c r="AH40">
        <v>142.37424873833919</v>
      </c>
      <c r="AI40">
        <v>145.2692015185784</v>
      </c>
      <c r="AJ40">
        <v>142.41660515020101</v>
      </c>
      <c r="AK40">
        <v>147.61829671072951</v>
      </c>
      <c r="AL40">
        <v>141.7130696721637</v>
      </c>
      <c r="AM40">
        <v>150.49618461030991</v>
      </c>
    </row>
    <row r="41" spans="1:40" x14ac:dyDescent="0.35">
      <c r="A41" t="s">
        <v>34</v>
      </c>
      <c r="B41">
        <v>2263344.39</v>
      </c>
      <c r="C41">
        <v>3193308.5</v>
      </c>
      <c r="D41">
        <v>3269306.32</v>
      </c>
      <c r="E41">
        <v>2892138.9</v>
      </c>
      <c r="F41">
        <v>3852715.8599999989</v>
      </c>
      <c r="G41">
        <v>4615486.7699999996</v>
      </c>
      <c r="H41">
        <v>4945680.75</v>
      </c>
      <c r="I41">
        <v>5626664.8800000008</v>
      </c>
      <c r="J41">
        <v>9252943.5099999979</v>
      </c>
      <c r="K41">
        <v>7203684.9900000002</v>
      </c>
      <c r="L41">
        <v>6728778.3900000006</v>
      </c>
      <c r="M41">
        <v>5637510.25</v>
      </c>
      <c r="N41">
        <v>5501427.5199999996</v>
      </c>
      <c r="O41">
        <v>5157687.4300000006</v>
      </c>
      <c r="P41">
        <v>4945302.2699999996</v>
      </c>
      <c r="Q41">
        <v>4075216.73</v>
      </c>
      <c r="R41">
        <v>3931628.27</v>
      </c>
      <c r="S41">
        <v>4231325.05</v>
      </c>
      <c r="T41">
        <v>4910248.4000000004</v>
      </c>
      <c r="U41">
        <v>3369808.95</v>
      </c>
      <c r="V41">
        <v>4370529.4300000016</v>
      </c>
      <c r="W41">
        <v>3647371.38</v>
      </c>
      <c r="X41">
        <v>3119614.85</v>
      </c>
      <c r="Y41">
        <v>3082216.14</v>
      </c>
      <c r="Z41">
        <v>3255072.11</v>
      </c>
      <c r="AA41">
        <v>3754735.63</v>
      </c>
      <c r="AB41">
        <v>3090961.31</v>
      </c>
      <c r="AC41">
        <v>3235010.27</v>
      </c>
      <c r="AD41">
        <v>2773875.44</v>
      </c>
      <c r="AE41">
        <v>3684093.64</v>
      </c>
      <c r="AF41">
        <v>2493803</v>
      </c>
      <c r="AG41">
        <v>2005785.14</v>
      </c>
      <c r="AH41">
        <v>2182549.83</v>
      </c>
      <c r="AI41">
        <v>1860084.65</v>
      </c>
      <c r="AJ41">
        <v>2347864.2999999998</v>
      </c>
      <c r="AK41">
        <v>2256244.12</v>
      </c>
      <c r="AL41">
        <v>1794683.1</v>
      </c>
      <c r="AM41">
        <v>1234025.22</v>
      </c>
    </row>
    <row r="42" spans="1:40" x14ac:dyDescent="0.35">
      <c r="A42" t="s">
        <v>35</v>
      </c>
      <c r="B42">
        <v>1.450580341168457</v>
      </c>
      <c r="C42">
        <v>1.515146547220394</v>
      </c>
      <c r="D42">
        <v>1.4469817428600791</v>
      </c>
      <c r="E42">
        <v>1.520286746212355</v>
      </c>
      <c r="F42">
        <v>1.487359963268831</v>
      </c>
      <c r="G42">
        <v>1.4842207916926069</v>
      </c>
      <c r="H42">
        <v>1.4691055212116499</v>
      </c>
      <c r="I42">
        <v>1.4198476435738721</v>
      </c>
      <c r="J42">
        <v>1.4069134541751851</v>
      </c>
      <c r="K42">
        <v>1.4862966712310079</v>
      </c>
      <c r="L42">
        <v>1.498712696955445</v>
      </c>
      <c r="M42">
        <v>1.495832870730764</v>
      </c>
      <c r="N42">
        <v>1.4709195384607969</v>
      </c>
      <c r="O42">
        <v>1.5132041594684831</v>
      </c>
      <c r="P42">
        <v>1.476186532174677</v>
      </c>
      <c r="Q42">
        <v>1.486669389752338</v>
      </c>
      <c r="R42">
        <v>1.5033617094097469</v>
      </c>
      <c r="S42">
        <v>1.4906375646520189</v>
      </c>
      <c r="T42">
        <v>1.4598495655448831</v>
      </c>
      <c r="U42">
        <v>1.4908706176274089</v>
      </c>
      <c r="V42">
        <v>1.45034276485784</v>
      </c>
      <c r="W42">
        <v>1.4655978867260639</v>
      </c>
      <c r="X42">
        <v>1.445457705457784</v>
      </c>
      <c r="Y42">
        <v>1.495010876981987</v>
      </c>
      <c r="Z42">
        <v>1.5511524851289189</v>
      </c>
      <c r="AA42">
        <v>1.4498768396435679</v>
      </c>
      <c r="AB42">
        <v>1.512621524418265</v>
      </c>
      <c r="AC42">
        <v>1.469932599208525</v>
      </c>
      <c r="AD42">
        <v>1.6054592037463711</v>
      </c>
      <c r="AE42">
        <v>1.542788111533042</v>
      </c>
      <c r="AF42">
        <v>1.4434390582230181</v>
      </c>
      <c r="AG42">
        <v>1.5393730761324751</v>
      </c>
      <c r="AH42">
        <v>1.472610904343556</v>
      </c>
      <c r="AI42">
        <v>1.522690627305219</v>
      </c>
      <c r="AJ42">
        <v>1.5783884867043021</v>
      </c>
      <c r="AK42">
        <v>1.4444677197514779</v>
      </c>
      <c r="AL42">
        <v>1.6314961761117781</v>
      </c>
      <c r="AM42">
        <v>1.4312485755029909</v>
      </c>
    </row>
    <row r="43" spans="1:40" x14ac:dyDescent="0.35">
      <c r="A43" t="s">
        <v>36</v>
      </c>
      <c r="B43">
        <v>0.24349619521181209</v>
      </c>
      <c r="C43">
        <v>0.24193297587126331</v>
      </c>
      <c r="D43">
        <v>0.24140926247895911</v>
      </c>
      <c r="E43">
        <v>0.24101564782383031</v>
      </c>
      <c r="F43">
        <v>0.24197745864264181</v>
      </c>
      <c r="G43">
        <v>0.23848483398231041</v>
      </c>
      <c r="H43">
        <v>0.2424578788576274</v>
      </c>
      <c r="I43">
        <v>0.24117555295793619</v>
      </c>
      <c r="J43">
        <v>0.242849113625141</v>
      </c>
      <c r="K43">
        <v>0.23999317709282561</v>
      </c>
      <c r="L43">
        <v>0.23544465016360869</v>
      </c>
      <c r="M43">
        <v>0.23791364300614801</v>
      </c>
      <c r="N43">
        <v>0.2385914202026968</v>
      </c>
      <c r="O43">
        <v>0.2357785153019635</v>
      </c>
      <c r="P43">
        <v>0.2406176828353912</v>
      </c>
      <c r="Q43">
        <v>0.23878315344764489</v>
      </c>
      <c r="R43">
        <v>0.24018630575061969</v>
      </c>
      <c r="S43">
        <v>0.23974360270832901</v>
      </c>
      <c r="T43">
        <v>0.24041661217424351</v>
      </c>
      <c r="U43">
        <v>0.23919095952516831</v>
      </c>
      <c r="V43">
        <v>0.24265776533782529</v>
      </c>
      <c r="W43">
        <v>0.23943436861617309</v>
      </c>
      <c r="X43">
        <v>0.24116099287993839</v>
      </c>
      <c r="Y43">
        <v>0.23696848328813169</v>
      </c>
      <c r="Z43">
        <v>0.2383621112774672</v>
      </c>
      <c r="AA43">
        <v>0.2423891521281353</v>
      </c>
      <c r="AB43">
        <v>0.24098553751809981</v>
      </c>
      <c r="AC43">
        <v>0.24200361758635161</v>
      </c>
      <c r="AD43">
        <v>0.2476472291733475</v>
      </c>
      <c r="AE43">
        <v>0.23864661270689089</v>
      </c>
      <c r="AF43">
        <v>0.24159131904725439</v>
      </c>
      <c r="AG43">
        <v>0.24221069251066449</v>
      </c>
      <c r="AH43">
        <v>0.2510381937332446</v>
      </c>
      <c r="AI43">
        <v>0.24607258856471931</v>
      </c>
      <c r="AJ43">
        <v>0.24421162771885921</v>
      </c>
      <c r="AK43">
        <v>0.24843248500565621</v>
      </c>
      <c r="AL43">
        <v>0.2488122486666309</v>
      </c>
      <c r="AM43">
        <v>0.2407932510698606</v>
      </c>
    </row>
    <row r="45" spans="1:40" x14ac:dyDescent="0.35">
      <c r="A45" t="s">
        <v>40</v>
      </c>
      <c r="B45" t="s">
        <v>129</v>
      </c>
      <c r="C45" t="s">
        <v>130</v>
      </c>
      <c r="D45" t="s">
        <v>131</v>
      </c>
      <c r="E45" t="s">
        <v>132</v>
      </c>
      <c r="F45" t="s">
        <v>133</v>
      </c>
      <c r="G45" t="s">
        <v>134</v>
      </c>
      <c r="H45" t="s">
        <v>135</v>
      </c>
      <c r="I45" t="s">
        <v>136</v>
      </c>
      <c r="J45" t="s">
        <v>137</v>
      </c>
      <c r="K45" t="s">
        <v>138</v>
      </c>
      <c r="L45" t="s">
        <v>139</v>
      </c>
      <c r="M45" t="s">
        <v>140</v>
      </c>
      <c r="N45" t="s">
        <v>141</v>
      </c>
      <c r="O45" t="s">
        <v>142</v>
      </c>
      <c r="P45" t="s">
        <v>143</v>
      </c>
      <c r="Q45" t="s">
        <v>144</v>
      </c>
      <c r="R45" t="s">
        <v>145</v>
      </c>
      <c r="S45" t="s">
        <v>146</v>
      </c>
      <c r="T45" t="s">
        <v>147</v>
      </c>
      <c r="U45" t="s">
        <v>148</v>
      </c>
      <c r="V45" t="s">
        <v>149</v>
      </c>
      <c r="W45" t="s">
        <v>150</v>
      </c>
      <c r="X45" t="s">
        <v>151</v>
      </c>
      <c r="Y45" t="s">
        <v>152</v>
      </c>
      <c r="Z45" t="s">
        <v>153</v>
      </c>
      <c r="AA45" t="s">
        <v>154</v>
      </c>
      <c r="AB45" t="s">
        <v>155</v>
      </c>
      <c r="AC45" t="s">
        <v>156</v>
      </c>
      <c r="AD45" t="s">
        <v>157</v>
      </c>
      <c r="AE45" t="s">
        <v>158</v>
      </c>
      <c r="AF45" t="s">
        <v>159</v>
      </c>
      <c r="AG45" t="s">
        <v>160</v>
      </c>
      <c r="AH45" t="s">
        <v>161</v>
      </c>
      <c r="AI45" t="s">
        <v>162</v>
      </c>
      <c r="AJ45" t="s">
        <v>163</v>
      </c>
      <c r="AK45" t="s">
        <v>164</v>
      </c>
      <c r="AL45" t="s">
        <v>165</v>
      </c>
      <c r="AM45" t="s">
        <v>166</v>
      </c>
      <c r="AN45" t="s">
        <v>167</v>
      </c>
    </row>
    <row r="46" spans="1:40" x14ac:dyDescent="0.35">
      <c r="A46" t="s">
        <v>28</v>
      </c>
      <c r="B46">
        <v>139.6256726505942</v>
      </c>
      <c r="C46">
        <v>139.45864363399801</v>
      </c>
      <c r="D46">
        <v>139.68526586509279</v>
      </c>
      <c r="E46">
        <v>139.230236144484</v>
      </c>
      <c r="F46">
        <v>139.366690477525</v>
      </c>
      <c r="G46">
        <v>139.98681139808949</v>
      </c>
      <c r="H46">
        <v>139.22247153017261</v>
      </c>
      <c r="I46">
        <v>140.20384771438361</v>
      </c>
      <c r="J46">
        <v>139.82880314198479</v>
      </c>
      <c r="K46">
        <v>140.28535357861509</v>
      </c>
      <c r="L46">
        <v>140.49080929608201</v>
      </c>
      <c r="M46">
        <v>140.2491471017789</v>
      </c>
      <c r="N46">
        <v>140.06684645217069</v>
      </c>
      <c r="O46">
        <v>140.64005130853641</v>
      </c>
      <c r="P46">
        <v>140.63705875772311</v>
      </c>
      <c r="Q46">
        <v>140.63340872876199</v>
      </c>
      <c r="R46">
        <v>141.19162430442299</v>
      </c>
      <c r="S46">
        <v>140.57679096975281</v>
      </c>
      <c r="T46">
        <v>141.17797738142389</v>
      </c>
      <c r="U46">
        <v>144.0581190445204</v>
      </c>
      <c r="V46">
        <v>144.05143082678379</v>
      </c>
      <c r="W46">
        <v>144.52458523436979</v>
      </c>
      <c r="X46">
        <v>143.67618373871801</v>
      </c>
      <c r="Y46">
        <v>143.41470914737371</v>
      </c>
      <c r="Z46">
        <v>144.37062867536079</v>
      </c>
      <c r="AA46">
        <v>144.17676605074871</v>
      </c>
      <c r="AB46">
        <v>144.9570945509146</v>
      </c>
      <c r="AC46">
        <v>145.31827926850781</v>
      </c>
      <c r="AD46">
        <v>144.93361719713519</v>
      </c>
      <c r="AE46">
        <v>145.1098218578729</v>
      </c>
      <c r="AF46">
        <v>145.38399446757219</v>
      </c>
      <c r="AG46">
        <v>145.29986413356869</v>
      </c>
      <c r="AH46">
        <v>145.9794557420667</v>
      </c>
      <c r="AI46">
        <v>145.73216684922929</v>
      </c>
      <c r="AJ46">
        <v>145.56368143452721</v>
      </c>
      <c r="AK46">
        <v>145.4390897416605</v>
      </c>
      <c r="AL46">
        <v>146.15635583987259</v>
      </c>
      <c r="AM46">
        <v>145.9909833383083</v>
      </c>
    </row>
    <row r="47" spans="1:40" x14ac:dyDescent="0.35">
      <c r="A47" t="s">
        <v>29</v>
      </c>
      <c r="B47">
        <v>1.624391076802169</v>
      </c>
      <c r="C47">
        <v>1.441276915603765</v>
      </c>
      <c r="D47">
        <v>1.306969135167094</v>
      </c>
      <c r="E47">
        <v>1.621911503509722</v>
      </c>
      <c r="F47">
        <v>1.096398820034153</v>
      </c>
      <c r="G47">
        <v>1.4553539516698211</v>
      </c>
      <c r="H47">
        <v>1.4627809946019279</v>
      </c>
      <c r="I47">
        <v>0.94517326594601059</v>
      </c>
      <c r="J47">
        <v>0.30125894384846669</v>
      </c>
      <c r="K47">
        <v>0.75627710103117352</v>
      </c>
      <c r="L47">
        <v>0.46238886753243952</v>
      </c>
      <c r="M47">
        <v>0.69433688946631378</v>
      </c>
      <c r="N47">
        <v>0.87938996852679452</v>
      </c>
      <c r="O47">
        <v>0.51447949309928731</v>
      </c>
      <c r="P47">
        <v>0.7116787460532521</v>
      </c>
      <c r="Q47">
        <v>0.55076052780671603</v>
      </c>
      <c r="R47">
        <v>0.37687435068309583</v>
      </c>
      <c r="S47">
        <v>0.12881605745528191</v>
      </c>
      <c r="T47">
        <v>0.39792606021626398</v>
      </c>
      <c r="U47">
        <v>0.57622303606018477</v>
      </c>
      <c r="V47">
        <v>0.68772018509591248</v>
      </c>
      <c r="W47">
        <v>1.092397990244677</v>
      </c>
      <c r="X47">
        <v>0.1872266365834605</v>
      </c>
      <c r="Y47">
        <v>0.30378640553644232</v>
      </c>
      <c r="Z47">
        <v>0.11675959960894031</v>
      </c>
      <c r="AA47">
        <v>0.12739799152387829</v>
      </c>
      <c r="AB47">
        <v>0.82598265409305327</v>
      </c>
      <c r="AC47">
        <v>0.28076779544352348</v>
      </c>
      <c r="AD47">
        <v>0.90842432200545886</v>
      </c>
      <c r="AE47">
        <v>0.26276830234269261</v>
      </c>
      <c r="AF47">
        <v>0.4081767415973161</v>
      </c>
      <c r="AG47">
        <v>4.2954860359515117E-2</v>
      </c>
      <c r="AH47">
        <v>0.30876651122304111</v>
      </c>
      <c r="AI47">
        <v>0.59165921591724668</v>
      </c>
      <c r="AJ47">
        <v>0.46157920787359791</v>
      </c>
      <c r="AK47">
        <v>0.93520051274299476</v>
      </c>
      <c r="AL47">
        <v>-0.38670263020796369</v>
      </c>
      <c r="AM47">
        <v>0.9549635738898985</v>
      </c>
    </row>
    <row r="48" spans="1:40" x14ac:dyDescent="0.35">
      <c r="A48" t="s">
        <v>30</v>
      </c>
      <c r="B48">
        <v>3.063259535876544</v>
      </c>
      <c r="C48">
        <v>3.08024922730388</v>
      </c>
      <c r="D48">
        <v>2.930720627710754</v>
      </c>
      <c r="E48">
        <v>3.222176428262904</v>
      </c>
      <c r="F48">
        <v>3.1871161580268219</v>
      </c>
      <c r="G48">
        <v>2.8038515833662609</v>
      </c>
      <c r="H48">
        <v>3.2282480979367398</v>
      </c>
      <c r="I48">
        <v>2.8667433569613121</v>
      </c>
      <c r="J48">
        <v>2.9453783188617142</v>
      </c>
      <c r="K48">
        <v>2.9675252393775011</v>
      </c>
      <c r="L48">
        <v>2.5847464164628171</v>
      </c>
      <c r="M48">
        <v>2.4880382574606719</v>
      </c>
      <c r="N48">
        <v>2.9408584893033258</v>
      </c>
      <c r="O48">
        <v>1.8316278909876831</v>
      </c>
      <c r="P48">
        <v>1.935766309571173</v>
      </c>
      <c r="Q48">
        <v>1.9474916288625159</v>
      </c>
      <c r="R48">
        <v>1.934787348031942</v>
      </c>
      <c r="S48">
        <v>1.8272549921633889</v>
      </c>
      <c r="T48">
        <v>1.2787541700058269</v>
      </c>
      <c r="U48">
        <v>0.5817038121893392</v>
      </c>
      <c r="V48">
        <v>0.78962512450414402</v>
      </c>
      <c r="W48">
        <v>0.52824735143427715</v>
      </c>
      <c r="X48">
        <v>0.24574989787129381</v>
      </c>
      <c r="Y48">
        <v>0.39251032565724292</v>
      </c>
      <c r="Z48">
        <v>0.32775903923893901</v>
      </c>
      <c r="AA48">
        <v>0.25162856368978759</v>
      </c>
      <c r="AB48">
        <v>0.46837168540031748</v>
      </c>
      <c r="AC48">
        <v>-1.348405474210596</v>
      </c>
      <c r="AD48">
        <v>-0.66746102062268575</v>
      </c>
      <c r="AE48">
        <v>-0.1063270715899039</v>
      </c>
      <c r="AF48">
        <v>-0.89099889256906972</v>
      </c>
      <c r="AG48">
        <v>-1.61666176815193</v>
      </c>
      <c r="AH48">
        <v>-1.8575514187463109</v>
      </c>
      <c r="AI48">
        <v>-1.3332652181346261</v>
      </c>
      <c r="AJ48">
        <v>-0.82859322231936805</v>
      </c>
      <c r="AK48">
        <v>-1.7103714121118641</v>
      </c>
      <c r="AL48">
        <v>-1.608105553099725</v>
      </c>
      <c r="AM48">
        <v>-1.17011075174948</v>
      </c>
    </row>
    <row r="49" spans="1:40" x14ac:dyDescent="0.35">
      <c r="A49" t="s">
        <v>31</v>
      </c>
      <c r="B49">
        <v>1.067671486983182</v>
      </c>
      <c r="C49">
        <v>1.5632842614083231</v>
      </c>
      <c r="D49">
        <v>1.141926875166164</v>
      </c>
      <c r="E49">
        <v>1.2990185553808611</v>
      </c>
      <c r="F49">
        <v>1.0810140109888631</v>
      </c>
      <c r="G49">
        <v>1.015290492788953</v>
      </c>
      <c r="H49">
        <v>1.6242717114219221</v>
      </c>
      <c r="I49">
        <v>1.6616004117388901</v>
      </c>
      <c r="J49">
        <v>2.0138938215069602</v>
      </c>
      <c r="K49">
        <v>1.4795465152616649</v>
      </c>
      <c r="L49">
        <v>1.6217612673341311</v>
      </c>
      <c r="M49">
        <v>1.8210972118585069</v>
      </c>
      <c r="N49">
        <v>1.641559754288769</v>
      </c>
      <c r="O49">
        <v>1.6332963977834041</v>
      </c>
      <c r="P49">
        <v>2.1614206189475711</v>
      </c>
      <c r="Q49">
        <v>2.1064161616891108</v>
      </c>
      <c r="R49">
        <v>1.748780566289281</v>
      </c>
      <c r="S49">
        <v>2.4551682005300699</v>
      </c>
      <c r="T49">
        <v>1.937853158600825</v>
      </c>
      <c r="U49">
        <v>2.0807134037101132</v>
      </c>
      <c r="V49">
        <v>1.35517426980228</v>
      </c>
      <c r="W49">
        <v>1.9169941850675489</v>
      </c>
      <c r="X49">
        <v>1.3077940103676791</v>
      </c>
      <c r="Y49">
        <v>1.3189298793073361</v>
      </c>
      <c r="Z49">
        <v>1.1263841403169721</v>
      </c>
      <c r="AA49">
        <v>1.322489617008249</v>
      </c>
      <c r="AB49">
        <v>1.39657674119985</v>
      </c>
      <c r="AC49">
        <v>1.3040285965553029</v>
      </c>
      <c r="AD49">
        <v>1.342614691306343</v>
      </c>
      <c r="AE49">
        <v>1.536936686518366</v>
      </c>
      <c r="AF49">
        <v>1.4337817958715959</v>
      </c>
      <c r="AG49">
        <v>1.84874785940576</v>
      </c>
      <c r="AH49">
        <v>1.6396262835593549</v>
      </c>
      <c r="AI49">
        <v>1.799069522346364</v>
      </c>
      <c r="AJ49">
        <v>1.8968714835178759</v>
      </c>
      <c r="AK49">
        <v>2.120979780709912</v>
      </c>
      <c r="AL49">
        <v>1.950170785697438</v>
      </c>
      <c r="AM49">
        <v>1.7686826355803631</v>
      </c>
    </row>
    <row r="50" spans="1:40" x14ac:dyDescent="0.35">
      <c r="A50" t="s">
        <v>32</v>
      </c>
      <c r="B50">
        <v>-4.3391980052847612E-2</v>
      </c>
      <c r="C50">
        <v>-9.3141168417785469E-2</v>
      </c>
      <c r="D50">
        <v>-0.20862193033030771</v>
      </c>
      <c r="E50">
        <v>-0.27708259580294992</v>
      </c>
      <c r="F50">
        <v>-0.26687801074029771</v>
      </c>
      <c r="G50">
        <v>-2.305349921404742E-2</v>
      </c>
      <c r="H50">
        <v>-0.24589056044680621</v>
      </c>
      <c r="I50">
        <v>-0.1135992290177337</v>
      </c>
      <c r="J50">
        <v>-0.1869130586285597</v>
      </c>
      <c r="K50">
        <v>-0.12893496842399879</v>
      </c>
      <c r="L50">
        <v>-0.18341723200656221</v>
      </c>
      <c r="M50">
        <v>-0.2514043178056688</v>
      </c>
      <c r="N50">
        <v>-0.1281027054867673</v>
      </c>
      <c r="O50">
        <v>-0.15185566068323719</v>
      </c>
      <c r="P50">
        <v>-5.541244030701941E-2</v>
      </c>
      <c r="Q50">
        <v>-6.3529978414216537E-2</v>
      </c>
      <c r="R50">
        <v>-6.4314663886791412E-3</v>
      </c>
      <c r="S50">
        <v>-0.16873681832726439</v>
      </c>
      <c r="T50">
        <v>-5.8145570209192088E-3</v>
      </c>
      <c r="U50">
        <v>-4.3622448373247247E-2</v>
      </c>
      <c r="V50">
        <v>-0.1178464591067363</v>
      </c>
      <c r="W50">
        <v>0.16194871114540149</v>
      </c>
      <c r="X50">
        <v>-0.22339581538812819</v>
      </c>
      <c r="Y50">
        <v>-0.35619662450507772</v>
      </c>
      <c r="Z50">
        <v>-0.14629724500773769</v>
      </c>
      <c r="AA50">
        <v>-0.46610189756412168</v>
      </c>
      <c r="AB50">
        <v>-0.1948602252344955</v>
      </c>
      <c r="AC50">
        <v>-0.43996716630300381</v>
      </c>
      <c r="AD50">
        <v>-0.46041752022750759</v>
      </c>
      <c r="AE50">
        <v>-0.3841392779367736</v>
      </c>
      <c r="AF50">
        <v>-0.28917009238499852</v>
      </c>
      <c r="AG50">
        <v>-0.45780299443086969</v>
      </c>
      <c r="AH50">
        <v>-0.31350427341904069</v>
      </c>
      <c r="AI50">
        <v>-0.37663609004722021</v>
      </c>
      <c r="AJ50">
        <v>-0.26024146785561059</v>
      </c>
      <c r="AK50">
        <v>-0.21376408453012921</v>
      </c>
      <c r="AL50">
        <v>-0.39427965394087938</v>
      </c>
      <c r="AM50">
        <v>4.6129850862776933E-2</v>
      </c>
    </row>
    <row r="51" spans="1:40" x14ac:dyDescent="0.35">
      <c r="A51" t="s">
        <v>33</v>
      </c>
      <c r="B51">
        <v>145.3376027702032</v>
      </c>
      <c r="C51">
        <v>145.45031286989621</v>
      </c>
      <c r="D51">
        <v>144.85626057280649</v>
      </c>
      <c r="E51">
        <v>145.09626003583449</v>
      </c>
      <c r="F51">
        <v>144.46434145583461</v>
      </c>
      <c r="G51">
        <v>145.23825392670039</v>
      </c>
      <c r="H51">
        <v>145.29188177368641</v>
      </c>
      <c r="I51">
        <v>145.56376552001211</v>
      </c>
      <c r="J51">
        <v>144.90242116757341</v>
      </c>
      <c r="K51">
        <v>145.35976746586149</v>
      </c>
      <c r="L51">
        <v>144.97628861540491</v>
      </c>
      <c r="M51">
        <v>145.0012151427587</v>
      </c>
      <c r="N51">
        <v>145.40055195880291</v>
      </c>
      <c r="O51">
        <v>144.46759942972349</v>
      </c>
      <c r="P51">
        <v>145.39051199198809</v>
      </c>
      <c r="Q51">
        <v>145.17454706870609</v>
      </c>
      <c r="R51">
        <v>145.24563510303861</v>
      </c>
      <c r="S51">
        <v>144.81929340157421</v>
      </c>
      <c r="T51">
        <v>144.78669621322589</v>
      </c>
      <c r="U51">
        <v>147.25313684810681</v>
      </c>
      <c r="V51">
        <v>146.76610394707939</v>
      </c>
      <c r="W51">
        <v>148.2241734722617</v>
      </c>
      <c r="X51">
        <v>145.1935584681523</v>
      </c>
      <c r="Y51">
        <v>145.0737391333696</v>
      </c>
      <c r="Z51">
        <v>145.7952342095179</v>
      </c>
      <c r="AA51">
        <v>145.41218032540641</v>
      </c>
      <c r="AB51">
        <v>147.45316540637339</v>
      </c>
      <c r="AC51">
        <v>145.1147030199931</v>
      </c>
      <c r="AD51">
        <v>146.05677766959681</v>
      </c>
      <c r="AE51">
        <v>146.41906049720731</v>
      </c>
      <c r="AF51">
        <v>146.0457840200871</v>
      </c>
      <c r="AG51">
        <v>145.1171020907511</v>
      </c>
      <c r="AH51">
        <v>145.7567928446837</v>
      </c>
      <c r="AI51">
        <v>146.41299427931111</v>
      </c>
      <c r="AJ51">
        <v>146.83329743574359</v>
      </c>
      <c r="AK51">
        <v>146.5711345384714</v>
      </c>
      <c r="AL51">
        <v>145.71743878832149</v>
      </c>
      <c r="AM51">
        <v>147.59064864689191</v>
      </c>
    </row>
    <row r="52" spans="1:40" x14ac:dyDescent="0.35">
      <c r="A52" t="s">
        <v>34</v>
      </c>
      <c r="B52">
        <v>5709026.4000000004</v>
      </c>
      <c r="C52">
        <v>6654662.6699999999</v>
      </c>
      <c r="D52">
        <v>6789123.3700000001</v>
      </c>
      <c r="E52">
        <v>5641593.5600000015</v>
      </c>
      <c r="F52">
        <v>5981023.1799999997</v>
      </c>
      <c r="G52">
        <v>5667100.4500000002</v>
      </c>
      <c r="H52">
        <v>6673091.4800000004</v>
      </c>
      <c r="I52">
        <v>8608999.5600000005</v>
      </c>
      <c r="J52">
        <v>16421084.65</v>
      </c>
      <c r="K52">
        <v>9206955.7100000009</v>
      </c>
      <c r="L52">
        <v>7781252.6099999994</v>
      </c>
      <c r="M52">
        <v>7305405.6699999999</v>
      </c>
      <c r="N52">
        <v>7395275.5</v>
      </c>
      <c r="O52">
        <v>6783978.3499999996</v>
      </c>
      <c r="P52">
        <v>5165787.3</v>
      </c>
      <c r="Q52">
        <v>4941117.43</v>
      </c>
      <c r="R52">
        <v>4574279.67</v>
      </c>
      <c r="S52">
        <v>4882686.84</v>
      </c>
      <c r="T52">
        <v>4753382.3299999991</v>
      </c>
      <c r="U52">
        <v>3664297.68</v>
      </c>
      <c r="V52">
        <v>3422584.1</v>
      </c>
      <c r="W52">
        <v>3709767.97</v>
      </c>
      <c r="X52">
        <v>3243960.59</v>
      </c>
      <c r="Y52">
        <v>3727649.51</v>
      </c>
      <c r="Z52">
        <v>4023499.5</v>
      </c>
      <c r="AA52">
        <v>3853838.15</v>
      </c>
      <c r="AB52">
        <v>3792944.8</v>
      </c>
      <c r="AC52">
        <v>3260649.57</v>
      </c>
      <c r="AD52">
        <v>3267858.25</v>
      </c>
      <c r="AE52">
        <v>3406842.11</v>
      </c>
      <c r="AF52">
        <v>3046532.330000001</v>
      </c>
      <c r="AG52">
        <v>2816339.52</v>
      </c>
      <c r="AH52">
        <v>3755384.12</v>
      </c>
      <c r="AI52">
        <v>3178644.83</v>
      </c>
      <c r="AJ52">
        <v>3248321.14</v>
      </c>
      <c r="AK52">
        <v>3045889.15</v>
      </c>
      <c r="AL52">
        <v>2502058</v>
      </c>
      <c r="AM52">
        <v>1053919.99</v>
      </c>
    </row>
    <row r="53" spans="1:40" x14ac:dyDescent="0.35">
      <c r="A53" t="s">
        <v>35</v>
      </c>
      <c r="B53">
        <v>1.364315264297286</v>
      </c>
      <c r="C53">
        <v>1.3278900248942209</v>
      </c>
      <c r="D53">
        <v>1.3587310857118771</v>
      </c>
      <c r="E53">
        <v>1.347066779860258</v>
      </c>
      <c r="F53">
        <v>1.3633084950334531</v>
      </c>
      <c r="G53">
        <v>1.3682821273332639</v>
      </c>
      <c r="H53">
        <v>1.3235416869956109</v>
      </c>
      <c r="I53">
        <v>1.3208942135795689</v>
      </c>
      <c r="J53">
        <v>1.2964204087496241</v>
      </c>
      <c r="K53">
        <v>1.3339071919130889</v>
      </c>
      <c r="L53">
        <v>1.3237201168098141</v>
      </c>
      <c r="M53">
        <v>1.309700477210697</v>
      </c>
      <c r="N53">
        <v>1.3223142443501219</v>
      </c>
      <c r="O53">
        <v>1.3229006544935511</v>
      </c>
      <c r="P53">
        <v>1.2864390636895211</v>
      </c>
      <c r="Q53">
        <v>1.2901425254949961</v>
      </c>
      <c r="R53">
        <v>1.3147521734998191</v>
      </c>
      <c r="S53">
        <v>1.2670155172098889</v>
      </c>
      <c r="T53">
        <v>1.3016258914651551</v>
      </c>
      <c r="U53">
        <v>1.2918804175952341</v>
      </c>
      <c r="V53">
        <v>1.342945571514071</v>
      </c>
      <c r="W53">
        <v>1.3030611395682461</v>
      </c>
      <c r="X53">
        <v>1.3464210918060771</v>
      </c>
      <c r="Y53">
        <v>1.345602617751384</v>
      </c>
      <c r="Z53">
        <v>1.3598961496779221</v>
      </c>
      <c r="AA53">
        <v>1.3453411908127431</v>
      </c>
      <c r="AB53">
        <v>1.339923201298389</v>
      </c>
      <c r="AC53">
        <v>1.3466980708628791</v>
      </c>
      <c r="AD53">
        <v>1.3438651149164189</v>
      </c>
      <c r="AE53">
        <v>1.3297774285396129</v>
      </c>
      <c r="AF53">
        <v>1.337218823189096</v>
      </c>
      <c r="AG53">
        <v>1.307779178960121</v>
      </c>
      <c r="AH53">
        <v>1.322451406750679</v>
      </c>
      <c r="AI53">
        <v>1.3112351103706841</v>
      </c>
      <c r="AJ53">
        <v>1.3044487295952709</v>
      </c>
      <c r="AK53">
        <v>1.2891598800218389</v>
      </c>
      <c r="AL53">
        <v>1.3007798335308141</v>
      </c>
      <c r="AM53">
        <v>1.3133580272315031</v>
      </c>
    </row>
    <row r="54" spans="1:40" x14ac:dyDescent="0.35">
      <c r="A54" t="s">
        <v>36</v>
      </c>
      <c r="B54">
        <v>0.23561988542932641</v>
      </c>
      <c r="C54">
        <v>0.23633058812025409</v>
      </c>
      <c r="D54">
        <v>0.23798031329043301</v>
      </c>
      <c r="E54">
        <v>0.23895832279718501</v>
      </c>
      <c r="F54">
        <v>0.2388125430105757</v>
      </c>
      <c r="G54">
        <v>0.23532933570305781</v>
      </c>
      <c r="H54">
        <v>0.23851272229209719</v>
      </c>
      <c r="I54">
        <v>0.23662284612882481</v>
      </c>
      <c r="J54">
        <v>0.23767018655183661</v>
      </c>
      <c r="K54">
        <v>0.2368419281203428</v>
      </c>
      <c r="L54">
        <v>0.2376202461715223</v>
      </c>
      <c r="M54">
        <v>0.23859149025436671</v>
      </c>
      <c r="N54">
        <v>0.23683003864981089</v>
      </c>
      <c r="O54">
        <v>0.23716936658118909</v>
      </c>
      <c r="P54">
        <v>0.23579160629010029</v>
      </c>
      <c r="Q54">
        <v>0.23590757112020311</v>
      </c>
      <c r="R54">
        <v>0.2350918780912668</v>
      </c>
      <c r="S54">
        <v>0.23741052597610379</v>
      </c>
      <c r="T54">
        <v>0.2350830651002988</v>
      </c>
      <c r="U54">
        <v>0.23562317783390349</v>
      </c>
      <c r="V54">
        <v>0.23668352084438191</v>
      </c>
      <c r="W54">
        <v>0.23268644698363711</v>
      </c>
      <c r="X54">
        <v>0.23819136879125899</v>
      </c>
      <c r="Y54">
        <v>0.24008852320721541</v>
      </c>
      <c r="Z54">
        <v>0.2370899606429677</v>
      </c>
      <c r="AA54">
        <v>0.2416585985366303</v>
      </c>
      <c r="AB54">
        <v>0.2377837175033499</v>
      </c>
      <c r="AC54">
        <v>0.24128524523289999</v>
      </c>
      <c r="AD54">
        <v>0.24157739314610721</v>
      </c>
      <c r="AE54">
        <v>0.2404877039705253</v>
      </c>
      <c r="AF54">
        <v>0.23913100131978571</v>
      </c>
      <c r="AG54">
        <v>0.24154004277758381</v>
      </c>
      <c r="AH54">
        <v>0.23947863247741491</v>
      </c>
      <c r="AI54">
        <v>0.2403805155721031</v>
      </c>
      <c r="AJ54">
        <v>0.23871773525508011</v>
      </c>
      <c r="AK54">
        <v>0.23805377263614469</v>
      </c>
      <c r="AL54">
        <v>0.24063256648486969</v>
      </c>
      <c r="AM54">
        <v>0.23434100213053169</v>
      </c>
    </row>
    <row r="56" spans="1:40" x14ac:dyDescent="0.35">
      <c r="A56" t="s">
        <v>41</v>
      </c>
      <c r="B56" t="s">
        <v>129</v>
      </c>
      <c r="C56" t="s">
        <v>130</v>
      </c>
      <c r="D56" t="s">
        <v>131</v>
      </c>
      <c r="E56" t="s">
        <v>132</v>
      </c>
      <c r="F56" t="s">
        <v>133</v>
      </c>
      <c r="G56" t="s">
        <v>134</v>
      </c>
      <c r="H56" t="s">
        <v>135</v>
      </c>
      <c r="I56" t="s">
        <v>136</v>
      </c>
      <c r="J56" t="s">
        <v>137</v>
      </c>
      <c r="K56" t="s">
        <v>138</v>
      </c>
      <c r="L56" t="s">
        <v>139</v>
      </c>
      <c r="M56" t="s">
        <v>140</v>
      </c>
      <c r="N56" t="s">
        <v>141</v>
      </c>
      <c r="O56" t="s">
        <v>142</v>
      </c>
      <c r="P56" t="s">
        <v>143</v>
      </c>
      <c r="Q56" t="s">
        <v>144</v>
      </c>
      <c r="R56" t="s">
        <v>145</v>
      </c>
      <c r="S56" t="s">
        <v>146</v>
      </c>
      <c r="T56" t="s">
        <v>147</v>
      </c>
      <c r="U56" t="s">
        <v>148</v>
      </c>
      <c r="V56" t="s">
        <v>149</v>
      </c>
      <c r="W56" t="s">
        <v>150</v>
      </c>
      <c r="X56" t="s">
        <v>151</v>
      </c>
      <c r="Y56" t="s">
        <v>152</v>
      </c>
      <c r="Z56" t="s">
        <v>153</v>
      </c>
      <c r="AA56" t="s">
        <v>154</v>
      </c>
      <c r="AB56" t="s">
        <v>155</v>
      </c>
      <c r="AC56" t="s">
        <v>156</v>
      </c>
      <c r="AD56" t="s">
        <v>157</v>
      </c>
      <c r="AE56" t="s">
        <v>158</v>
      </c>
      <c r="AF56" t="s">
        <v>159</v>
      </c>
      <c r="AG56" t="s">
        <v>160</v>
      </c>
      <c r="AH56" t="s">
        <v>161</v>
      </c>
      <c r="AI56" t="s">
        <v>162</v>
      </c>
      <c r="AJ56" t="s">
        <v>163</v>
      </c>
      <c r="AK56" t="s">
        <v>164</v>
      </c>
      <c r="AL56" t="s">
        <v>165</v>
      </c>
      <c r="AM56" t="s">
        <v>166</v>
      </c>
      <c r="AN56" t="s">
        <v>167</v>
      </c>
    </row>
    <row r="57" spans="1:40" x14ac:dyDescent="0.35">
      <c r="A57" t="s">
        <v>28</v>
      </c>
      <c r="B57">
        <v>142.1519998660871</v>
      </c>
      <c r="C57">
        <v>141.7747188244422</v>
      </c>
      <c r="D57">
        <v>141.4968101710634</v>
      </c>
      <c r="E57">
        <v>141.8991476685469</v>
      </c>
      <c r="F57">
        <v>141.600976628979</v>
      </c>
      <c r="G57">
        <v>142.16146861724101</v>
      </c>
      <c r="H57">
        <v>142.38054300902181</v>
      </c>
      <c r="I57">
        <v>142.07171350093051</v>
      </c>
      <c r="J57">
        <v>142.06199804730321</v>
      </c>
      <c r="K57">
        <v>142.38665363359411</v>
      </c>
      <c r="L57">
        <v>142.47979714902789</v>
      </c>
      <c r="M57">
        <v>142.59662935751339</v>
      </c>
      <c r="N57">
        <v>142.6816113097864</v>
      </c>
      <c r="O57">
        <v>143.0540666186732</v>
      </c>
      <c r="P57">
        <v>142.94131519342889</v>
      </c>
      <c r="Q57">
        <v>142.7319357966621</v>
      </c>
      <c r="R57">
        <v>142.77686736301041</v>
      </c>
      <c r="S57">
        <v>142.87868947940299</v>
      </c>
      <c r="T57">
        <v>142.9589884683601</v>
      </c>
      <c r="U57">
        <v>143.4130698984313</v>
      </c>
      <c r="V57">
        <v>142.97828308418511</v>
      </c>
      <c r="W57">
        <v>142.6068793913964</v>
      </c>
      <c r="X57">
        <v>143.29396671560889</v>
      </c>
      <c r="Y57">
        <v>142.9831834457751</v>
      </c>
      <c r="Z57">
        <v>142.78622423850831</v>
      </c>
      <c r="AA57">
        <v>142.7294050560235</v>
      </c>
      <c r="AB57">
        <v>142.5963108269751</v>
      </c>
      <c r="AC57">
        <v>143.01324958254631</v>
      </c>
      <c r="AD57">
        <v>143.67644352546901</v>
      </c>
      <c r="AE57">
        <v>143.66837794255599</v>
      </c>
      <c r="AF57">
        <v>143.8530631799886</v>
      </c>
      <c r="AG57">
        <v>144.40280157767569</v>
      </c>
      <c r="AH57">
        <v>143.59662109953859</v>
      </c>
      <c r="AI57">
        <v>143.85122704305411</v>
      </c>
      <c r="AJ57">
        <v>144.08284502733579</v>
      </c>
      <c r="AK57">
        <v>144.06936229915581</v>
      </c>
      <c r="AL57">
        <v>143.97840691952439</v>
      </c>
      <c r="AM57">
        <v>143.69371084295139</v>
      </c>
      <c r="AN57">
        <v>143.96766372576531</v>
      </c>
    </row>
    <row r="58" spans="1:40" x14ac:dyDescent="0.35">
      <c r="A58" t="s">
        <v>29</v>
      </c>
      <c r="B58">
        <v>1.0180142475143441</v>
      </c>
      <c r="C58">
        <v>0.64734174767042418</v>
      </c>
      <c r="D58">
        <v>0.58579763900999637</v>
      </c>
      <c r="E58">
        <v>0.78179860485161612</v>
      </c>
      <c r="F58">
        <v>0.74084891815348897</v>
      </c>
      <c r="G58">
        <v>0.73181698610272861</v>
      </c>
      <c r="H58">
        <v>0.778231783697521</v>
      </c>
      <c r="I58">
        <v>5.5687755122448827E-2</v>
      </c>
      <c r="J58">
        <v>-0.29754054219952758</v>
      </c>
      <c r="K58">
        <v>9.4710620004519797E-2</v>
      </c>
      <c r="L58">
        <v>0.12820290664200229</v>
      </c>
      <c r="M58">
        <v>0.36190256154551997</v>
      </c>
      <c r="N58">
        <v>0.19794470400580619</v>
      </c>
      <c r="O58">
        <v>0.33450326632879518</v>
      </c>
      <c r="P58">
        <v>0.50052990289017885</v>
      </c>
      <c r="Q58">
        <v>0.49930249695836437</v>
      </c>
      <c r="R58">
        <v>0.42230164395365932</v>
      </c>
      <c r="S58">
        <v>0.43531025688966452</v>
      </c>
      <c r="T58">
        <v>0.37202690962274693</v>
      </c>
      <c r="U58">
        <v>0.31775137545477611</v>
      </c>
      <c r="V58">
        <v>0.36492338183416001</v>
      </c>
      <c r="W58">
        <v>0.23212473593397931</v>
      </c>
      <c r="X58">
        <v>0.27045056089556851</v>
      </c>
      <c r="Y58">
        <v>0.29432048972796571</v>
      </c>
      <c r="Z58">
        <v>0.17465669486244911</v>
      </c>
      <c r="AA58">
        <v>3.1111805692290769E-2</v>
      </c>
      <c r="AB58">
        <v>0.19350813777143119</v>
      </c>
      <c r="AC58">
        <v>0.35628764700607007</v>
      </c>
      <c r="AD58">
        <v>5.2041393738022627E-2</v>
      </c>
      <c r="AE58">
        <v>0.33561590529728852</v>
      </c>
      <c r="AF58">
        <v>0.40465018482646542</v>
      </c>
      <c r="AG58">
        <v>0.31390571305138337</v>
      </c>
      <c r="AH58">
        <v>0.52894657562308112</v>
      </c>
      <c r="AI58">
        <v>0.516375294225071</v>
      </c>
      <c r="AJ58">
        <v>0.29435336551662772</v>
      </c>
      <c r="AK58">
        <v>0.54871133412095219</v>
      </c>
      <c r="AL58">
        <v>0.41607942428666428</v>
      </c>
      <c r="AM58">
        <v>2.4263196043063999</v>
      </c>
      <c r="AN58">
        <v>4.1930744041631272</v>
      </c>
    </row>
    <row r="59" spans="1:40" x14ac:dyDescent="0.35">
      <c r="A59" t="s">
        <v>30</v>
      </c>
      <c r="B59">
        <v>1.6379226319404669</v>
      </c>
      <c r="C59">
        <v>0.79191053319595239</v>
      </c>
      <c r="D59">
        <v>1.01729292545651</v>
      </c>
      <c r="E59">
        <v>0.9359803756427969</v>
      </c>
      <c r="F59">
        <v>0.81236753579328025</v>
      </c>
      <c r="G59">
        <v>1.0261618885229711</v>
      </c>
      <c r="H59">
        <v>0.52659795437861956</v>
      </c>
      <c r="I59">
        <v>0.67469487423447083</v>
      </c>
      <c r="J59">
        <v>0.37683903948712039</v>
      </c>
      <c r="K59">
        <v>0.41596035162968742</v>
      </c>
      <c r="L59">
        <v>0.96713084589492804</v>
      </c>
      <c r="M59">
        <v>1.132968211200728</v>
      </c>
      <c r="N59">
        <v>1.200332979354725</v>
      </c>
      <c r="O59">
        <v>1.056242540257331</v>
      </c>
      <c r="P59">
        <v>1.0164963004548411</v>
      </c>
      <c r="Q59">
        <v>1.3221843941369771</v>
      </c>
      <c r="R59">
        <v>1.482246165960065</v>
      </c>
      <c r="S59">
        <v>0.99103095958718879</v>
      </c>
      <c r="T59">
        <v>1.391018196112866</v>
      </c>
      <c r="U59">
        <v>1.0561439692394989</v>
      </c>
      <c r="V59">
        <v>1.1896236850632349</v>
      </c>
      <c r="W59">
        <v>0.62429902754763145</v>
      </c>
      <c r="X59">
        <v>0.57006420649996115</v>
      </c>
      <c r="Y59">
        <v>0.62174758080161308</v>
      </c>
      <c r="Z59">
        <v>0.50057592796089745</v>
      </c>
      <c r="AA59">
        <v>0.52404429233759475</v>
      </c>
      <c r="AB59">
        <v>0.45198532594874957</v>
      </c>
      <c r="AC59">
        <v>0.95156066743584833</v>
      </c>
      <c r="AD59">
        <v>0.69277250488468589</v>
      </c>
      <c r="AE59">
        <v>0.75239527451516075</v>
      </c>
      <c r="AF59">
        <v>1.1233539240864481</v>
      </c>
      <c r="AG59">
        <v>0.60691237147275645</v>
      </c>
      <c r="AH59">
        <v>1.0966707973350649</v>
      </c>
      <c r="AI59">
        <v>0.8736864499373922</v>
      </c>
      <c r="AJ59">
        <v>0.72852553057809211</v>
      </c>
      <c r="AK59">
        <v>0.72196160455845093</v>
      </c>
      <c r="AL59">
        <v>0.45417949658381412</v>
      </c>
      <c r="AM59">
        <v>0.62626851196202749</v>
      </c>
      <c r="AN59">
        <v>0.2303031021932688</v>
      </c>
    </row>
    <row r="60" spans="1:40" x14ac:dyDescent="0.35">
      <c r="A60" t="s">
        <v>31</v>
      </c>
      <c r="B60">
        <v>0.61555479536644175</v>
      </c>
      <c r="C60">
        <v>0.54514672321946078</v>
      </c>
      <c r="D60">
        <v>0.54433677343037168</v>
      </c>
      <c r="E60">
        <v>2.4190719627445501E-2</v>
      </c>
      <c r="F60">
        <v>0.65009081458879303</v>
      </c>
      <c r="G60">
        <v>0.39562903846583958</v>
      </c>
      <c r="H60">
        <v>0.60095794664686786</v>
      </c>
      <c r="I60">
        <v>0.82822406996751752</v>
      </c>
      <c r="J60">
        <v>0.51201548740125513</v>
      </c>
      <c r="K60">
        <v>0.34633347805894532</v>
      </c>
      <c r="L60">
        <v>0.24690762159446081</v>
      </c>
      <c r="M60">
        <v>0.5394062849647816</v>
      </c>
      <c r="N60">
        <v>0.54619864134553819</v>
      </c>
      <c r="O60">
        <v>0.52391293971173869</v>
      </c>
      <c r="P60">
        <v>0.19509272842708961</v>
      </c>
      <c r="Q60">
        <v>0.60446641710066096</v>
      </c>
      <c r="R60">
        <v>0.67273356583156574</v>
      </c>
      <c r="S60">
        <v>0.62111429817785402</v>
      </c>
      <c r="T60">
        <v>1.133836756095135</v>
      </c>
      <c r="U60">
        <v>1.5480086150001751</v>
      </c>
      <c r="V60">
        <v>1.3940511504151289</v>
      </c>
      <c r="W60">
        <v>1.357638264616315</v>
      </c>
      <c r="X60">
        <v>1.345906902796552</v>
      </c>
      <c r="Y60">
        <v>1.3782933721962589</v>
      </c>
      <c r="Z60">
        <v>1.373295917771798</v>
      </c>
      <c r="AA60">
        <v>2.1322544786121909</v>
      </c>
      <c r="AB60">
        <v>1.7124389866484391</v>
      </c>
      <c r="AC60">
        <v>1.506415818241315</v>
      </c>
      <c r="AD60">
        <v>1.276071567092347</v>
      </c>
      <c r="AE60">
        <v>1.723943816631462</v>
      </c>
      <c r="AF60">
        <v>1.0761013121900691</v>
      </c>
      <c r="AG60">
        <v>0.4513127323378151</v>
      </c>
      <c r="AH60">
        <v>1.544013904454081</v>
      </c>
      <c r="AI60">
        <v>1.183728968610978</v>
      </c>
      <c r="AJ60">
        <v>0.99230748585223338</v>
      </c>
      <c r="AK60">
        <v>0.65309463475155993</v>
      </c>
      <c r="AL60">
        <v>0.55477470192343226</v>
      </c>
      <c r="AM60">
        <v>0.47879684998162952</v>
      </c>
      <c r="AN60">
        <v>-0.38997937911883179</v>
      </c>
    </row>
    <row r="61" spans="1:40" x14ac:dyDescent="0.35">
      <c r="A61" t="s">
        <v>32</v>
      </c>
      <c r="B61">
        <v>0.87491829881940608</v>
      </c>
      <c r="C61">
        <v>9.6849633950529382E-2</v>
      </c>
      <c r="D61">
        <v>0.104489120622742</v>
      </c>
      <c r="E61">
        <v>0.17399487943531941</v>
      </c>
      <c r="F61">
        <v>0.37182720181436502</v>
      </c>
      <c r="G61">
        <v>0.41151061466593558</v>
      </c>
      <c r="H61">
        <v>0.69020573880805414</v>
      </c>
      <c r="I61">
        <v>0.65904565456957109</v>
      </c>
      <c r="J61">
        <v>0.17825128855340361</v>
      </c>
      <c r="K61">
        <v>0.53721968941513165</v>
      </c>
      <c r="L61">
        <v>0.8121434156090982</v>
      </c>
      <c r="M61">
        <v>0.84070346111904581</v>
      </c>
      <c r="N61">
        <v>0.55745409245790367</v>
      </c>
      <c r="O61">
        <v>0.70197250434511682</v>
      </c>
      <c r="P61">
        <v>0.60950574408622293</v>
      </c>
      <c r="Q61">
        <v>0.60293096370757293</v>
      </c>
      <c r="R61">
        <v>0.65547400838634529</v>
      </c>
      <c r="S61">
        <v>0.71555910985391158</v>
      </c>
      <c r="T61">
        <v>0.70565066048701164</v>
      </c>
      <c r="U61">
        <v>0.89526751311901176</v>
      </c>
      <c r="V61">
        <v>0.61429315179055999</v>
      </c>
      <c r="W61">
        <v>0.59131509298345031</v>
      </c>
      <c r="X61">
        <v>0.86328540983108948</v>
      </c>
      <c r="Y61">
        <v>0.75309512166521142</v>
      </c>
      <c r="Z61">
        <v>0.67897306891877518</v>
      </c>
      <c r="AA61">
        <v>0.64414779127601141</v>
      </c>
      <c r="AB61">
        <v>0.70132713416161885</v>
      </c>
      <c r="AC61">
        <v>0.92401025497609945</v>
      </c>
      <c r="AD61">
        <v>1.036088421951044</v>
      </c>
      <c r="AE61">
        <v>1.005293244388231</v>
      </c>
      <c r="AF61">
        <v>0.98880044884970264</v>
      </c>
      <c r="AG61">
        <v>1.0532047487142511</v>
      </c>
      <c r="AH61">
        <v>1.162842135584385</v>
      </c>
      <c r="AI61">
        <v>1.1403742266222781</v>
      </c>
      <c r="AJ61">
        <v>0.96075047939748404</v>
      </c>
      <c r="AK61">
        <v>0.98217828008296171</v>
      </c>
      <c r="AL61">
        <v>0.87382776303351462</v>
      </c>
      <c r="AM61">
        <v>1.0856163806899819</v>
      </c>
      <c r="AN61">
        <v>0.20173320357787131</v>
      </c>
    </row>
    <row r="62" spans="1:40" x14ac:dyDescent="0.35">
      <c r="A62" t="s">
        <v>33</v>
      </c>
      <c r="B62">
        <v>146.29840983972781</v>
      </c>
      <c r="C62">
        <v>143.85596746247859</v>
      </c>
      <c r="D62">
        <v>143.74872662958299</v>
      </c>
      <c r="E62">
        <v>143.8151122481041</v>
      </c>
      <c r="F62">
        <v>144.17611109932901</v>
      </c>
      <c r="G62">
        <v>144.72658714499849</v>
      </c>
      <c r="H62">
        <v>144.9765364325529</v>
      </c>
      <c r="I62">
        <v>144.2893658548245</v>
      </c>
      <c r="J62">
        <v>142.83156332054551</v>
      </c>
      <c r="K62">
        <v>143.7808777727023</v>
      </c>
      <c r="L62">
        <v>144.63418193876839</v>
      </c>
      <c r="M62">
        <v>145.47160987634351</v>
      </c>
      <c r="N62">
        <v>145.18354172695041</v>
      </c>
      <c r="O62">
        <v>145.6706978693162</v>
      </c>
      <c r="P62">
        <v>145.26293986928721</v>
      </c>
      <c r="Q62">
        <v>145.76082006856569</v>
      </c>
      <c r="R62">
        <v>146.009622747142</v>
      </c>
      <c r="S62">
        <v>145.64170410391159</v>
      </c>
      <c r="T62">
        <v>146.56152099067779</v>
      </c>
      <c r="U62">
        <v>147.2302413712448</v>
      </c>
      <c r="V62">
        <v>146.54117445328819</v>
      </c>
      <c r="W62">
        <v>145.4122565124778</v>
      </c>
      <c r="X62">
        <v>146.3436737956321</v>
      </c>
      <c r="Y62">
        <v>146.03064001016611</v>
      </c>
      <c r="Z62">
        <v>145.5137258480222</v>
      </c>
      <c r="AA62">
        <v>146.06096342394159</v>
      </c>
      <c r="AB62">
        <v>145.65557041150529</v>
      </c>
      <c r="AC62">
        <v>146.7515239702056</v>
      </c>
      <c r="AD62">
        <v>146.7334174131351</v>
      </c>
      <c r="AE62">
        <v>147.48562618338821</v>
      </c>
      <c r="AF62">
        <v>147.44596904994131</v>
      </c>
      <c r="AG62">
        <v>146.82813714325201</v>
      </c>
      <c r="AH62">
        <v>147.92909451253519</v>
      </c>
      <c r="AI62">
        <v>147.56539198244991</v>
      </c>
      <c r="AJ62">
        <v>147.0587818886803</v>
      </c>
      <c r="AK62">
        <v>146.9753081526697</v>
      </c>
      <c r="AL62">
        <v>146.2772683053519</v>
      </c>
      <c r="AM62">
        <v>148.31071218989149</v>
      </c>
      <c r="AN62">
        <v>148.2027950565807</v>
      </c>
    </row>
    <row r="63" spans="1:40" x14ac:dyDescent="0.35">
      <c r="A63" t="s">
        <v>34</v>
      </c>
      <c r="B63">
        <v>22143632.329999998</v>
      </c>
      <c r="C63">
        <v>32529838.640000001</v>
      </c>
      <c r="D63">
        <v>33342496.18</v>
      </c>
      <c r="E63">
        <v>31862679.73</v>
      </c>
      <c r="F63">
        <v>28073454.879999999</v>
      </c>
      <c r="G63">
        <v>35420986.649999999</v>
      </c>
      <c r="H63">
        <v>35777213.390000001</v>
      </c>
      <c r="I63">
        <v>47769758.840000004</v>
      </c>
      <c r="J63">
        <v>77720589.049999997</v>
      </c>
      <c r="K63">
        <v>61218559.290000007</v>
      </c>
      <c r="L63">
        <v>59243462.770000003</v>
      </c>
      <c r="M63">
        <v>46717376</v>
      </c>
      <c r="N63">
        <v>44763846.619999997</v>
      </c>
      <c r="O63">
        <v>42042106.829999998</v>
      </c>
      <c r="P63">
        <v>33985215.960000001</v>
      </c>
      <c r="Q63">
        <v>36228403.680000007</v>
      </c>
      <c r="R63">
        <v>36891940.060000002</v>
      </c>
      <c r="S63">
        <v>37575020.149999991</v>
      </c>
      <c r="T63">
        <v>37552927.950000003</v>
      </c>
      <c r="U63">
        <v>34155455.840000004</v>
      </c>
      <c r="V63">
        <v>37830271.920000002</v>
      </c>
      <c r="W63">
        <v>37542139.369999997</v>
      </c>
      <c r="X63">
        <v>35548297.240000002</v>
      </c>
      <c r="Y63">
        <v>38274707.210000001</v>
      </c>
      <c r="Z63">
        <v>40258177.939999998</v>
      </c>
      <c r="AA63">
        <v>38057732.899999991</v>
      </c>
      <c r="AB63">
        <v>38605527.079999998</v>
      </c>
      <c r="AC63">
        <v>36904430.460000001</v>
      </c>
      <c r="AD63">
        <v>36386863.520000003</v>
      </c>
      <c r="AE63">
        <v>36238429.130000003</v>
      </c>
      <c r="AF63">
        <v>36425109.32</v>
      </c>
      <c r="AG63">
        <v>36026638.829999998</v>
      </c>
      <c r="AH63">
        <v>38325289.469999999</v>
      </c>
      <c r="AI63">
        <v>36985481.829999998</v>
      </c>
      <c r="AJ63">
        <v>37223792.399999999</v>
      </c>
      <c r="AK63">
        <v>34772615.969999999</v>
      </c>
      <c r="AL63">
        <v>33696475.599999987</v>
      </c>
      <c r="AM63">
        <v>29432052.68</v>
      </c>
      <c r="AN63">
        <v>1546939.82</v>
      </c>
    </row>
    <row r="64" spans="1:40" x14ac:dyDescent="0.35">
      <c r="A64" t="s">
        <v>35</v>
      </c>
      <c r="B64">
        <v>1.553438400190968</v>
      </c>
      <c r="C64">
        <v>1.5575349817908859</v>
      </c>
      <c r="D64">
        <v>1.5575822331387941</v>
      </c>
      <c r="E64">
        <v>1.5885307055531499</v>
      </c>
      <c r="F64">
        <v>1.551436844280994</v>
      </c>
      <c r="G64">
        <v>1.5663064931941539</v>
      </c>
      <c r="H64">
        <v>1.554285922947539</v>
      </c>
      <c r="I64">
        <v>1.541194394635957</v>
      </c>
      <c r="J64">
        <v>1.5594701549148999</v>
      </c>
      <c r="K64">
        <v>1.5692201321740951</v>
      </c>
      <c r="L64">
        <v>1.5751298519097441</v>
      </c>
      <c r="M64">
        <v>1.5578699328581249</v>
      </c>
      <c r="N64">
        <v>1.5574736186249469</v>
      </c>
      <c r="O64">
        <v>1.5587746796415589</v>
      </c>
      <c r="P64">
        <v>1.5782273271198879</v>
      </c>
      <c r="Q64">
        <v>1.554082129594615</v>
      </c>
      <c r="R64">
        <v>1.550127366930508</v>
      </c>
      <c r="S64">
        <v>1.553115847141125</v>
      </c>
      <c r="T64">
        <v>1.523933546203204</v>
      </c>
      <c r="U64">
        <v>1.501149137182745</v>
      </c>
      <c r="V64">
        <v>1.5095386382968261</v>
      </c>
      <c r="W64">
        <v>1.511536591486452</v>
      </c>
      <c r="X64">
        <v>1.512181411191633</v>
      </c>
      <c r="Y64">
        <v>1.510402609476857</v>
      </c>
      <c r="Z64">
        <v>1.5106768176813929</v>
      </c>
      <c r="AA64">
        <v>1.470143089885531</v>
      </c>
      <c r="AB64">
        <v>1.4922913181630251</v>
      </c>
      <c r="AC64">
        <v>1.503406418441708</v>
      </c>
      <c r="AD64">
        <v>1.5160313569906181</v>
      </c>
      <c r="AE64">
        <v>1.4916754674116279</v>
      </c>
      <c r="AF64">
        <v>1.5271647305410221</v>
      </c>
      <c r="AG64">
        <v>1.563028266905417</v>
      </c>
      <c r="AH64">
        <v>1.5013656396951029</v>
      </c>
      <c r="AI64">
        <v>1.521152304048162</v>
      </c>
      <c r="AJ64">
        <v>1.531878730834348</v>
      </c>
      <c r="AK64">
        <v>1.551262999853505</v>
      </c>
      <c r="AL64">
        <v>1.5569735183699049</v>
      </c>
      <c r="AM64">
        <v>1.561415266920321</v>
      </c>
      <c r="AN64">
        <v>1.6140673194835491</v>
      </c>
    </row>
    <row r="65" spans="1:40" x14ac:dyDescent="0.35">
      <c r="A65" t="s">
        <v>36</v>
      </c>
      <c r="B65">
        <v>0.2418757586538198</v>
      </c>
      <c r="C65">
        <v>0.2491006819704594</v>
      </c>
      <c r="D65">
        <v>0.24902974387993171</v>
      </c>
      <c r="E65">
        <v>0.24838433326238629</v>
      </c>
      <c r="F65">
        <v>0.24654731884029521</v>
      </c>
      <c r="G65">
        <v>0.24617883000667351</v>
      </c>
      <c r="H65">
        <v>0.2435909467110681</v>
      </c>
      <c r="I65">
        <v>0.24388029035042541</v>
      </c>
      <c r="J65">
        <v>0.24834480946343271</v>
      </c>
      <c r="K65">
        <v>0.24501153145543089</v>
      </c>
      <c r="L65">
        <v>0.2424586682836298</v>
      </c>
      <c r="M65">
        <v>0.2421934678610374</v>
      </c>
      <c r="N65">
        <v>0.24482364057003381</v>
      </c>
      <c r="O65">
        <v>0.24348168388822389</v>
      </c>
      <c r="P65">
        <v>0.24434030380491359</v>
      </c>
      <c r="Q65">
        <v>0.24440135533700111</v>
      </c>
      <c r="R65">
        <v>0.24391345563641251</v>
      </c>
      <c r="S65">
        <v>0.24335552255135651</v>
      </c>
      <c r="T65">
        <v>0.24344752958119201</v>
      </c>
      <c r="U65">
        <v>0.24168680166389489</v>
      </c>
      <c r="V65">
        <v>0.24429584930480189</v>
      </c>
      <c r="W65">
        <v>0.2445092169937251</v>
      </c>
      <c r="X65">
        <v>0.24198377833728271</v>
      </c>
      <c r="Y65">
        <v>0.24300697387025161</v>
      </c>
      <c r="Z65">
        <v>0.24369525007432569</v>
      </c>
      <c r="AA65">
        <v>0.24401862765243701</v>
      </c>
      <c r="AB65">
        <v>0.2434876766113564</v>
      </c>
      <c r="AC65">
        <v>0.24141990477522191</v>
      </c>
      <c r="AD65">
        <v>0.24037917893902599</v>
      </c>
      <c r="AE65">
        <v>0.24066513415925209</v>
      </c>
      <c r="AF65">
        <v>0.24081828154639559</v>
      </c>
      <c r="AG65">
        <v>0.24022024161908201</v>
      </c>
      <c r="AH65">
        <v>0.23920218016957359</v>
      </c>
      <c r="AI65">
        <v>0.23941081075279311</v>
      </c>
      <c r="AJ65">
        <v>0.24107874554845191</v>
      </c>
      <c r="AK65">
        <v>0.24087977311351541</v>
      </c>
      <c r="AL65">
        <v>0.24188588505754591</v>
      </c>
      <c r="AM65">
        <v>0.23991927646502159</v>
      </c>
      <c r="AN65">
        <v>0.24812676310963411</v>
      </c>
    </row>
    <row r="67" spans="1:40" x14ac:dyDescent="0.35">
      <c r="A67" t="s">
        <v>42</v>
      </c>
      <c r="B67" t="s">
        <v>129</v>
      </c>
      <c r="C67" t="s">
        <v>130</v>
      </c>
      <c r="D67" t="s">
        <v>131</v>
      </c>
      <c r="E67" t="s">
        <v>132</v>
      </c>
      <c r="F67" t="s">
        <v>133</v>
      </c>
      <c r="G67" t="s">
        <v>134</v>
      </c>
      <c r="H67" t="s">
        <v>135</v>
      </c>
      <c r="I67" t="s">
        <v>136</v>
      </c>
      <c r="J67" t="s">
        <v>137</v>
      </c>
      <c r="K67" t="s">
        <v>138</v>
      </c>
      <c r="L67" t="s">
        <v>139</v>
      </c>
      <c r="M67" t="s">
        <v>140</v>
      </c>
      <c r="N67" t="s">
        <v>141</v>
      </c>
      <c r="O67" t="s">
        <v>142</v>
      </c>
      <c r="P67" t="s">
        <v>143</v>
      </c>
      <c r="Q67" t="s">
        <v>144</v>
      </c>
      <c r="R67" t="s">
        <v>145</v>
      </c>
      <c r="S67" t="s">
        <v>146</v>
      </c>
      <c r="T67" t="s">
        <v>147</v>
      </c>
      <c r="U67" t="s">
        <v>148</v>
      </c>
      <c r="V67" t="s">
        <v>149</v>
      </c>
      <c r="W67" t="s">
        <v>150</v>
      </c>
      <c r="X67" t="s">
        <v>151</v>
      </c>
      <c r="Y67" t="s">
        <v>152</v>
      </c>
      <c r="Z67" t="s">
        <v>153</v>
      </c>
      <c r="AA67" t="s">
        <v>154</v>
      </c>
      <c r="AB67" t="s">
        <v>155</v>
      </c>
      <c r="AC67" t="s">
        <v>156</v>
      </c>
      <c r="AD67" t="s">
        <v>157</v>
      </c>
      <c r="AE67" t="s">
        <v>158</v>
      </c>
      <c r="AF67" t="s">
        <v>159</v>
      </c>
      <c r="AG67" t="s">
        <v>160</v>
      </c>
      <c r="AH67" t="s">
        <v>161</v>
      </c>
      <c r="AI67" t="s">
        <v>162</v>
      </c>
      <c r="AJ67" t="s">
        <v>163</v>
      </c>
      <c r="AK67" t="s">
        <v>164</v>
      </c>
      <c r="AL67" t="s">
        <v>165</v>
      </c>
      <c r="AM67" t="s">
        <v>166</v>
      </c>
      <c r="AN67" t="s">
        <v>167</v>
      </c>
    </row>
    <row r="68" spans="1:40" x14ac:dyDescent="0.35">
      <c r="A68" t="s">
        <v>28</v>
      </c>
      <c r="B68">
        <v>141.84990769751039</v>
      </c>
      <c r="C68">
        <v>141.71912698506969</v>
      </c>
      <c r="D68">
        <v>142.03766384774201</v>
      </c>
      <c r="E68">
        <v>141.96784706467841</v>
      </c>
      <c r="F68">
        <v>141.46482601044741</v>
      </c>
      <c r="G68">
        <v>141.42181478328899</v>
      </c>
      <c r="H68">
        <v>141.76867534344569</v>
      </c>
      <c r="I68">
        <v>141.47677957292021</v>
      </c>
      <c r="J68">
        <v>141.40443497989219</v>
      </c>
      <c r="K68">
        <v>141.50256153569649</v>
      </c>
      <c r="L68">
        <v>141.7511967683169</v>
      </c>
      <c r="M68">
        <v>141.79077758279291</v>
      </c>
      <c r="N68">
        <v>141.87015642271379</v>
      </c>
      <c r="O68">
        <v>141.97337106331881</v>
      </c>
      <c r="P68">
        <v>141.9524355882173</v>
      </c>
      <c r="Q68">
        <v>141.85457393869891</v>
      </c>
      <c r="R68">
        <v>141.91005718470419</v>
      </c>
      <c r="S68">
        <v>142.1469890355917</v>
      </c>
      <c r="T68">
        <v>141.7445434967338</v>
      </c>
      <c r="U68">
        <v>141.91584398743231</v>
      </c>
      <c r="V68">
        <v>142.04662280001421</v>
      </c>
      <c r="W68">
        <v>141.8213674741358</v>
      </c>
      <c r="X68">
        <v>142.43612351085221</v>
      </c>
      <c r="Y68">
        <v>142.44000700908731</v>
      </c>
      <c r="Z68">
        <v>142.38777835806519</v>
      </c>
      <c r="AA68">
        <v>142.05009039131659</v>
      </c>
      <c r="AB68">
        <v>142.49189872496819</v>
      </c>
      <c r="AC68">
        <v>142.0096086335522</v>
      </c>
      <c r="AD68">
        <v>142.11379949209541</v>
      </c>
      <c r="AE68">
        <v>142.30053120287741</v>
      </c>
      <c r="AF68">
        <v>142.1975644815341</v>
      </c>
      <c r="AG68">
        <v>142.57504314405591</v>
      </c>
      <c r="AH68">
        <v>142.63599415248831</v>
      </c>
      <c r="AI68">
        <v>142.294302420778</v>
      </c>
      <c r="AJ68">
        <v>142.820496183138</v>
      </c>
      <c r="AK68">
        <v>142.6865958531688</v>
      </c>
      <c r="AL68">
        <v>142.22599806774281</v>
      </c>
      <c r="AM68">
        <v>142.8533982403699</v>
      </c>
      <c r="AN68">
        <v>146.90317669693769</v>
      </c>
    </row>
    <row r="69" spans="1:40" x14ac:dyDescent="0.35">
      <c r="A69" t="s">
        <v>29</v>
      </c>
      <c r="B69">
        <v>2.9419683998245358</v>
      </c>
      <c r="C69">
        <v>3.0724427897245792</v>
      </c>
      <c r="D69">
        <v>2.926726260658786</v>
      </c>
      <c r="E69">
        <v>3.0825585362034218</v>
      </c>
      <c r="F69">
        <v>2.778147219694449</v>
      </c>
      <c r="G69">
        <v>2.6880856795849768</v>
      </c>
      <c r="H69">
        <v>3.001326323548692</v>
      </c>
      <c r="I69">
        <v>2.863186489972287</v>
      </c>
      <c r="J69">
        <v>2.2058147384103179</v>
      </c>
      <c r="K69">
        <v>2.6788333215922</v>
      </c>
      <c r="L69">
        <v>2.7139132189972108</v>
      </c>
      <c r="M69">
        <v>2.5560608421143738</v>
      </c>
      <c r="N69">
        <v>2.801952225628324</v>
      </c>
      <c r="O69">
        <v>2.93394711556817</v>
      </c>
      <c r="P69">
        <v>2.9057707422014629</v>
      </c>
      <c r="Q69">
        <v>3.0465155529738421</v>
      </c>
      <c r="R69">
        <v>3.11428459109705</v>
      </c>
      <c r="S69">
        <v>3.1193706329423159</v>
      </c>
      <c r="T69">
        <v>3.2107012590643751</v>
      </c>
      <c r="U69">
        <v>2.854405114953753</v>
      </c>
      <c r="V69">
        <v>2.8967720016754859</v>
      </c>
      <c r="W69">
        <v>3.1352610730196999</v>
      </c>
      <c r="X69">
        <v>2.8396186845346332</v>
      </c>
      <c r="Y69">
        <v>3.1468853997010982</v>
      </c>
      <c r="Z69">
        <v>3.112324147445269</v>
      </c>
      <c r="AA69">
        <v>3.1032906292031992</v>
      </c>
      <c r="AB69">
        <v>3.2619737791952979</v>
      </c>
      <c r="AC69">
        <v>3.1551532849189781</v>
      </c>
      <c r="AD69">
        <v>2.8790150283558069</v>
      </c>
      <c r="AE69">
        <v>3.037464860707785</v>
      </c>
      <c r="AF69">
        <v>2.994067679657948</v>
      </c>
      <c r="AG69">
        <v>3.120357778338426</v>
      </c>
      <c r="AH69">
        <v>3.267213377825982</v>
      </c>
      <c r="AI69">
        <v>3.1992746989921699</v>
      </c>
      <c r="AJ69">
        <v>3.1763765075867521</v>
      </c>
      <c r="AK69">
        <v>3.3263484338707818</v>
      </c>
      <c r="AL69">
        <v>3.3497879203882408</v>
      </c>
      <c r="AM69">
        <v>3.5344275847983448</v>
      </c>
      <c r="AN69">
        <v>4.0586017203019944</v>
      </c>
    </row>
    <row r="70" spans="1:40" x14ac:dyDescent="0.35">
      <c r="A70" t="s">
        <v>30</v>
      </c>
      <c r="B70">
        <v>4.4023319706063084</v>
      </c>
      <c r="C70">
        <v>3.7061490947568432</v>
      </c>
      <c r="D70">
        <v>2.639989824623953</v>
      </c>
      <c r="E70">
        <v>2.7891330080484411</v>
      </c>
      <c r="F70">
        <v>2.9697154219898749</v>
      </c>
      <c r="G70">
        <v>2.4140859767610858</v>
      </c>
      <c r="H70">
        <v>2.4238151050557808</v>
      </c>
      <c r="I70">
        <v>2.2418649253017091</v>
      </c>
      <c r="J70">
        <v>1.8957166454739429</v>
      </c>
      <c r="K70">
        <v>1.9094533061895831</v>
      </c>
      <c r="L70">
        <v>2.3870867207826461</v>
      </c>
      <c r="M70">
        <v>2.3129061883985771</v>
      </c>
      <c r="N70">
        <v>2.4740773527937212</v>
      </c>
      <c r="O70">
        <v>2.4861737877877719</v>
      </c>
      <c r="P70">
        <v>2.047982934057293</v>
      </c>
      <c r="Q70">
        <v>3.3377394566572129</v>
      </c>
      <c r="R70">
        <v>3.064961858548183</v>
      </c>
      <c r="S70">
        <v>3.1433749111166529</v>
      </c>
      <c r="T70">
        <v>3.5346610679819008</v>
      </c>
      <c r="U70">
        <v>3.4438664648164461</v>
      </c>
      <c r="V70">
        <v>3.2149820512168339</v>
      </c>
      <c r="W70">
        <v>3.683354436211673</v>
      </c>
      <c r="X70">
        <v>2.7587432213056822</v>
      </c>
      <c r="Y70">
        <v>3.2133307137328342</v>
      </c>
      <c r="Z70">
        <v>2.9984750810931091</v>
      </c>
      <c r="AA70">
        <v>2.286725616738404</v>
      </c>
      <c r="AB70">
        <v>2.7211020477446919</v>
      </c>
      <c r="AC70">
        <v>3.3204863744799731</v>
      </c>
      <c r="AD70">
        <v>2.98808476302082</v>
      </c>
      <c r="AE70">
        <v>2.8742272701546558</v>
      </c>
      <c r="AF70">
        <v>2.9661999134245178</v>
      </c>
      <c r="AG70">
        <v>3.1862558423577632</v>
      </c>
      <c r="AH70">
        <v>2.9813948176608318</v>
      </c>
      <c r="AI70">
        <v>3.2522843259910541</v>
      </c>
      <c r="AJ70">
        <v>3.341802101156337</v>
      </c>
      <c r="AK70">
        <v>4.3183424759737106</v>
      </c>
      <c r="AL70">
        <v>3.139891842969742</v>
      </c>
      <c r="AM70">
        <v>3.3310072143235541</v>
      </c>
      <c r="AN70">
        <v>-3.676420219652611</v>
      </c>
    </row>
    <row r="71" spans="1:40" x14ac:dyDescent="0.35">
      <c r="A71" t="s">
        <v>31</v>
      </c>
      <c r="B71">
        <v>4.5224086803773629</v>
      </c>
      <c r="C71">
        <v>4.4858861293752366</v>
      </c>
      <c r="D71">
        <v>4.1207983784710187</v>
      </c>
      <c r="E71">
        <v>4.0554620807827408</v>
      </c>
      <c r="F71">
        <v>4.1820156487741427</v>
      </c>
      <c r="G71">
        <v>4.0746238751228772</v>
      </c>
      <c r="H71">
        <v>3.9195609445608062</v>
      </c>
      <c r="I71">
        <v>4.1660984843782582</v>
      </c>
      <c r="J71">
        <v>4.4109425428811866</v>
      </c>
      <c r="K71">
        <v>3.9040390799622449</v>
      </c>
      <c r="L71">
        <v>4.1267131395745231</v>
      </c>
      <c r="M71">
        <v>4.0343303233604226</v>
      </c>
      <c r="N71">
        <v>4.1407186308428292</v>
      </c>
      <c r="O71">
        <v>4.0202434682836978</v>
      </c>
      <c r="P71">
        <v>3.8540170571372432</v>
      </c>
      <c r="Q71">
        <v>4.3796902991777236</v>
      </c>
      <c r="R71">
        <v>4.4912342840809396</v>
      </c>
      <c r="S71">
        <v>4.6583017111342073</v>
      </c>
      <c r="T71">
        <v>4.4024009996164306</v>
      </c>
      <c r="U71">
        <v>4.6440159567804482</v>
      </c>
      <c r="V71">
        <v>4.3259007881358746</v>
      </c>
      <c r="W71">
        <v>4.3924237457902722</v>
      </c>
      <c r="X71">
        <v>4.503816634315152</v>
      </c>
      <c r="Y71">
        <v>4.1931260379064614</v>
      </c>
      <c r="Z71">
        <v>4.0647400760927548</v>
      </c>
      <c r="AA71">
        <v>4.0513851241761376</v>
      </c>
      <c r="AB71">
        <v>4.3758135622931942</v>
      </c>
      <c r="AC71">
        <v>4.2445701081956591</v>
      </c>
      <c r="AD71">
        <v>4.0187668316106899</v>
      </c>
      <c r="AE71">
        <v>3.9876754719980978</v>
      </c>
      <c r="AF71">
        <v>4.1147896402287039</v>
      </c>
      <c r="AG71">
        <v>4.3037669669753127</v>
      </c>
      <c r="AH71">
        <v>4.2111483734112323</v>
      </c>
      <c r="AI71">
        <v>4.5020101020959942</v>
      </c>
      <c r="AJ71">
        <v>4.0744603594677642</v>
      </c>
      <c r="AK71">
        <v>4.5896281896832658</v>
      </c>
      <c r="AL71">
        <v>3.9262166319509988</v>
      </c>
      <c r="AM71">
        <v>4.0130020723460671</v>
      </c>
      <c r="AN71">
        <v>2.6031926698027261</v>
      </c>
    </row>
    <row r="72" spans="1:40" x14ac:dyDescent="0.35">
      <c r="A72" t="s">
        <v>32</v>
      </c>
      <c r="B72">
        <v>0.16552974940101539</v>
      </c>
      <c r="C72">
        <v>3.4825341332514748E-2</v>
      </c>
      <c r="D72">
        <v>-3.3757832898743509E-3</v>
      </c>
      <c r="E72">
        <v>1.9970234244528678E-2</v>
      </c>
      <c r="F72">
        <v>9.6886462961740805E-2</v>
      </c>
      <c r="G72">
        <v>-0.15849131727913321</v>
      </c>
      <c r="H72">
        <v>-2.2224897061793709E-2</v>
      </c>
      <c r="I72">
        <v>0.12555554496749749</v>
      </c>
      <c r="J72">
        <v>-1.0735761309174431E-2</v>
      </c>
      <c r="K72">
        <v>3.6311922628489923E-2</v>
      </c>
      <c r="L72">
        <v>0.15334713185100771</v>
      </c>
      <c r="M72">
        <v>0.16020264797512379</v>
      </c>
      <c r="N72">
        <v>7.3496005310222726E-2</v>
      </c>
      <c r="O72">
        <v>0.17186094819371081</v>
      </c>
      <c r="P72">
        <v>0.18473443740664691</v>
      </c>
      <c r="Q72">
        <v>0.24145845582013439</v>
      </c>
      <c r="R72">
        <v>0.34774301610556552</v>
      </c>
      <c r="S72">
        <v>0.40001241280905181</v>
      </c>
      <c r="T72">
        <v>0.36395159289009887</v>
      </c>
      <c r="U72">
        <v>0.3095417711994366</v>
      </c>
      <c r="V72">
        <v>0.36712006376130679</v>
      </c>
      <c r="W72">
        <v>0.30039959199326832</v>
      </c>
      <c r="X72">
        <v>0.29394136333890197</v>
      </c>
      <c r="Y72">
        <v>0.61383746424372043</v>
      </c>
      <c r="Z72">
        <v>0.41612440281377389</v>
      </c>
      <c r="AA72">
        <v>0.35133695950962762</v>
      </c>
      <c r="AB72">
        <v>0.46734503489383311</v>
      </c>
      <c r="AC72">
        <v>0.55246725628935456</v>
      </c>
      <c r="AD72">
        <v>0.33448053809158268</v>
      </c>
      <c r="AE72">
        <v>0.48318110727417862</v>
      </c>
      <c r="AF72">
        <v>0.37692481016376472</v>
      </c>
      <c r="AG72">
        <v>0.1184286838843239</v>
      </c>
      <c r="AH72">
        <v>0.1039408449674286</v>
      </c>
      <c r="AI72">
        <v>0.33576087105937008</v>
      </c>
      <c r="AJ72">
        <v>0.16391302223881021</v>
      </c>
      <c r="AK72">
        <v>0.44012875243397431</v>
      </c>
      <c r="AL72">
        <v>0.16079635657134969</v>
      </c>
      <c r="AM72">
        <v>0.43677429512817711</v>
      </c>
      <c r="AN72">
        <v>-1.154227764357868</v>
      </c>
    </row>
    <row r="73" spans="1:40" x14ac:dyDescent="0.35">
      <c r="A73" t="s">
        <v>33</v>
      </c>
      <c r="B73">
        <v>153.88214649771959</v>
      </c>
      <c r="C73">
        <v>153.0184303402589</v>
      </c>
      <c r="D73">
        <v>151.72180252820581</v>
      </c>
      <c r="E73">
        <v>151.9149709239575</v>
      </c>
      <c r="F73">
        <v>151.49159076386749</v>
      </c>
      <c r="G73">
        <v>150.44011899747881</v>
      </c>
      <c r="H73">
        <v>151.09115281954919</v>
      </c>
      <c r="I73">
        <v>150.87348501753999</v>
      </c>
      <c r="J73">
        <v>149.9061731453485</v>
      </c>
      <c r="K73">
        <v>150.03119916606909</v>
      </c>
      <c r="L73">
        <v>151.13225697952231</v>
      </c>
      <c r="M73">
        <v>150.85427758464141</v>
      </c>
      <c r="N73">
        <v>151.3604006372889</v>
      </c>
      <c r="O73">
        <v>151.58559638315219</v>
      </c>
      <c r="P73">
        <v>150.94494075901989</v>
      </c>
      <c r="Q73">
        <v>152.85997770332779</v>
      </c>
      <c r="R73">
        <v>152.92828093453591</v>
      </c>
      <c r="S73">
        <v>153.46804870359401</v>
      </c>
      <c r="T73">
        <v>153.25625841628661</v>
      </c>
      <c r="U73">
        <v>153.16767329518231</v>
      </c>
      <c r="V73">
        <v>152.85139770480379</v>
      </c>
      <c r="W73">
        <v>153.33280632115071</v>
      </c>
      <c r="X73">
        <v>152.83224341434649</v>
      </c>
      <c r="Y73">
        <v>153.60718662467141</v>
      </c>
      <c r="Z73">
        <v>152.97944206551011</v>
      </c>
      <c r="AA73">
        <v>151.842828720944</v>
      </c>
      <c r="AB73">
        <v>153.31813314909519</v>
      </c>
      <c r="AC73">
        <v>153.2822856574362</v>
      </c>
      <c r="AD73">
        <v>152.33414665317429</v>
      </c>
      <c r="AE73">
        <v>152.68307991301211</v>
      </c>
      <c r="AF73">
        <v>152.64954652500899</v>
      </c>
      <c r="AG73">
        <v>153.30385241561169</v>
      </c>
      <c r="AH73">
        <v>153.19969156635369</v>
      </c>
      <c r="AI73">
        <v>153.58363241891661</v>
      </c>
      <c r="AJ73">
        <v>153.57704817358771</v>
      </c>
      <c r="AK73">
        <v>155.3610437051305</v>
      </c>
      <c r="AL73">
        <v>152.80269081962311</v>
      </c>
      <c r="AM73">
        <v>154.168609406966</v>
      </c>
      <c r="AN73">
        <v>148.73432310303201</v>
      </c>
    </row>
    <row r="74" spans="1:40" x14ac:dyDescent="0.35">
      <c r="A74" t="s">
        <v>34</v>
      </c>
      <c r="B74">
        <v>17536399.800000001</v>
      </c>
      <c r="C74">
        <v>20222135.899999999</v>
      </c>
      <c r="D74">
        <v>19333967.43</v>
      </c>
      <c r="E74">
        <v>20695514.030000001</v>
      </c>
      <c r="F74">
        <v>23884081.16</v>
      </c>
      <c r="G74">
        <v>25176186.559999999</v>
      </c>
      <c r="H74">
        <v>27660444.34</v>
      </c>
      <c r="I74">
        <v>35653788.619999997</v>
      </c>
      <c r="J74">
        <v>56757431.560000002</v>
      </c>
      <c r="K74">
        <v>42213475.450000003</v>
      </c>
      <c r="L74">
        <v>40176462.890000001</v>
      </c>
      <c r="M74">
        <v>34236443.200000003</v>
      </c>
      <c r="N74">
        <v>36095003.509999998</v>
      </c>
      <c r="O74">
        <v>35738652.18</v>
      </c>
      <c r="P74">
        <v>31618259.010000002</v>
      </c>
      <c r="Q74">
        <v>33396056.84</v>
      </c>
      <c r="R74">
        <v>33772457.060000002</v>
      </c>
      <c r="S74">
        <v>34310799.289999999</v>
      </c>
      <c r="T74">
        <v>34165168.780000001</v>
      </c>
      <c r="U74">
        <v>29364414.960000001</v>
      </c>
      <c r="V74">
        <v>30875007.91</v>
      </c>
      <c r="W74">
        <v>31731981.379999999</v>
      </c>
      <c r="X74">
        <v>28074967.25</v>
      </c>
      <c r="Y74">
        <v>27458738.57</v>
      </c>
      <c r="Z74">
        <v>28117085.57</v>
      </c>
      <c r="AA74">
        <v>28258155.75</v>
      </c>
      <c r="AB74">
        <v>27679729.27</v>
      </c>
      <c r="AC74">
        <v>27977893.370000001</v>
      </c>
      <c r="AD74">
        <v>27092076.670000002</v>
      </c>
      <c r="AE74">
        <v>27886651.449999999</v>
      </c>
      <c r="AF74">
        <v>26664398.280000001</v>
      </c>
      <c r="AG74">
        <v>23950981.890000001</v>
      </c>
      <c r="AH74">
        <v>22943924.649999999</v>
      </c>
      <c r="AI74">
        <v>22668824.550000001</v>
      </c>
      <c r="AJ74">
        <v>22722069.789999999</v>
      </c>
      <c r="AK74">
        <v>19897719.530000001</v>
      </c>
      <c r="AL74">
        <v>16653941.609999999</v>
      </c>
      <c r="AM74">
        <v>8630393.5500000007</v>
      </c>
      <c r="AN74">
        <v>236568.05</v>
      </c>
    </row>
    <row r="75" spans="1:40" x14ac:dyDescent="0.35">
      <c r="A75" t="s">
        <v>35</v>
      </c>
      <c r="B75">
        <v>1.4833640630330669</v>
      </c>
      <c r="C75">
        <v>1.477848847668086</v>
      </c>
      <c r="D75">
        <v>1.4932192782164451</v>
      </c>
      <c r="E75">
        <v>1.513177505429012</v>
      </c>
      <c r="F75">
        <v>1.493979150168375</v>
      </c>
      <c r="G75">
        <v>1.492958905701868</v>
      </c>
      <c r="H75">
        <v>1.504422700825877</v>
      </c>
      <c r="I75">
        <v>1.4935893856532969</v>
      </c>
      <c r="J75">
        <v>1.4745700627804941</v>
      </c>
      <c r="K75">
        <v>1.5091383439352299</v>
      </c>
      <c r="L75">
        <v>1.496106200320706</v>
      </c>
      <c r="M75">
        <v>1.5033295749836799</v>
      </c>
      <c r="N75">
        <v>1.499681085589015</v>
      </c>
      <c r="O75">
        <v>1.5126674531009741</v>
      </c>
      <c r="P75">
        <v>1.5190176206361741</v>
      </c>
      <c r="Q75">
        <v>1.49494058364397</v>
      </c>
      <c r="R75">
        <v>1.49196639289804</v>
      </c>
      <c r="S75">
        <v>1.4762559831140749</v>
      </c>
      <c r="T75">
        <v>1.484921375844162</v>
      </c>
      <c r="U75">
        <v>1.480507145192085</v>
      </c>
      <c r="V75">
        <v>1.490548827900378</v>
      </c>
      <c r="W75">
        <v>1.4968285897411271</v>
      </c>
      <c r="X75">
        <v>1.489562412192005</v>
      </c>
      <c r="Y75">
        <v>1.5122899715468809</v>
      </c>
      <c r="Z75">
        <v>1.5212770910566391</v>
      </c>
      <c r="AA75">
        <v>1.512417275028854</v>
      </c>
      <c r="AB75">
        <v>1.500157049979753</v>
      </c>
      <c r="AC75">
        <v>1.506287267399973</v>
      </c>
      <c r="AD75">
        <v>1.531467200921222</v>
      </c>
      <c r="AE75">
        <v>1.520286793656578</v>
      </c>
      <c r="AF75">
        <v>1.524608516020006</v>
      </c>
      <c r="AG75">
        <v>1.516222675980303</v>
      </c>
      <c r="AH75">
        <v>1.517510303404227</v>
      </c>
      <c r="AI75">
        <v>1.5032649128440669</v>
      </c>
      <c r="AJ75">
        <v>1.5257246231930659</v>
      </c>
      <c r="AK75">
        <v>1.4832324719172121</v>
      </c>
      <c r="AL75">
        <v>1.5366224811635629</v>
      </c>
      <c r="AM75">
        <v>1.5109087673974111</v>
      </c>
      <c r="AN75">
        <v>1.682379016291732</v>
      </c>
    </row>
    <row r="76" spans="1:40" x14ac:dyDescent="0.35">
      <c r="A76" t="s">
        <v>36</v>
      </c>
      <c r="B76">
        <v>0.24569930663892589</v>
      </c>
      <c r="C76">
        <v>0.2471338221143593</v>
      </c>
      <c r="D76">
        <v>0.24751177790072229</v>
      </c>
      <c r="E76">
        <v>0.24761850383684331</v>
      </c>
      <c r="F76">
        <v>0.246196273543584</v>
      </c>
      <c r="G76">
        <v>0.24951424951596329</v>
      </c>
      <c r="H76">
        <v>0.24763550216171251</v>
      </c>
      <c r="I76">
        <v>0.2458391402483722</v>
      </c>
      <c r="J76">
        <v>0.24770797630813371</v>
      </c>
      <c r="K76">
        <v>0.24692152409460039</v>
      </c>
      <c r="L76">
        <v>0.24529711758356329</v>
      </c>
      <c r="M76">
        <v>0.24524143049483019</v>
      </c>
      <c r="N76">
        <v>0.24666382892527811</v>
      </c>
      <c r="O76">
        <v>0.24538009180244361</v>
      </c>
      <c r="P76">
        <v>0.2450148386140695</v>
      </c>
      <c r="Q76">
        <v>0.24472019023909591</v>
      </c>
      <c r="R76">
        <v>0.24328601421539561</v>
      </c>
      <c r="S76">
        <v>0.24243568568670321</v>
      </c>
      <c r="T76">
        <v>0.24264487820826741</v>
      </c>
      <c r="U76">
        <v>0.24385660090786021</v>
      </c>
      <c r="V76">
        <v>0.24263209406850639</v>
      </c>
      <c r="W76">
        <v>0.2439844311963667</v>
      </c>
      <c r="X76">
        <v>0.24413407801079451</v>
      </c>
      <c r="Y76">
        <v>0.23954715826182979</v>
      </c>
      <c r="Z76">
        <v>0.24231883855329461</v>
      </c>
      <c r="AA76">
        <v>0.24298781104533521</v>
      </c>
      <c r="AB76">
        <v>0.24164861081489911</v>
      </c>
      <c r="AC76">
        <v>0.2403732000521954</v>
      </c>
      <c r="AD76">
        <v>0.24368590216011671</v>
      </c>
      <c r="AE76">
        <v>0.2411157691450258</v>
      </c>
      <c r="AF76">
        <v>0.24321247633171789</v>
      </c>
      <c r="AG76">
        <v>0.2470519802947837</v>
      </c>
      <c r="AH76">
        <v>0.24708824990379319</v>
      </c>
      <c r="AI76">
        <v>0.24397259493148271</v>
      </c>
      <c r="AJ76">
        <v>0.24610844013079669</v>
      </c>
      <c r="AK76">
        <v>0.2420115649561575</v>
      </c>
      <c r="AL76">
        <v>0.24608646023756539</v>
      </c>
      <c r="AM76">
        <v>0.24161557761592459</v>
      </c>
      <c r="AN76">
        <v>0.26648896806225519</v>
      </c>
    </row>
    <row r="78" spans="1:40" x14ac:dyDescent="0.35">
      <c r="A78" t="s">
        <v>43</v>
      </c>
      <c r="B78" t="s">
        <v>129</v>
      </c>
      <c r="C78" t="s">
        <v>130</v>
      </c>
      <c r="D78" t="s">
        <v>131</v>
      </c>
      <c r="E78" t="s">
        <v>132</v>
      </c>
      <c r="F78" t="s">
        <v>133</v>
      </c>
      <c r="G78" t="s">
        <v>134</v>
      </c>
      <c r="H78" t="s">
        <v>135</v>
      </c>
      <c r="I78" t="s">
        <v>136</v>
      </c>
      <c r="J78" t="s">
        <v>137</v>
      </c>
      <c r="K78" t="s">
        <v>138</v>
      </c>
      <c r="L78" t="s">
        <v>139</v>
      </c>
      <c r="M78" t="s">
        <v>140</v>
      </c>
      <c r="N78" t="s">
        <v>141</v>
      </c>
      <c r="O78" t="s">
        <v>142</v>
      </c>
      <c r="P78" t="s">
        <v>143</v>
      </c>
      <c r="Q78" t="s">
        <v>144</v>
      </c>
      <c r="R78" t="s">
        <v>145</v>
      </c>
      <c r="S78" t="s">
        <v>146</v>
      </c>
      <c r="T78" t="s">
        <v>147</v>
      </c>
      <c r="U78" t="s">
        <v>148</v>
      </c>
      <c r="V78" t="s">
        <v>149</v>
      </c>
      <c r="W78" t="s">
        <v>150</v>
      </c>
      <c r="X78" t="s">
        <v>151</v>
      </c>
      <c r="Y78" t="s">
        <v>152</v>
      </c>
      <c r="Z78" t="s">
        <v>153</v>
      </c>
      <c r="AA78" t="s">
        <v>154</v>
      </c>
      <c r="AB78" t="s">
        <v>155</v>
      </c>
      <c r="AC78" t="s">
        <v>156</v>
      </c>
      <c r="AD78" t="s">
        <v>157</v>
      </c>
      <c r="AE78" t="s">
        <v>158</v>
      </c>
      <c r="AF78" t="s">
        <v>159</v>
      </c>
      <c r="AG78" t="s">
        <v>160</v>
      </c>
      <c r="AH78" t="s">
        <v>161</v>
      </c>
      <c r="AI78" t="s">
        <v>162</v>
      </c>
      <c r="AJ78" t="s">
        <v>163</v>
      </c>
      <c r="AK78" t="s">
        <v>164</v>
      </c>
      <c r="AL78" t="s">
        <v>165</v>
      </c>
      <c r="AM78" t="s">
        <v>166</v>
      </c>
      <c r="AN78" t="s">
        <v>167</v>
      </c>
    </row>
    <row r="79" spans="1:40" x14ac:dyDescent="0.35">
      <c r="A79" t="s">
        <v>28</v>
      </c>
      <c r="B79">
        <v>141.3036403805167</v>
      </c>
      <c r="C79">
        <v>141.1594340538839</v>
      </c>
      <c r="D79">
        <v>141.42629973919071</v>
      </c>
      <c r="E79">
        <v>141.38143156387301</v>
      </c>
      <c r="F79">
        <v>141.04463671144731</v>
      </c>
      <c r="G79">
        <v>141.1581493598411</v>
      </c>
      <c r="H79">
        <v>141.2737932823095</v>
      </c>
      <c r="I79">
        <v>141.2291975686984</v>
      </c>
      <c r="J79">
        <v>141.0508669502637</v>
      </c>
      <c r="K79">
        <v>141.28461743258629</v>
      </c>
      <c r="L79">
        <v>141.5466959240693</v>
      </c>
      <c r="M79">
        <v>141.5196717855452</v>
      </c>
      <c r="N79">
        <v>141.56351378100999</v>
      </c>
      <c r="O79">
        <v>141.7606558047064</v>
      </c>
      <c r="P79">
        <v>141.76770993654711</v>
      </c>
      <c r="Q79">
        <v>141.69718308194891</v>
      </c>
      <c r="R79">
        <v>141.82435724779251</v>
      </c>
      <c r="S79">
        <v>141.9513752693951</v>
      </c>
      <c r="T79">
        <v>141.67534499667451</v>
      </c>
      <c r="U79">
        <v>142.15351396891691</v>
      </c>
      <c r="V79">
        <v>142.24668419423611</v>
      </c>
      <c r="W79">
        <v>142.1043193838685</v>
      </c>
      <c r="X79">
        <v>142.5645668129018</v>
      </c>
      <c r="Y79">
        <v>142.55651129739601</v>
      </c>
      <c r="Z79">
        <v>142.63600026326191</v>
      </c>
      <c r="AA79">
        <v>142.30531788714009</v>
      </c>
      <c r="AB79">
        <v>142.78899301280049</v>
      </c>
      <c r="AC79">
        <v>142.35496454544159</v>
      </c>
      <c r="AD79">
        <v>142.41731676165449</v>
      </c>
      <c r="AE79">
        <v>142.60637144677091</v>
      </c>
      <c r="AF79">
        <v>142.52429817080059</v>
      </c>
      <c r="AG79">
        <v>142.86173679263379</v>
      </c>
      <c r="AH79">
        <v>143.10626784636909</v>
      </c>
      <c r="AI79">
        <v>142.71708075281049</v>
      </c>
      <c r="AJ79">
        <v>143.1636079471096</v>
      </c>
      <c r="AK79">
        <v>143.05200442456351</v>
      </c>
      <c r="AL79">
        <v>142.73936115538271</v>
      </c>
      <c r="AM79">
        <v>143.194853898676</v>
      </c>
      <c r="AN79">
        <v>146.90317669693769</v>
      </c>
    </row>
    <row r="80" spans="1:40" x14ac:dyDescent="0.35">
      <c r="A80" t="s">
        <v>29</v>
      </c>
      <c r="B80">
        <v>2.6183742589188279</v>
      </c>
      <c r="C80">
        <v>2.6685681011965361</v>
      </c>
      <c r="D80">
        <v>2.5057679966236708</v>
      </c>
      <c r="E80">
        <v>2.7696776754286159</v>
      </c>
      <c r="F80">
        <v>2.4413469176836462</v>
      </c>
      <c r="G80">
        <v>2.4615853546445039</v>
      </c>
      <c r="H80">
        <v>2.7022935125963232</v>
      </c>
      <c r="I80">
        <v>2.4901378032386892</v>
      </c>
      <c r="J80">
        <v>1.778436956748296</v>
      </c>
      <c r="K80">
        <v>2.3345948628050261</v>
      </c>
      <c r="L80">
        <v>2.3485980751531761</v>
      </c>
      <c r="M80">
        <v>2.2286645155278642</v>
      </c>
      <c r="N80">
        <v>2.475031408360207</v>
      </c>
      <c r="O80">
        <v>2.5479499238428152</v>
      </c>
      <c r="P80">
        <v>2.597642254290855</v>
      </c>
      <c r="Q80">
        <v>2.7248481664050459</v>
      </c>
      <c r="R80">
        <v>2.787746244448658</v>
      </c>
      <c r="S80">
        <v>2.7468102176325</v>
      </c>
      <c r="T80">
        <v>2.8671582558657942</v>
      </c>
      <c r="U80">
        <v>2.6016572286738211</v>
      </c>
      <c r="V80">
        <v>2.6763289565399289</v>
      </c>
      <c r="W80">
        <v>2.9214299791667031</v>
      </c>
      <c r="X80">
        <v>2.5648884856996079</v>
      </c>
      <c r="Y80">
        <v>2.8070551973290581</v>
      </c>
      <c r="Z80">
        <v>2.7373262301955572</v>
      </c>
      <c r="AA80">
        <v>2.7461465473655191</v>
      </c>
      <c r="AB80">
        <v>2.9683991102538378</v>
      </c>
      <c r="AC80">
        <v>2.8551276458143011</v>
      </c>
      <c r="AD80">
        <v>2.6669061712686948</v>
      </c>
      <c r="AE80">
        <v>2.7353907870865122</v>
      </c>
      <c r="AF80">
        <v>2.728912728839807</v>
      </c>
      <c r="AG80">
        <v>2.796567014066083</v>
      </c>
      <c r="AH80">
        <v>2.8510938266266632</v>
      </c>
      <c r="AI80">
        <v>2.878597910404209</v>
      </c>
      <c r="AJ80">
        <v>2.8368154481001069</v>
      </c>
      <c r="AK80">
        <v>3.008910509846348</v>
      </c>
      <c r="AL80">
        <v>2.861746770650317</v>
      </c>
      <c r="AM80">
        <v>3.2537108697360622</v>
      </c>
      <c r="AN80">
        <v>4.0586017203019944</v>
      </c>
    </row>
    <row r="81" spans="1:40" x14ac:dyDescent="0.35">
      <c r="A81" t="s">
        <v>30</v>
      </c>
      <c r="B81">
        <v>4.0734586767544414</v>
      </c>
      <c r="C81">
        <v>3.5511770480583071</v>
      </c>
      <c r="D81">
        <v>2.7155477784942299</v>
      </c>
      <c r="E81">
        <v>2.8818939523675469</v>
      </c>
      <c r="F81">
        <v>3.013253821413596</v>
      </c>
      <c r="G81">
        <v>2.485700939325568</v>
      </c>
      <c r="H81">
        <v>2.580165298032346</v>
      </c>
      <c r="I81">
        <v>2.363402188642064</v>
      </c>
      <c r="J81">
        <v>2.1312582235936399</v>
      </c>
      <c r="K81">
        <v>2.0989037096010819</v>
      </c>
      <c r="L81">
        <v>2.4191574732542298</v>
      </c>
      <c r="M81">
        <v>2.3437043075272861</v>
      </c>
      <c r="N81">
        <v>2.5534508399561719</v>
      </c>
      <c r="O81">
        <v>2.3817487995490878</v>
      </c>
      <c r="P81">
        <v>2.0322237321268162</v>
      </c>
      <c r="Q81">
        <v>3.1585562511982879</v>
      </c>
      <c r="R81">
        <v>2.930146363727677</v>
      </c>
      <c r="S81">
        <v>2.9794139563084991</v>
      </c>
      <c r="T81">
        <v>3.2591321060568701</v>
      </c>
      <c r="U81">
        <v>3.1263301417354579</v>
      </c>
      <c r="V81">
        <v>2.9729537463792401</v>
      </c>
      <c r="W81">
        <v>3.3531022500275491</v>
      </c>
      <c r="X81">
        <v>2.4984517022025718</v>
      </c>
      <c r="Y81">
        <v>2.876163430672205</v>
      </c>
      <c r="Z81">
        <v>2.6641431255409929</v>
      </c>
      <c r="AA81">
        <v>2.0424886912327809</v>
      </c>
      <c r="AB81">
        <v>2.4496131397907011</v>
      </c>
      <c r="AC81">
        <v>2.833151858652859</v>
      </c>
      <c r="AD81">
        <v>2.594612066889884</v>
      </c>
      <c r="AE81">
        <v>2.549741989432337</v>
      </c>
      <c r="AF81">
        <v>2.5706861875184801</v>
      </c>
      <c r="AG81">
        <v>2.680914031326608</v>
      </c>
      <c r="AH81">
        <v>2.3007741315494461</v>
      </c>
      <c r="AI81">
        <v>2.688367095377278</v>
      </c>
      <c r="AJ81">
        <v>2.820177943556363</v>
      </c>
      <c r="AK81">
        <v>3.517997836371265</v>
      </c>
      <c r="AL81">
        <v>2.51973287916327</v>
      </c>
      <c r="AM81">
        <v>2.8411616323730429</v>
      </c>
      <c r="AN81">
        <v>-3.676420219652611</v>
      </c>
    </row>
    <row r="82" spans="1:40" x14ac:dyDescent="0.35">
      <c r="A82" t="s">
        <v>31</v>
      </c>
      <c r="B82">
        <v>3.6739326975128588</v>
      </c>
      <c r="C82">
        <v>3.7622534578955071</v>
      </c>
      <c r="D82">
        <v>3.3466202272656478</v>
      </c>
      <c r="E82">
        <v>3.4650125035742159</v>
      </c>
      <c r="F82">
        <v>3.5609844122627581</v>
      </c>
      <c r="G82">
        <v>3.5125064334214322</v>
      </c>
      <c r="H82">
        <v>3.4734468272704881</v>
      </c>
      <c r="I82">
        <v>3.6789799884151968</v>
      </c>
      <c r="J82">
        <v>3.873050522074108</v>
      </c>
      <c r="K82">
        <v>3.469927674070592</v>
      </c>
      <c r="L82">
        <v>3.7202787819205398</v>
      </c>
      <c r="M82">
        <v>3.6451188134828691</v>
      </c>
      <c r="N82">
        <v>3.715750825827413</v>
      </c>
      <c r="O82">
        <v>3.6394345426118568</v>
      </c>
      <c r="P82">
        <v>3.6163163672583152</v>
      </c>
      <c r="Q82">
        <v>4.0866975401181973</v>
      </c>
      <c r="R82">
        <v>4.1640943145044389</v>
      </c>
      <c r="S82">
        <v>4.3838374554334143</v>
      </c>
      <c r="T82">
        <v>4.1013893271671691</v>
      </c>
      <c r="U82">
        <v>4.3596360083177119</v>
      </c>
      <c r="V82">
        <v>4.0294496161663549</v>
      </c>
      <c r="W82">
        <v>4.1333149414907924</v>
      </c>
      <c r="X82">
        <v>4.1727781169750893</v>
      </c>
      <c r="Y82">
        <v>3.8495788507566671</v>
      </c>
      <c r="Z82">
        <v>3.6969037839821</v>
      </c>
      <c r="AA82">
        <v>3.723883766096745</v>
      </c>
      <c r="AB82">
        <v>4.0167693710242398</v>
      </c>
      <c r="AC82">
        <v>3.93763916606071</v>
      </c>
      <c r="AD82">
        <v>3.730713320527975</v>
      </c>
      <c r="AE82">
        <v>3.720869847404785</v>
      </c>
      <c r="AF82">
        <v>3.8398814866595101</v>
      </c>
      <c r="AG82">
        <v>4.0454606826408561</v>
      </c>
      <c r="AH82">
        <v>3.8494516229953621</v>
      </c>
      <c r="AI82">
        <v>4.1696105169255269</v>
      </c>
      <c r="AJ82">
        <v>3.802092184531829</v>
      </c>
      <c r="AK82">
        <v>4.2619016533336804</v>
      </c>
      <c r="AL82">
        <v>3.6681157017649029</v>
      </c>
      <c r="AM82">
        <v>3.7687583158234008</v>
      </c>
      <c r="AN82">
        <v>2.6031926698027261</v>
      </c>
    </row>
    <row r="83" spans="1:40" x14ac:dyDescent="0.35">
      <c r="A83" t="s">
        <v>32</v>
      </c>
      <c r="B83">
        <v>0.1142190244986791</v>
      </c>
      <c r="C83">
        <v>3.140989000609988E-3</v>
      </c>
      <c r="D83">
        <v>-5.6717151818695688E-2</v>
      </c>
      <c r="E83">
        <v>-4.3660569831008383E-2</v>
      </c>
      <c r="F83">
        <v>2.4036098050797639E-2</v>
      </c>
      <c r="G83">
        <v>-0.13360617065209521</v>
      </c>
      <c r="H83">
        <v>-6.5696721243491837E-2</v>
      </c>
      <c r="I83">
        <v>7.9040550574508595E-2</v>
      </c>
      <c r="J83">
        <v>-5.0269526989633877E-2</v>
      </c>
      <c r="K83">
        <v>6.7240570113891902E-3</v>
      </c>
      <c r="L83">
        <v>9.8706318419815309E-2</v>
      </c>
      <c r="M83">
        <v>8.7818872495212238E-2</v>
      </c>
      <c r="N83">
        <v>3.9215286935301318E-2</v>
      </c>
      <c r="O83">
        <v>0.12021582561345839</v>
      </c>
      <c r="P83">
        <v>0.15100928165371219</v>
      </c>
      <c r="Q83">
        <v>0.20214977704974779</v>
      </c>
      <c r="R83">
        <v>0.3054944892931461</v>
      </c>
      <c r="S83">
        <v>0.32915818012052911</v>
      </c>
      <c r="T83">
        <v>0.31878958574724969</v>
      </c>
      <c r="U83">
        <v>0.27036074575214281</v>
      </c>
      <c r="V83">
        <v>0.31872486710387088</v>
      </c>
      <c r="W83">
        <v>0.28590762552413279</v>
      </c>
      <c r="X83">
        <v>0.24035646962523921</v>
      </c>
      <c r="Y83">
        <v>0.49789113899656312</v>
      </c>
      <c r="Z83">
        <v>0.34571799254244318</v>
      </c>
      <c r="AA83">
        <v>0.25323414277101292</v>
      </c>
      <c r="AB83">
        <v>0.38753904216661922</v>
      </c>
      <c r="AC83">
        <v>0.44887788979763521</v>
      </c>
      <c r="AD83">
        <v>0.24891994039491869</v>
      </c>
      <c r="AE83">
        <v>0.3887581689872559</v>
      </c>
      <c r="AF83">
        <v>0.30862403284714979</v>
      </c>
      <c r="AG83">
        <v>5.7800127763324771E-2</v>
      </c>
      <c r="AH83">
        <v>4.5225213710280293E-2</v>
      </c>
      <c r="AI83">
        <v>0.24815241376562269</v>
      </c>
      <c r="AJ83">
        <v>0.1108606827298174</v>
      </c>
      <c r="AK83">
        <v>0.35332091304174129</v>
      </c>
      <c r="AL83">
        <v>8.8295187173476272E-2</v>
      </c>
      <c r="AM83">
        <v>0.39426142241982959</v>
      </c>
      <c r="AN83">
        <v>-1.154227764357868</v>
      </c>
    </row>
    <row r="84" spans="1:40" x14ac:dyDescent="0.35">
      <c r="A84" t="s">
        <v>33</v>
      </c>
      <c r="B84">
        <v>151.78362503820151</v>
      </c>
      <c r="C84">
        <v>151.14457365003491</v>
      </c>
      <c r="D84">
        <v>149.9375185897556</v>
      </c>
      <c r="E84">
        <v>150.45435512541241</v>
      </c>
      <c r="F84">
        <v>150.084257960858</v>
      </c>
      <c r="G84">
        <v>149.48433591658059</v>
      </c>
      <c r="H84">
        <v>149.96400219896509</v>
      </c>
      <c r="I84">
        <v>149.8407580995688</v>
      </c>
      <c r="J84">
        <v>148.7833431256901</v>
      </c>
      <c r="K84">
        <v>149.1947677360744</v>
      </c>
      <c r="L84">
        <v>150.133436572817</v>
      </c>
      <c r="M84">
        <v>149.82497829457839</v>
      </c>
      <c r="N84">
        <v>150.3469621420891</v>
      </c>
      <c r="O84">
        <v>150.45000489632361</v>
      </c>
      <c r="P84">
        <v>150.16490157187681</v>
      </c>
      <c r="Q84">
        <v>151.8694348167202</v>
      </c>
      <c r="R84">
        <v>152.0118386597664</v>
      </c>
      <c r="S84">
        <v>152.3905950788901</v>
      </c>
      <c r="T84">
        <v>152.22181427151159</v>
      </c>
      <c r="U84">
        <v>152.511498093396</v>
      </c>
      <c r="V84">
        <v>152.24414138042559</v>
      </c>
      <c r="W84">
        <v>152.79807418007769</v>
      </c>
      <c r="X84">
        <v>152.04104158740429</v>
      </c>
      <c r="Y84">
        <v>152.58719991515051</v>
      </c>
      <c r="Z84">
        <v>152.080091395523</v>
      </c>
      <c r="AA84">
        <v>151.07107103460609</v>
      </c>
      <c r="AB84">
        <v>152.61131367603591</v>
      </c>
      <c r="AC84">
        <v>152.42976110576711</v>
      </c>
      <c r="AD84">
        <v>151.65846826073599</v>
      </c>
      <c r="AE84">
        <v>152.00113223968179</v>
      </c>
      <c r="AF84">
        <v>151.97240260666561</v>
      </c>
      <c r="AG84">
        <v>152.44247864843069</v>
      </c>
      <c r="AH84">
        <v>152.15281264125079</v>
      </c>
      <c r="AI84">
        <v>152.70180868928321</v>
      </c>
      <c r="AJ84">
        <v>152.73355420602769</v>
      </c>
      <c r="AK84">
        <v>154.19413533715661</v>
      </c>
      <c r="AL84">
        <v>151.87725169413471</v>
      </c>
      <c r="AM84">
        <v>153.45274613902831</v>
      </c>
      <c r="AN84">
        <v>148.73432310303201</v>
      </c>
    </row>
    <row r="85" spans="1:40" x14ac:dyDescent="0.35">
      <c r="A85" t="s">
        <v>34</v>
      </c>
      <c r="B85">
        <v>23245426.199999999</v>
      </c>
      <c r="C85">
        <v>26876798.57</v>
      </c>
      <c r="D85">
        <v>26123090.800000001</v>
      </c>
      <c r="E85">
        <v>26337107.59</v>
      </c>
      <c r="F85">
        <v>29865104.34</v>
      </c>
      <c r="G85">
        <v>30843287.010000002</v>
      </c>
      <c r="H85">
        <v>34333535.82</v>
      </c>
      <c r="I85">
        <v>44262788.180000007</v>
      </c>
      <c r="J85">
        <v>73178516.210000008</v>
      </c>
      <c r="K85">
        <v>51420431.159999996</v>
      </c>
      <c r="L85">
        <v>47957715.5</v>
      </c>
      <c r="M85">
        <v>41541848.869999997</v>
      </c>
      <c r="N85">
        <v>43490279.009999998</v>
      </c>
      <c r="O85">
        <v>42522630.530000001</v>
      </c>
      <c r="P85">
        <v>36784046.310000002</v>
      </c>
      <c r="Q85">
        <v>38337174.270000003</v>
      </c>
      <c r="R85">
        <v>38346736.729999997</v>
      </c>
      <c r="S85">
        <v>39193486.130000003</v>
      </c>
      <c r="T85">
        <v>38918551.109999999</v>
      </c>
      <c r="U85">
        <v>33028712.640000001</v>
      </c>
      <c r="V85">
        <v>34297592.010000013</v>
      </c>
      <c r="W85">
        <v>35441749.350000001</v>
      </c>
      <c r="X85">
        <v>31318927.84</v>
      </c>
      <c r="Y85">
        <v>31186388.079999998</v>
      </c>
      <c r="Z85">
        <v>32140585.07</v>
      </c>
      <c r="AA85">
        <v>32111993.899999999</v>
      </c>
      <c r="AB85">
        <v>31472674.07</v>
      </c>
      <c r="AC85">
        <v>31238542.940000001</v>
      </c>
      <c r="AD85">
        <v>30359934.920000002</v>
      </c>
      <c r="AE85">
        <v>31293493.559999999</v>
      </c>
      <c r="AF85">
        <v>29710930.609999999</v>
      </c>
      <c r="AG85">
        <v>26767321.41</v>
      </c>
      <c r="AH85">
        <v>26699308.77</v>
      </c>
      <c r="AI85">
        <v>25847469.379999999</v>
      </c>
      <c r="AJ85">
        <v>25970390.93</v>
      </c>
      <c r="AK85">
        <v>22943608.68</v>
      </c>
      <c r="AL85">
        <v>19155999.609999999</v>
      </c>
      <c r="AM85">
        <v>9684313.540000001</v>
      </c>
      <c r="AN85">
        <v>236568.05</v>
      </c>
    </row>
    <row r="86" spans="1:40" x14ac:dyDescent="0.35">
      <c r="A86" t="s">
        <v>35</v>
      </c>
      <c r="B86">
        <v>1.4541259355398031</v>
      </c>
      <c r="C86">
        <v>1.4407192253527159</v>
      </c>
      <c r="D86">
        <v>1.458267176349471</v>
      </c>
      <c r="E86">
        <v>1.477595420478597</v>
      </c>
      <c r="F86">
        <v>1.46781000612621</v>
      </c>
      <c r="G86">
        <v>1.4700509767717189</v>
      </c>
      <c r="H86">
        <v>1.469266532856093</v>
      </c>
      <c r="I86">
        <v>1.460000614553951</v>
      </c>
      <c r="J86">
        <v>1.434593704954187</v>
      </c>
      <c r="K86">
        <v>1.477762771632851</v>
      </c>
      <c r="L86">
        <v>1.4681361511166979</v>
      </c>
      <c r="M86">
        <v>1.469278632446809</v>
      </c>
      <c r="N86">
        <v>1.4695208593181111</v>
      </c>
      <c r="O86">
        <v>1.4823924245513329</v>
      </c>
      <c r="P86">
        <v>1.4863553260750471</v>
      </c>
      <c r="Q86">
        <v>1.468545021790004</v>
      </c>
      <c r="R86">
        <v>1.470826982607776</v>
      </c>
      <c r="S86">
        <v>1.450189006936526</v>
      </c>
      <c r="T86">
        <v>1.4625342753029991</v>
      </c>
      <c r="U86">
        <v>1.4595803689094979</v>
      </c>
      <c r="V86">
        <v>1.475819381055576</v>
      </c>
      <c r="W86">
        <v>1.476546512996517</v>
      </c>
      <c r="X86">
        <v>1.474736080827638</v>
      </c>
      <c r="Y86">
        <v>1.492366149939035</v>
      </c>
      <c r="Z86">
        <v>1.501074716534438</v>
      </c>
      <c r="AA86">
        <v>1.4923660695724199</v>
      </c>
      <c r="AB86">
        <v>1.480846388871383</v>
      </c>
      <c r="AC86">
        <v>1.4896294979878471</v>
      </c>
      <c r="AD86">
        <v>1.511274238515887</v>
      </c>
      <c r="AE86">
        <v>1.49954652935258</v>
      </c>
      <c r="AF86">
        <v>1.5053937440220539</v>
      </c>
      <c r="AG86">
        <v>1.4942911704197339</v>
      </c>
      <c r="AH86">
        <v>1.4900743465685</v>
      </c>
      <c r="AI86">
        <v>1.4796496594564279</v>
      </c>
      <c r="AJ86">
        <v>1.4980479060853611</v>
      </c>
      <c r="AK86">
        <v>1.457468277181718</v>
      </c>
      <c r="AL86">
        <v>1.505817929312212</v>
      </c>
      <c r="AM86">
        <v>1.4894098069145441</v>
      </c>
      <c r="AN86">
        <v>1.682379016291732</v>
      </c>
    </row>
    <row r="87" spans="1:40" x14ac:dyDescent="0.35">
      <c r="A87" t="s">
        <v>36</v>
      </c>
      <c r="B87">
        <v>0.24322382258940889</v>
      </c>
      <c r="C87">
        <v>0.24445895450359811</v>
      </c>
      <c r="D87">
        <v>0.2450346480070405</v>
      </c>
      <c r="E87">
        <v>0.2457634321887964</v>
      </c>
      <c r="F87">
        <v>0.244717548976945</v>
      </c>
      <c r="G87">
        <v>0.24690793419599549</v>
      </c>
      <c r="H87">
        <v>0.24586239190179041</v>
      </c>
      <c r="I87">
        <v>0.24404659451678939</v>
      </c>
      <c r="J87">
        <v>0.24545552020730149</v>
      </c>
      <c r="K87">
        <v>0.24511674744033779</v>
      </c>
      <c r="L87">
        <v>0.24405152706514971</v>
      </c>
      <c r="M87">
        <v>0.2440719950349432</v>
      </c>
      <c r="N87">
        <v>0.2449916486139129</v>
      </c>
      <c r="O87">
        <v>0.24407016855817271</v>
      </c>
      <c r="P87">
        <v>0.243719569028919</v>
      </c>
      <c r="Q87">
        <v>0.2435843687613406</v>
      </c>
      <c r="R87">
        <v>0.24230855763154779</v>
      </c>
      <c r="S87">
        <v>0.24180965611876801</v>
      </c>
      <c r="T87">
        <v>0.24172130351740631</v>
      </c>
      <c r="U87">
        <v>0.24294316194349019</v>
      </c>
      <c r="V87">
        <v>0.24203848119537411</v>
      </c>
      <c r="W87">
        <v>0.2428018456658376</v>
      </c>
      <c r="X87">
        <v>0.243518542427824</v>
      </c>
      <c r="Y87">
        <v>0.23961186658163339</v>
      </c>
      <c r="Z87">
        <v>0.24166426466760019</v>
      </c>
      <c r="AA87">
        <v>0.24282828903335871</v>
      </c>
      <c r="AB87">
        <v>0.2411828312959427</v>
      </c>
      <c r="AC87">
        <v>0.24046839846564241</v>
      </c>
      <c r="AD87">
        <v>0.24345894816318661</v>
      </c>
      <c r="AE87">
        <v>0.2410473933058051</v>
      </c>
      <c r="AF87">
        <v>0.2427939655236534</v>
      </c>
      <c r="AG87">
        <v>0.24647203853581259</v>
      </c>
      <c r="AH87">
        <v>0.2460179212039578</v>
      </c>
      <c r="AI87">
        <v>0.24353085170638089</v>
      </c>
      <c r="AJ87">
        <v>0.24518402651869509</v>
      </c>
      <c r="AK87">
        <v>0.2414861464462093</v>
      </c>
      <c r="AL87">
        <v>0.24537410072759969</v>
      </c>
      <c r="AM87">
        <v>0.24082390348319921</v>
      </c>
      <c r="AN87">
        <v>0.26648896806225519</v>
      </c>
    </row>
    <row r="89" spans="1:40" x14ac:dyDescent="0.35">
      <c r="A89" t="s">
        <v>44</v>
      </c>
      <c r="B89" t="s">
        <v>129</v>
      </c>
      <c r="C89" t="s">
        <v>130</v>
      </c>
      <c r="D89" t="s">
        <v>131</v>
      </c>
      <c r="E89" t="s">
        <v>132</v>
      </c>
      <c r="F89" t="s">
        <v>133</v>
      </c>
      <c r="G89" t="s">
        <v>134</v>
      </c>
      <c r="H89" t="s">
        <v>135</v>
      </c>
      <c r="I89" t="s">
        <v>136</v>
      </c>
      <c r="J89" t="s">
        <v>137</v>
      </c>
      <c r="K89" t="s">
        <v>138</v>
      </c>
      <c r="L89" t="s">
        <v>139</v>
      </c>
      <c r="M89" t="s">
        <v>140</v>
      </c>
      <c r="N89" t="s">
        <v>141</v>
      </c>
      <c r="O89" t="s">
        <v>142</v>
      </c>
      <c r="P89" t="s">
        <v>143</v>
      </c>
      <c r="Q89" t="s">
        <v>144</v>
      </c>
      <c r="R89" t="s">
        <v>145</v>
      </c>
      <c r="S89" t="s">
        <v>146</v>
      </c>
      <c r="T89" t="s">
        <v>147</v>
      </c>
      <c r="U89" t="s">
        <v>148</v>
      </c>
      <c r="V89" t="s">
        <v>149</v>
      </c>
      <c r="W89" t="s">
        <v>150</v>
      </c>
      <c r="X89" t="s">
        <v>151</v>
      </c>
      <c r="Y89" t="s">
        <v>152</v>
      </c>
      <c r="Z89" t="s">
        <v>153</v>
      </c>
      <c r="AA89" t="s">
        <v>154</v>
      </c>
      <c r="AB89" t="s">
        <v>155</v>
      </c>
      <c r="AC89" t="s">
        <v>156</v>
      </c>
      <c r="AD89" t="s">
        <v>157</v>
      </c>
      <c r="AE89" t="s">
        <v>158</v>
      </c>
      <c r="AF89" t="s">
        <v>159</v>
      </c>
      <c r="AG89" t="s">
        <v>160</v>
      </c>
      <c r="AH89" t="s">
        <v>161</v>
      </c>
      <c r="AI89" t="s">
        <v>162</v>
      </c>
      <c r="AJ89" t="s">
        <v>163</v>
      </c>
      <c r="AK89" t="s">
        <v>164</v>
      </c>
      <c r="AL89" t="s">
        <v>165</v>
      </c>
      <c r="AM89" t="s">
        <v>166</v>
      </c>
      <c r="AN89" t="s">
        <v>167</v>
      </c>
    </row>
    <row r="90" spans="1:40" x14ac:dyDescent="0.35">
      <c r="A90" t="s">
        <v>28</v>
      </c>
      <c r="B90">
        <v>141.7175233985952</v>
      </c>
      <c r="C90">
        <v>141.49635119385189</v>
      </c>
      <c r="D90">
        <v>141.46583510619479</v>
      </c>
      <c r="E90">
        <v>141.6648659747857</v>
      </c>
      <c r="F90">
        <v>141.3142047466734</v>
      </c>
      <c r="G90">
        <v>141.694464874358</v>
      </c>
      <c r="H90">
        <v>141.8385629016343</v>
      </c>
      <c r="I90">
        <v>141.6665078921086</v>
      </c>
      <c r="J90">
        <v>141.57165005453251</v>
      </c>
      <c r="K90">
        <v>141.8835669459084</v>
      </c>
      <c r="L90">
        <v>142.06236327561879</v>
      </c>
      <c r="M90">
        <v>142.08972700526641</v>
      </c>
      <c r="N90">
        <v>142.13063000279641</v>
      </c>
      <c r="O90">
        <v>142.40368642613879</v>
      </c>
      <c r="P90">
        <v>142.33130530023399</v>
      </c>
      <c r="Q90">
        <v>142.19992764704489</v>
      </c>
      <c r="R90">
        <v>142.29140355397939</v>
      </c>
      <c r="S90">
        <v>142.40525736004491</v>
      </c>
      <c r="T90">
        <v>142.30570511783651</v>
      </c>
      <c r="U90">
        <v>142.793853916584</v>
      </c>
      <c r="V90">
        <v>142.63039977147821</v>
      </c>
      <c r="W90">
        <v>142.36283092902309</v>
      </c>
      <c r="X90">
        <v>142.95233413115429</v>
      </c>
      <c r="Y90">
        <v>142.79161774778649</v>
      </c>
      <c r="Z90">
        <v>142.71953405962651</v>
      </c>
      <c r="AA90">
        <v>142.53532870427901</v>
      </c>
      <c r="AB90">
        <v>142.68284591968671</v>
      </c>
      <c r="AC90">
        <v>142.71147429490739</v>
      </c>
      <c r="AD90">
        <v>143.10372681846769</v>
      </c>
      <c r="AE90">
        <v>143.17625670399619</v>
      </c>
      <c r="AF90">
        <v>143.2561292688145</v>
      </c>
      <c r="AG90">
        <v>143.74588845645849</v>
      </c>
      <c r="AH90">
        <v>143.39528047972539</v>
      </c>
      <c r="AI90">
        <v>143.38467548141361</v>
      </c>
      <c r="AJ90">
        <v>143.70507376623479</v>
      </c>
      <c r="AK90">
        <v>143.66493770098239</v>
      </c>
      <c r="AL90">
        <v>143.52932369153251</v>
      </c>
      <c r="AM90">
        <v>143.5702053252661</v>
      </c>
      <c r="AN90">
        <v>144.35703603581851</v>
      </c>
    </row>
    <row r="91" spans="1:40" x14ac:dyDescent="0.35">
      <c r="A91" t="s">
        <v>29</v>
      </c>
      <c r="B91">
        <v>1.83761817285124</v>
      </c>
      <c r="C91">
        <v>1.5617865996162339</v>
      </c>
      <c r="D91">
        <v>1.42923604654004</v>
      </c>
      <c r="E91">
        <v>1.681372080435507</v>
      </c>
      <c r="F91">
        <v>1.61739039363427</v>
      </c>
      <c r="G91">
        <v>1.5369528354066779</v>
      </c>
      <c r="H91">
        <v>1.7204530983089461</v>
      </c>
      <c r="I91">
        <v>1.2265294877884281</v>
      </c>
      <c r="J91">
        <v>0.70920467869886539</v>
      </c>
      <c r="K91">
        <v>1.1172323334285961</v>
      </c>
      <c r="L91">
        <v>1.121522956920153</v>
      </c>
      <c r="M91">
        <v>1.2405500126513349</v>
      </c>
      <c r="N91">
        <v>1.3200580941210309</v>
      </c>
      <c r="O91">
        <v>1.447515348594808</v>
      </c>
      <c r="P91">
        <v>1.5905550829872761</v>
      </c>
      <c r="Q91">
        <v>1.6435453838388681</v>
      </c>
      <c r="R91">
        <v>1.6278927736030531</v>
      </c>
      <c r="S91">
        <v>1.6154262450845811</v>
      </c>
      <c r="T91">
        <v>1.6418715369083321</v>
      </c>
      <c r="U91">
        <v>1.440552651848364</v>
      </c>
      <c r="V91">
        <v>1.464022135789149</v>
      </c>
      <c r="W91">
        <v>1.5380798450398041</v>
      </c>
      <c r="X91">
        <v>1.3451076251647149</v>
      </c>
      <c r="Y91">
        <v>1.4224789128879669</v>
      </c>
      <c r="Z91">
        <v>1.312323897757814</v>
      </c>
      <c r="AA91">
        <v>1.273601737445863</v>
      </c>
      <c r="AB91">
        <v>1.4397336076545739</v>
      </c>
      <c r="AC91">
        <v>1.5018220536828479</v>
      </c>
      <c r="AD91">
        <v>1.241418657155295</v>
      </c>
      <c r="AE91">
        <v>1.447643177990964</v>
      </c>
      <c r="AF91">
        <v>1.448801047770377</v>
      </c>
      <c r="AG91">
        <v>1.3721952801122881</v>
      </c>
      <c r="AH91">
        <v>1.482427691109806</v>
      </c>
      <c r="AI91">
        <v>1.488118234268867</v>
      </c>
      <c r="AJ91">
        <v>1.339207982350473</v>
      </c>
      <c r="AK91">
        <v>1.526700582464867</v>
      </c>
      <c r="AL91">
        <v>1.3024939686762089</v>
      </c>
      <c r="AM91">
        <v>2.6311626715180298</v>
      </c>
      <c r="AN91">
        <v>4.1752376784977141</v>
      </c>
    </row>
    <row r="92" spans="1:40" x14ac:dyDescent="0.35">
      <c r="A92" t="s">
        <v>30</v>
      </c>
      <c r="B92">
        <v>2.8852512882452288</v>
      </c>
      <c r="C92">
        <v>2.0402601083241989</v>
      </c>
      <c r="D92">
        <v>1.763332239629358</v>
      </c>
      <c r="E92">
        <v>1.8165632366978539</v>
      </c>
      <c r="F92">
        <v>1.9468399742766369</v>
      </c>
      <c r="G92">
        <v>1.7055171332086401</v>
      </c>
      <c r="H92">
        <v>1.5322387262513171</v>
      </c>
      <c r="I92">
        <v>1.486873788932946</v>
      </c>
      <c r="J92">
        <v>1.2276445660146931</v>
      </c>
      <c r="K92">
        <v>1.1842349316754051</v>
      </c>
      <c r="L92">
        <v>1.6167121379767651</v>
      </c>
      <c r="M92">
        <v>1.702837434606379</v>
      </c>
      <c r="N92">
        <v>1.867128699904784</v>
      </c>
      <c r="O92">
        <v>1.7227616437119879</v>
      </c>
      <c r="P92">
        <v>1.544445351872292</v>
      </c>
      <c r="Q92">
        <v>2.2663373108607048</v>
      </c>
      <c r="R92">
        <v>2.220194387060213</v>
      </c>
      <c r="S92">
        <v>2.006182421814187</v>
      </c>
      <c r="T92">
        <v>2.3417554850622979</v>
      </c>
      <c r="U92">
        <v>2.0738775476944471</v>
      </c>
      <c r="V92">
        <v>2.037616728660701</v>
      </c>
      <c r="W92">
        <v>1.9494347737072191</v>
      </c>
      <c r="X92">
        <v>1.4732724487025011</v>
      </c>
      <c r="Y92">
        <v>1.6339269496157001</v>
      </c>
      <c r="Z92">
        <v>1.4610663103570669</v>
      </c>
      <c r="AA92">
        <v>1.2189348027964639</v>
      </c>
      <c r="AB92">
        <v>1.349135767405456</v>
      </c>
      <c r="AC92">
        <v>1.814131880425482</v>
      </c>
      <c r="AD92">
        <v>1.557828607652858</v>
      </c>
      <c r="AE92">
        <v>1.5852644659720261</v>
      </c>
      <c r="AF92">
        <v>1.773552945587543</v>
      </c>
      <c r="AG92">
        <v>1.491001682323674</v>
      </c>
      <c r="AH92">
        <v>1.5910794916036279</v>
      </c>
      <c r="AI92">
        <v>1.6201881105186491</v>
      </c>
      <c r="AJ92">
        <v>1.588114625527846</v>
      </c>
      <c r="AK92">
        <v>1.8334542835553429</v>
      </c>
      <c r="AL92">
        <v>1.202824467967099</v>
      </c>
      <c r="AM92">
        <v>1.174625159279695</v>
      </c>
      <c r="AN92">
        <v>-0.28789249070792888</v>
      </c>
    </row>
    <row r="93" spans="1:40" x14ac:dyDescent="0.35">
      <c r="A93" t="s">
        <v>31</v>
      </c>
      <c r="B93">
        <v>2.1818639482444659</v>
      </c>
      <c r="C93">
        <v>2.0006327387033269</v>
      </c>
      <c r="D93">
        <v>1.77537322374738</v>
      </c>
      <c r="E93">
        <v>1.581263308631226</v>
      </c>
      <c r="F93">
        <v>2.1505447814724201</v>
      </c>
      <c r="G93">
        <v>1.8464069427232821</v>
      </c>
      <c r="H93">
        <v>2.0076281218584038</v>
      </c>
      <c r="I93">
        <v>2.1992869108525981</v>
      </c>
      <c r="J93">
        <v>2.1419493186416889</v>
      </c>
      <c r="K93">
        <v>1.77227452818838</v>
      </c>
      <c r="L93">
        <v>1.800761306982904</v>
      </c>
      <c r="M93">
        <v>2.0012029490913639</v>
      </c>
      <c r="N93">
        <v>2.1081053267936181</v>
      </c>
      <c r="O93">
        <v>2.0905254328644651</v>
      </c>
      <c r="P93">
        <v>1.973356973820847</v>
      </c>
      <c r="Q93">
        <v>2.3948220353600518</v>
      </c>
      <c r="R93">
        <v>2.4521679893328669</v>
      </c>
      <c r="S93">
        <v>2.5421395339306319</v>
      </c>
      <c r="T93">
        <v>2.6441102309714668</v>
      </c>
      <c r="U93">
        <v>2.9302454622461438</v>
      </c>
      <c r="V93">
        <v>2.647212084861168</v>
      </c>
      <c r="W93">
        <v>2.7055362566764209</v>
      </c>
      <c r="X93">
        <v>2.6699423396478341</v>
      </c>
      <c r="Y93">
        <v>2.4878420723583332</v>
      </c>
      <c r="Z93">
        <v>2.4048344853981258</v>
      </c>
      <c r="AA93">
        <v>2.8606368209924291</v>
      </c>
      <c r="AB93">
        <v>2.74733197686409</v>
      </c>
      <c r="AC93">
        <v>2.6209529621045839</v>
      </c>
      <c r="AD93">
        <v>2.392571019170342</v>
      </c>
      <c r="AE93">
        <v>2.649295700519922</v>
      </c>
      <c r="AF93">
        <v>2.317700916155883</v>
      </c>
      <c r="AG93">
        <v>1.9833981910850209</v>
      </c>
      <c r="AH93">
        <v>2.4906340322732361</v>
      </c>
      <c r="AI93">
        <v>2.4120252750255058</v>
      </c>
      <c r="AJ93">
        <v>2.1470214675613679</v>
      </c>
      <c r="AK93">
        <v>2.0876835486677381</v>
      </c>
      <c r="AL93">
        <v>1.683182761182616</v>
      </c>
      <c r="AM93">
        <v>1.293315718900474</v>
      </c>
      <c r="AN93">
        <v>7.0409462963162009E-3</v>
      </c>
    </row>
    <row r="94" spans="1:40" x14ac:dyDescent="0.35">
      <c r="A94" t="s">
        <v>32</v>
      </c>
      <c r="B94">
        <v>0.48533588811730821</v>
      </c>
      <c r="C94">
        <v>5.4453893459723179E-2</v>
      </c>
      <c r="D94">
        <v>3.3671588897484429E-2</v>
      </c>
      <c r="E94">
        <v>7.5499416670850639E-2</v>
      </c>
      <c r="F94">
        <v>0.19255423158080001</v>
      </c>
      <c r="G94">
        <v>0.157781228755806</v>
      </c>
      <c r="H94">
        <v>0.32003704882771389</v>
      </c>
      <c r="I94">
        <v>0.38009387182826232</v>
      </c>
      <c r="J94">
        <v>6.7430126454893574E-2</v>
      </c>
      <c r="K94">
        <v>0.29504498563166648</v>
      </c>
      <c r="L94">
        <v>0.49297888881653762</v>
      </c>
      <c r="M94">
        <v>0.48633576931990269</v>
      </c>
      <c r="N94">
        <v>0.30207396053661811</v>
      </c>
      <c r="O94">
        <v>0.40944130185636568</v>
      </c>
      <c r="P94">
        <v>0.37119104973850342</v>
      </c>
      <c r="Q94">
        <v>0.39687317378014381</v>
      </c>
      <c r="R94">
        <v>0.47710068960752999</v>
      </c>
      <c r="S94">
        <v>0.5182855114216609</v>
      </c>
      <c r="T94">
        <v>0.50876585199630797</v>
      </c>
      <c r="U94">
        <v>0.58805427355505246</v>
      </c>
      <c r="V94">
        <v>0.47374718401979932</v>
      </c>
      <c r="W94">
        <v>0.44300599215110142</v>
      </c>
      <c r="X94">
        <v>0.57152114857434444</v>
      </c>
      <c r="Y94">
        <v>0.63851457251265775</v>
      </c>
      <c r="Z94">
        <v>0.53102837087464705</v>
      </c>
      <c r="AA94">
        <v>0.46525274253229509</v>
      </c>
      <c r="AB94">
        <v>0.560402421706927</v>
      </c>
      <c r="AC94">
        <v>0.70619700070722691</v>
      </c>
      <c r="AD94">
        <v>0.67804302607184064</v>
      </c>
      <c r="AE94">
        <v>0.71959818873077541</v>
      </c>
      <c r="AF94">
        <v>0.68323824222530094</v>
      </c>
      <c r="AG94">
        <v>0.62889140201406746</v>
      </c>
      <c r="AH94">
        <v>0.70394503984903922</v>
      </c>
      <c r="AI94">
        <v>0.77334266843708521</v>
      </c>
      <c r="AJ94">
        <v>0.61147829794341413</v>
      </c>
      <c r="AK94">
        <v>0.73219212051649574</v>
      </c>
      <c r="AL94">
        <v>0.58911712919795711</v>
      </c>
      <c r="AM94">
        <v>0.91445277756627252</v>
      </c>
      <c r="AN94">
        <v>2.1875829547517139E-2</v>
      </c>
    </row>
    <row r="95" spans="1:40" x14ac:dyDescent="0.35">
      <c r="A95" t="s">
        <v>33</v>
      </c>
      <c r="B95">
        <v>149.10759269605339</v>
      </c>
      <c r="C95">
        <v>147.15348453395541</v>
      </c>
      <c r="D95">
        <v>146.46744820500899</v>
      </c>
      <c r="E95">
        <v>146.81956401722121</v>
      </c>
      <c r="F95">
        <v>147.22153412763751</v>
      </c>
      <c r="G95">
        <v>146.94112301445239</v>
      </c>
      <c r="H95">
        <v>147.41891989688071</v>
      </c>
      <c r="I95">
        <v>146.95929195151089</v>
      </c>
      <c r="J95">
        <v>145.71787874434261</v>
      </c>
      <c r="K95">
        <v>146.2523537248324</v>
      </c>
      <c r="L95">
        <v>147.09433856631509</v>
      </c>
      <c r="M95">
        <v>147.5206531709353</v>
      </c>
      <c r="N95">
        <v>147.72799608415241</v>
      </c>
      <c r="O95">
        <v>148.0739301531664</v>
      </c>
      <c r="P95">
        <v>147.810853758653</v>
      </c>
      <c r="Q95">
        <v>148.90150555088471</v>
      </c>
      <c r="R95">
        <v>149.06875939358309</v>
      </c>
      <c r="S95">
        <v>149.08729107229601</v>
      </c>
      <c r="T95">
        <v>149.44220822277489</v>
      </c>
      <c r="U95">
        <v>149.82658385192801</v>
      </c>
      <c r="V95">
        <v>149.25299790480909</v>
      </c>
      <c r="W95">
        <v>148.9988877965977</v>
      </c>
      <c r="X95">
        <v>149.0121776932437</v>
      </c>
      <c r="Y95">
        <v>148.97438025516121</v>
      </c>
      <c r="Z95">
        <v>148.42878712401409</v>
      </c>
      <c r="AA95">
        <v>148.35375480804609</v>
      </c>
      <c r="AB95">
        <v>148.7794496933177</v>
      </c>
      <c r="AC95">
        <v>149.3545781918275</v>
      </c>
      <c r="AD95">
        <v>148.973588128518</v>
      </c>
      <c r="AE95">
        <v>149.57805823720989</v>
      </c>
      <c r="AF95">
        <v>149.47942242055359</v>
      </c>
      <c r="AG95">
        <v>149.22137501199359</v>
      </c>
      <c r="AH95">
        <v>149.66336673456109</v>
      </c>
      <c r="AI95">
        <v>149.67834976966361</v>
      </c>
      <c r="AJ95">
        <v>149.39089613961789</v>
      </c>
      <c r="AK95">
        <v>149.84496823618679</v>
      </c>
      <c r="AL95">
        <v>148.30694201855641</v>
      </c>
      <c r="AM95">
        <v>149.5837616525306</v>
      </c>
      <c r="AN95">
        <v>148.2732979994521</v>
      </c>
    </row>
    <row r="96" spans="1:40" x14ac:dyDescent="0.35">
      <c r="A96" t="s">
        <v>34</v>
      </c>
      <c r="B96">
        <v>45389058.530000001</v>
      </c>
      <c r="C96">
        <v>59406637.210000001</v>
      </c>
      <c r="D96">
        <v>59465586.979999997</v>
      </c>
      <c r="E96">
        <v>58199787.319999993</v>
      </c>
      <c r="F96">
        <v>57938559.219999999</v>
      </c>
      <c r="G96">
        <v>66264273.659999996</v>
      </c>
      <c r="H96">
        <v>70110749.210000008</v>
      </c>
      <c r="I96">
        <v>92032547.020000011</v>
      </c>
      <c r="J96">
        <v>150899105.25999999</v>
      </c>
      <c r="K96">
        <v>112638990.45</v>
      </c>
      <c r="L96">
        <v>107201178.27</v>
      </c>
      <c r="M96">
        <v>88259224.870000005</v>
      </c>
      <c r="N96">
        <v>88254125.629999995</v>
      </c>
      <c r="O96">
        <v>84564737.359999999</v>
      </c>
      <c r="P96">
        <v>70769262.270000011</v>
      </c>
      <c r="Q96">
        <v>74565577.950000018</v>
      </c>
      <c r="R96">
        <v>75238676.790000007</v>
      </c>
      <c r="S96">
        <v>76768506.279999986</v>
      </c>
      <c r="T96">
        <v>76471479.060000002</v>
      </c>
      <c r="U96">
        <v>67184168.479999989</v>
      </c>
      <c r="V96">
        <v>72127863.930000007</v>
      </c>
      <c r="W96">
        <v>72983888.719999999</v>
      </c>
      <c r="X96">
        <v>66867225.079999998</v>
      </c>
      <c r="Y96">
        <v>69461095.289999992</v>
      </c>
      <c r="Z96">
        <v>72398763.00999999</v>
      </c>
      <c r="AA96">
        <v>70169726.799999982</v>
      </c>
      <c r="AB96">
        <v>70078201.150000006</v>
      </c>
      <c r="AC96">
        <v>68142973.400000006</v>
      </c>
      <c r="AD96">
        <v>66746798.440000013</v>
      </c>
      <c r="AE96">
        <v>67531922.689999998</v>
      </c>
      <c r="AF96">
        <v>66136039.930000007</v>
      </c>
      <c r="AG96">
        <v>62793960.239999987</v>
      </c>
      <c r="AH96">
        <v>65024598.239999987</v>
      </c>
      <c r="AI96">
        <v>62832951.209999993</v>
      </c>
      <c r="AJ96">
        <v>63194183.329999998</v>
      </c>
      <c r="AK96">
        <v>57716224.649999999</v>
      </c>
      <c r="AL96">
        <v>52852475.209999993</v>
      </c>
      <c r="AM96">
        <v>39116366.219999999</v>
      </c>
      <c r="AN96">
        <v>1783507.87</v>
      </c>
    </row>
    <row r="97" spans="1:40" x14ac:dyDescent="0.35">
      <c r="A97" t="s">
        <v>35</v>
      </c>
      <c r="B97">
        <v>1.502576790751263</v>
      </c>
      <c r="C97">
        <v>1.504685103342247</v>
      </c>
      <c r="D97">
        <v>1.513953365114886</v>
      </c>
      <c r="E97">
        <v>1.5383292413713081</v>
      </c>
      <c r="F97">
        <v>1.508330417736393</v>
      </c>
      <c r="G97">
        <v>1.5215035193541939</v>
      </c>
      <c r="H97">
        <v>1.5126515614838489</v>
      </c>
      <c r="I97">
        <v>1.502144480169042</v>
      </c>
      <c r="J97">
        <v>1.498911324549723</v>
      </c>
      <c r="K97">
        <v>1.527469252722863</v>
      </c>
      <c r="L97">
        <v>1.527264953913926</v>
      </c>
      <c r="M97">
        <v>1.5161717826839709</v>
      </c>
      <c r="N97">
        <v>1.514131848315079</v>
      </c>
      <c r="O97">
        <v>1.520366537978173</v>
      </c>
      <c r="P97">
        <v>1.530474618774101</v>
      </c>
      <c r="Q97">
        <v>1.5101040488419111</v>
      </c>
      <c r="R97">
        <v>1.5097105083419511</v>
      </c>
      <c r="S97">
        <v>1.500567453542712</v>
      </c>
      <c r="T97">
        <v>1.492685678475008</v>
      </c>
      <c r="U97">
        <v>1.480713327182291</v>
      </c>
      <c r="V97">
        <v>1.493504760891792</v>
      </c>
      <c r="W97">
        <v>1.49454503878453</v>
      </c>
      <c r="X97">
        <v>1.4946429594581889</v>
      </c>
      <c r="Y97">
        <v>1.502304665953403</v>
      </c>
      <c r="Z97">
        <v>1.5064140770497361</v>
      </c>
      <c r="AA97">
        <v>1.480313062332185</v>
      </c>
      <c r="AB97">
        <v>1.48715130995164</v>
      </c>
      <c r="AC97">
        <v>1.497090713392375</v>
      </c>
      <c r="AD97">
        <v>1.5138675707016109</v>
      </c>
      <c r="AE97">
        <v>1.495322824340739</v>
      </c>
      <c r="AF97">
        <v>1.5173843404471949</v>
      </c>
      <c r="AG97">
        <v>1.5337275515597011</v>
      </c>
      <c r="AH97">
        <v>1.496729398491627</v>
      </c>
      <c r="AI97">
        <v>1.5040794415673191</v>
      </c>
      <c r="AJ97">
        <v>1.51797555655599</v>
      </c>
      <c r="AK97">
        <v>1.5139773072032909</v>
      </c>
      <c r="AL97">
        <v>1.5384325429445369</v>
      </c>
      <c r="AM97">
        <v>1.543588369417471</v>
      </c>
      <c r="AN97">
        <v>1.623128319537394</v>
      </c>
    </row>
    <row r="98" spans="1:40" x14ac:dyDescent="0.35">
      <c r="A98" t="s">
        <v>36</v>
      </c>
      <c r="B98">
        <v>0.24256615236857171</v>
      </c>
      <c r="C98">
        <v>0.24700066789791281</v>
      </c>
      <c r="D98">
        <v>0.24727470777346319</v>
      </c>
      <c r="E98">
        <v>0.2471982987984053</v>
      </c>
      <c r="F98">
        <v>0.24560414267880931</v>
      </c>
      <c r="G98">
        <v>0.24651819794250621</v>
      </c>
      <c r="H98">
        <v>0.24470328320294099</v>
      </c>
      <c r="I98">
        <v>0.24396027385982039</v>
      </c>
      <c r="J98">
        <v>0.2469436487322218</v>
      </c>
      <c r="K98">
        <v>0.24505956323631981</v>
      </c>
      <c r="L98">
        <v>0.24317125250619689</v>
      </c>
      <c r="M98">
        <v>0.24307765296544459</v>
      </c>
      <c r="N98">
        <v>0.24490643235627679</v>
      </c>
      <c r="O98">
        <v>0.24377759820161291</v>
      </c>
      <c r="P98">
        <v>0.24401766179885029</v>
      </c>
      <c r="Q98">
        <v>0.24398130955195599</v>
      </c>
      <c r="R98">
        <v>0.24309549067614589</v>
      </c>
      <c r="S98">
        <v>0.24256629403148</v>
      </c>
      <c r="T98">
        <v>0.24256900312771321</v>
      </c>
      <c r="U98">
        <v>0.24230444661784581</v>
      </c>
      <c r="V98">
        <v>0.2432224459594779</v>
      </c>
      <c r="W98">
        <v>0.24368009939377749</v>
      </c>
      <c r="X98">
        <v>0.24270262326834691</v>
      </c>
      <c r="Y98">
        <v>0.2414826510383983</v>
      </c>
      <c r="Z98">
        <v>0.2427936178291481</v>
      </c>
      <c r="AA98">
        <v>0.24347388922722241</v>
      </c>
      <c r="AB98">
        <v>0.24245255236154131</v>
      </c>
      <c r="AC98">
        <v>0.24098370909390049</v>
      </c>
      <c r="AD98">
        <v>0.24178001906019209</v>
      </c>
      <c r="AE98">
        <v>0.24084226852274149</v>
      </c>
      <c r="AF98">
        <v>0.2417058371003375</v>
      </c>
      <c r="AG98">
        <v>0.24288520902710309</v>
      </c>
      <c r="AH98">
        <v>0.2420007453172078</v>
      </c>
      <c r="AI98">
        <v>0.24110566401595249</v>
      </c>
      <c r="AJ98">
        <v>0.24276585891959809</v>
      </c>
      <c r="AK98">
        <v>0.24112082132038759</v>
      </c>
      <c r="AL98">
        <v>0.24315016374552881</v>
      </c>
      <c r="AM98">
        <v>0.24014324133004811</v>
      </c>
      <c r="AN98">
        <v>0.25056236268977039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Data Tables (Q)</vt:lpstr>
      <vt:lpstr>Data Tables (M)</vt:lpstr>
      <vt:lpstr>Data Tables (W)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Ali</cp:lastModifiedBy>
  <dcterms:created xsi:type="dcterms:W3CDTF">2026-03-23T15:49:00Z</dcterms:created>
  <dcterms:modified xsi:type="dcterms:W3CDTF">2026-09-24T19:00:47Z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0x0101002F7055BF62EA51469C2F194260F7319E</vt:lpwstr>
  </property>
</Properties>
</file>