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hmed.ali\ragu-los\RAGU LOS\all_lobs\output\"/>
    </mc:Choice>
  </mc:AlternateContent>
  <xr:revisionPtr revIDLastSave="0" documentId="13_ncr:1_{7E24E649-67EB-4BDC-9D0A-B4572B34E121}" xr6:coauthVersionLast="47" xr6:coauthVersionMax="47" xr10:uidLastSave="{00000000-0000-0000-0000-000000000000}"/>
  <bookViews>
    <workbookView xWindow="-23820" yWindow="-21720" windowWidth="38640" windowHeight="21120" activeTab="1" xr2:uid="{00000000-000D-0000-FFFF-FFFF00000000}"/>
  </bookViews>
  <sheets>
    <sheet name="Data Tables (M) (2)" sheetId="1" r:id="rId1"/>
    <sheet name="Data Tables (Q)" sheetId="2" r:id="rId2"/>
    <sheet name="Data Tables (M)" sheetId="4" r:id="rId3"/>
    <sheet name="Sheet1" sheetId="3" r:id="rId4"/>
    <sheet name="Data Tables (W) pikls" sheetId="5" r:id="rId5"/>
    <sheet name="Sheet2" sheetId="6" r:id="rId6"/>
    <sheet name="Data Tables (W)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2" i="5" l="1"/>
  <c r="AA41" i="5"/>
  <c r="AA30" i="5"/>
  <c r="AA19" i="5"/>
  <c r="AA8" i="5"/>
  <c r="D85" i="3"/>
  <c r="D84" i="3"/>
  <c r="D83" i="3"/>
  <c r="D82" i="3"/>
  <c r="D81" i="3"/>
  <c r="D80" i="3"/>
  <c r="D79" i="3"/>
  <c r="D78" i="3"/>
  <c r="D77" i="3"/>
  <c r="I74" i="3"/>
  <c r="I83" i="3" s="1"/>
  <c r="H74" i="3"/>
  <c r="H78" i="3" s="1"/>
  <c r="G74" i="3"/>
  <c r="G78" i="3" s="1"/>
  <c r="F74" i="3"/>
  <c r="F81" i="3" s="1"/>
  <c r="E74" i="3"/>
  <c r="E81" i="3" s="1"/>
  <c r="H24" i="3"/>
  <c r="G24" i="3"/>
  <c r="F24" i="3"/>
  <c r="E24" i="3"/>
  <c r="H23" i="3"/>
  <c r="G23" i="3"/>
  <c r="F23" i="3"/>
  <c r="E23" i="3"/>
  <c r="H22" i="3"/>
  <c r="G22" i="3"/>
  <c r="F22" i="3"/>
  <c r="E22" i="3"/>
  <c r="H21" i="3"/>
  <c r="G21" i="3"/>
  <c r="F21" i="3"/>
  <c r="E21" i="3"/>
  <c r="H20" i="3"/>
  <c r="G20" i="3"/>
  <c r="F20" i="3"/>
  <c r="E20" i="3"/>
  <c r="H19" i="3"/>
  <c r="G19" i="3"/>
  <c r="F19" i="3"/>
  <c r="E19" i="3"/>
  <c r="H18" i="3"/>
  <c r="G18" i="3"/>
  <c r="F18" i="3"/>
  <c r="E18" i="3"/>
  <c r="H17" i="3"/>
  <c r="G17" i="3"/>
  <c r="F17" i="3"/>
  <c r="E17" i="3"/>
  <c r="H16" i="3"/>
  <c r="G16" i="3"/>
  <c r="F16" i="3"/>
  <c r="E16" i="3"/>
  <c r="E75" i="3" l="1"/>
  <c r="I78" i="3"/>
  <c r="G81" i="3"/>
  <c r="E84" i="3"/>
  <c r="F75" i="3"/>
  <c r="H81" i="3"/>
  <c r="F84" i="3"/>
  <c r="G75" i="3"/>
  <c r="E79" i="3"/>
  <c r="I81" i="3"/>
  <c r="G84" i="3"/>
  <c r="H75" i="3"/>
  <c r="F79" i="3"/>
  <c r="H84" i="3"/>
  <c r="I75" i="3"/>
  <c r="G79" i="3"/>
  <c r="E82" i="3"/>
  <c r="I84" i="3"/>
  <c r="H79" i="3"/>
  <c r="F82" i="3"/>
  <c r="E77" i="3"/>
  <c r="I79" i="3"/>
  <c r="G82" i="3"/>
  <c r="E85" i="3"/>
  <c r="F77" i="3"/>
  <c r="H82" i="3"/>
  <c r="F85" i="3"/>
  <c r="G77" i="3"/>
  <c r="E80" i="3"/>
  <c r="I82" i="3"/>
  <c r="G85" i="3"/>
  <c r="H77" i="3"/>
  <c r="F80" i="3"/>
  <c r="H85" i="3"/>
  <c r="I77" i="3"/>
  <c r="G80" i="3"/>
  <c r="E83" i="3"/>
  <c r="I85" i="3"/>
  <c r="H80" i="3"/>
  <c r="F83" i="3"/>
  <c r="E78" i="3"/>
  <c r="I80" i="3"/>
  <c r="G83" i="3"/>
  <c r="F78" i="3"/>
  <c r="H83" i="3"/>
</calcChain>
</file>

<file path=xl/sharedStrings.xml><?xml version="1.0" encoding="utf-8"?>
<sst xmlns="http://schemas.openxmlformats.org/spreadsheetml/2006/main" count="2142" uniqueCount="166">
  <si>
    <t>AN</t>
  </si>
  <si>
    <t>2020 M01</t>
  </si>
  <si>
    <t>2020 M02</t>
  </si>
  <si>
    <t>2020 M03</t>
  </si>
  <si>
    <t>2020 M04</t>
  </si>
  <si>
    <t>2020 M05</t>
  </si>
  <si>
    <t>2020 M06</t>
  </si>
  <si>
    <t>2020 M07</t>
  </si>
  <si>
    <t>2020 M08</t>
  </si>
  <si>
    <t>2020 M09</t>
  </si>
  <si>
    <t>2020 M10</t>
  </si>
  <si>
    <t>2020 M11</t>
  </si>
  <si>
    <t>2020 M12</t>
  </si>
  <si>
    <t>2021 M01</t>
  </si>
  <si>
    <t>2021 M02</t>
  </si>
  <si>
    <t>2021 M03</t>
  </si>
  <si>
    <t>2021 M04</t>
  </si>
  <si>
    <t>2021 M05</t>
  </si>
  <si>
    <t>2021 M06</t>
  </si>
  <si>
    <t>2021 M07</t>
  </si>
  <si>
    <t>2021 M08</t>
  </si>
  <si>
    <t>2021 M09</t>
  </si>
  <si>
    <t>2021 M10</t>
  </si>
  <si>
    <t>2021 M11</t>
  </si>
  <si>
    <t>2021 M12</t>
  </si>
  <si>
    <t>2022 M01</t>
  </si>
  <si>
    <t>2022 M02</t>
  </si>
  <si>
    <t>2022 M03</t>
  </si>
  <si>
    <t>2022 M04</t>
  </si>
  <si>
    <t>2022 M05</t>
  </si>
  <si>
    <t>2022 M06</t>
  </si>
  <si>
    <t>2022 M07</t>
  </si>
  <si>
    <t>2022 M08</t>
  </si>
  <si>
    <t>2022 M09</t>
  </si>
  <si>
    <t>2022 M10</t>
  </si>
  <si>
    <t>2022 M11</t>
  </si>
  <si>
    <t>2022 M12</t>
  </si>
  <si>
    <t>2023 M01</t>
  </si>
  <si>
    <t>2023 M02</t>
  </si>
  <si>
    <t>2023 M03</t>
  </si>
  <si>
    <t>2023 M04</t>
  </si>
  <si>
    <t>2023 M05</t>
  </si>
  <si>
    <t>2023 M06</t>
  </si>
  <si>
    <t>2023 M07</t>
  </si>
  <si>
    <t>2023 M08</t>
  </si>
  <si>
    <t>2023 M09</t>
  </si>
  <si>
    <t>2023 M10</t>
  </si>
  <si>
    <t>2023 M11</t>
  </si>
  <si>
    <t>2023 M12</t>
  </si>
  <si>
    <t>2024 M01</t>
  </si>
  <si>
    <t>2024 M02</t>
  </si>
  <si>
    <t>2024 M03</t>
  </si>
  <si>
    <t>2024 M04</t>
  </si>
  <si>
    <t>2024 M05</t>
  </si>
  <si>
    <t>2024 M06</t>
  </si>
  <si>
    <t>2024 M07</t>
  </si>
  <si>
    <t>2024 M08</t>
  </si>
  <si>
    <t>2024 M09</t>
  </si>
  <si>
    <t>2024 M10</t>
  </si>
  <si>
    <t>2024 M11</t>
  </si>
  <si>
    <t>2024 M12</t>
  </si>
  <si>
    <t>2025 M01</t>
  </si>
  <si>
    <t>2025 M02</t>
  </si>
  <si>
    <t>2025 M03</t>
  </si>
  <si>
    <t>2025 M04</t>
  </si>
  <si>
    <t>2025 M05</t>
  </si>
  <si>
    <t>2025 M06</t>
  </si>
  <si>
    <t>2025 M07</t>
  </si>
  <si>
    <t>2025 M08</t>
  </si>
  <si>
    <t>2025 M09</t>
  </si>
  <si>
    <t>2025 M10</t>
  </si>
  <si>
    <t>2025 M11</t>
  </si>
  <si>
    <t>2025 M12</t>
  </si>
  <si>
    <t>2026 M01</t>
  </si>
  <si>
    <t>2026 M02</t>
  </si>
  <si>
    <t>2026 M03</t>
  </si>
  <si>
    <t>2026 M04</t>
  </si>
  <si>
    <t>2026 M05</t>
  </si>
  <si>
    <t>2026 M06</t>
  </si>
  <si>
    <t>2026 M07</t>
  </si>
  <si>
    <t>2026 M08</t>
  </si>
  <si>
    <t>Model Score</t>
  </si>
  <si>
    <t>Expected Gross Loss Impact</t>
  </si>
  <si>
    <t>Recovery Impact</t>
  </si>
  <si>
    <t>LTV Impact</t>
  </si>
  <si>
    <t>APR Impact</t>
  </si>
  <si>
    <t>RAGU Score</t>
  </si>
  <si>
    <t>Amount Financed</t>
  </si>
  <si>
    <t>Weighted LTV</t>
  </si>
  <si>
    <t>Weighted APR</t>
  </si>
  <si>
    <t>FRN</t>
  </si>
  <si>
    <t>STG</t>
  </si>
  <si>
    <t>FLD</t>
  </si>
  <si>
    <t>ENT</t>
  </si>
  <si>
    <t>KMX</t>
  </si>
  <si>
    <t>Franchise Independent</t>
  </si>
  <si>
    <t>nonKMX</t>
  </si>
  <si>
    <t>POS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</si>
  <si>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</si>
  <si>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</si>
  <si>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</si>
  <si>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</si>
  <si>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</si>
  <si>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</si>
  <si>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</si>
  <si>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</si>
  <si>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</si>
  <si>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</si>
  <si>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</si>
  <si>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</si>
  <si>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</si>
  <si>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</si>
  <si>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</si>
  <si>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</si>
  <si>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</si>
  <si>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</si>
  <si>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</si>
  <si>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</si>
  <si>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</si>
  <si>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</si>
  <si>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</si>
  <si>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</si>
  <si>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</si>
  <si>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</si>
  <si>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2026 Q3</t>
  </si>
  <si>
    <t>Vanilla</t>
  </si>
  <si>
    <t>Gross Loss Impact</t>
  </si>
  <si>
    <t>STE</t>
  </si>
  <si>
    <t>POS with STE</t>
  </si>
  <si>
    <t>2026-03-15/2026-03-21</t>
  </si>
  <si>
    <t>2026-03-22/2026-03-28</t>
  </si>
  <si>
    <t>2026-03-29/2026-04-04</t>
  </si>
  <si>
    <t>2026-04-05/2026-04-11</t>
  </si>
  <si>
    <t>2026-04-12/2026-04-18</t>
  </si>
  <si>
    <t>2026-04-19/2026-04-25</t>
  </si>
  <si>
    <t>2026-04-26/2026-05-02</t>
  </si>
  <si>
    <t>2026-05-03/2026-05-09</t>
  </si>
  <si>
    <t>2026-05-10/2026-05-16</t>
  </si>
  <si>
    <t>2026-05-17/2026-05-23</t>
  </si>
  <si>
    <t>2026-05-24/2026-05-30</t>
  </si>
  <si>
    <t>2026-05-31/2026-06-06</t>
  </si>
  <si>
    <t>2026-06-07/2026-06-13</t>
  </si>
  <si>
    <t>2026-06-14/2026-06-20</t>
  </si>
  <si>
    <t>2026-06-21/2026-06-27</t>
  </si>
  <si>
    <t>2026-06-28/2026-07-04</t>
  </si>
  <si>
    <t>2026-07-05/2026-07-11</t>
  </si>
  <si>
    <t>2026-07-12/2026-07-18</t>
  </si>
  <si>
    <t>2026-07-19/2026-07-25</t>
  </si>
  <si>
    <t>2026-07-26/2026-08-01</t>
  </si>
  <si>
    <t>2026-08-02/2026-08-08</t>
  </si>
  <si>
    <t>2026-08-09/2026-08-15</t>
  </si>
  <si>
    <t>2026-08-16/2026-08-22</t>
  </si>
  <si>
    <t>2026-08-23/2026-08-29</t>
  </si>
  <si>
    <t>2025-12-28/2026-01-03</t>
  </si>
  <si>
    <t>2026-01-04/2026-01-10</t>
  </si>
  <si>
    <t>2026-01-11/2026-01-17</t>
  </si>
  <si>
    <t>2026-01-18/2026-01-24</t>
  </si>
  <si>
    <t>2026-01-25/2026-01-31</t>
  </si>
  <si>
    <t>2026-02-01/2026-02-07</t>
  </si>
  <si>
    <t>2026-02-08/2026-02-14</t>
  </si>
  <si>
    <t>2026-02-15/2026-02-21</t>
  </si>
  <si>
    <t>2026-02-22/2026-02-28</t>
  </si>
  <si>
    <t>2026-03-01/2026-03-07</t>
  </si>
  <si>
    <t>2026-03-08/2026-03-14</t>
  </si>
  <si>
    <t>2026-08-30/2026-09-05</t>
  </si>
  <si>
    <t>2026-09-06/2026-09-12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</si>
</sst>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0" fontId="0" fillId="3" borderId="0" xfId="0" applyFill="1"/>
    <xf numFmtId="2" fontId="0" fillId="3" borderId="0" xfId="0" applyNumberFormat="1" applyFill="1"/>
    <xf numFmtId="0" fontId="0" fillId="4" borderId="0" xfId="0" applyFill="1"/>
    <xf numFmtId="0" fontId="0" fillId="0" borderId="0" xfId="0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98"/>
  <sheetViews>
    <sheetView topLeftCell="A5" zoomScale="250" zoomScaleNormal="250" workbookViewId="0">
      <pane xSplit="1" topLeftCell="BS1" activePane="topRight" state="frozen"/>
      <selection pane="topRight" activeCell="BW10" sqref="BW10"/>
    </sheetView>
  </sheetViews>
  <sheetFormatPr defaultRowHeight="14.5" x14ac:dyDescent="0.35"/>
  <cols>
    <col min="1" max="1" width="24.36328125" bestFit="1" customWidth="1"/>
    <col min="80" max="80" width="8.7265625" style="7" customWidth="1"/>
  </cols>
  <sheetData>
    <row r="1" spans="1:8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s="7" t="s">
        <v>79</v>
      </c>
      <c r="CC1" t="s">
        <v>80</v>
      </c>
    </row>
    <row r="2" spans="1:81" x14ac:dyDescent="0.35">
      <c r="A2" t="s">
        <v>81</v>
      </c>
      <c r="B2">
        <v>132.2241619390681</v>
      </c>
      <c r="C2">
        <v>131.69557600078139</v>
      </c>
      <c r="D2">
        <v>131.53582824909881</v>
      </c>
      <c r="E2">
        <v>132.10731633446471</v>
      </c>
      <c r="F2">
        <v>133.73850016265479</v>
      </c>
      <c r="G2">
        <v>134.6174308226575</v>
      </c>
      <c r="H2">
        <v>134.70335888236579</v>
      </c>
      <c r="I2">
        <v>135.40477465236381</v>
      </c>
      <c r="J2">
        <v>135.95363482544801</v>
      </c>
      <c r="K2">
        <v>135.57208928937001</v>
      </c>
      <c r="L2">
        <v>136.62575702736621</v>
      </c>
      <c r="M2">
        <v>135.31622820866019</v>
      </c>
      <c r="N2">
        <v>135.3972479643077</v>
      </c>
      <c r="O2">
        <v>135.07278794031441</v>
      </c>
      <c r="P2">
        <v>133.98797247698309</v>
      </c>
      <c r="Q2">
        <v>134.81867575659359</v>
      </c>
      <c r="R2">
        <v>135.4494120870846</v>
      </c>
      <c r="S2">
        <v>135.34928254792021</v>
      </c>
      <c r="T2">
        <v>135.11117902221321</v>
      </c>
      <c r="U2">
        <v>136.07627260497631</v>
      </c>
      <c r="V2">
        <v>134.90842066942071</v>
      </c>
      <c r="W2">
        <v>134.97240673576769</v>
      </c>
      <c r="X2">
        <v>133.41344493614301</v>
      </c>
      <c r="Y2">
        <v>134.69760720729681</v>
      </c>
      <c r="Z2">
        <v>134.07195683506279</v>
      </c>
      <c r="AA2">
        <v>133.4297191991505</v>
      </c>
      <c r="AB2">
        <v>134.50193850488699</v>
      </c>
      <c r="AC2">
        <v>135.3253668343186</v>
      </c>
      <c r="AD2">
        <v>136.20510255964689</v>
      </c>
      <c r="AE2">
        <v>136.07923031291949</v>
      </c>
      <c r="AF2">
        <v>136.0277987012029</v>
      </c>
      <c r="AG2">
        <v>136.13181920408391</v>
      </c>
      <c r="AH2">
        <v>136.23122197358771</v>
      </c>
      <c r="AI2">
        <v>136.45645249123129</v>
      </c>
      <c r="AJ2">
        <v>137.33241796787649</v>
      </c>
      <c r="AK2">
        <v>136.4747775388729</v>
      </c>
      <c r="AL2">
        <v>137.33775872804799</v>
      </c>
      <c r="AM2">
        <v>136.79209401636729</v>
      </c>
      <c r="AN2">
        <v>136.18158849196831</v>
      </c>
      <c r="AO2">
        <v>137.1613283891798</v>
      </c>
      <c r="AP2">
        <v>136.65871416930619</v>
      </c>
      <c r="AQ2">
        <v>136.74544158356349</v>
      </c>
      <c r="AR2">
        <v>135.57130213801489</v>
      </c>
      <c r="AS2">
        <v>136.70715355945461</v>
      </c>
      <c r="AT2">
        <v>136.9415683136157</v>
      </c>
      <c r="AU2">
        <v>137.27874441929089</v>
      </c>
      <c r="AV2">
        <v>136.64029247504359</v>
      </c>
      <c r="AW2">
        <v>137.19478332015899</v>
      </c>
      <c r="AX2">
        <v>136.49232527877649</v>
      </c>
      <c r="AY2">
        <v>136.56359262493399</v>
      </c>
      <c r="AZ2">
        <v>136.14450585844199</v>
      </c>
      <c r="BA2">
        <v>137.04259799150881</v>
      </c>
      <c r="BB2">
        <v>137.21670336214979</v>
      </c>
      <c r="BC2">
        <v>137.10181794748939</v>
      </c>
      <c r="BD2">
        <v>137.7980778151497</v>
      </c>
      <c r="BE2">
        <v>138.41402400610119</v>
      </c>
      <c r="BF2">
        <v>138.021410566615</v>
      </c>
      <c r="BG2">
        <v>137.12035661810521</v>
      </c>
      <c r="BH2">
        <v>136.3528375867082</v>
      </c>
      <c r="BI2">
        <v>136.7647914245932</v>
      </c>
      <c r="BJ2">
        <v>136.8007890234102</v>
      </c>
      <c r="BK2">
        <v>137.05065103811651</v>
      </c>
      <c r="BL2">
        <v>136.5950499424504</v>
      </c>
      <c r="BM2">
        <v>137.53394833060051</v>
      </c>
      <c r="BN2">
        <v>138.2581123096131</v>
      </c>
      <c r="BO2">
        <v>138.18007470888691</v>
      </c>
      <c r="BP2">
        <v>138.44710796446449</v>
      </c>
      <c r="BQ2">
        <v>138.2653612435879</v>
      </c>
      <c r="BR2">
        <v>138.84086216343701</v>
      </c>
      <c r="BS2">
        <v>138.79866707787801</v>
      </c>
      <c r="BT2">
        <v>138.98176116685511</v>
      </c>
      <c r="BU2">
        <v>140.24854553290831</v>
      </c>
      <c r="BV2">
        <v>140.28276287257211</v>
      </c>
      <c r="BW2">
        <v>140.1615203110824</v>
      </c>
      <c r="BX2">
        <v>140.28684622294821</v>
      </c>
      <c r="BY2">
        <v>140.79033281506071</v>
      </c>
      <c r="BZ2">
        <v>140.87261868900441</v>
      </c>
      <c r="CA2">
        <v>141.1551288971016</v>
      </c>
      <c r="CB2" s="7">
        <v>140.93325276682069</v>
      </c>
      <c r="CC2">
        <v>141.84287503587649</v>
      </c>
    </row>
    <row r="3" spans="1:81" x14ac:dyDescent="0.35">
      <c r="A3" t="s">
        <v>82</v>
      </c>
      <c r="B3">
        <v>1.338082947136229</v>
      </c>
      <c r="C3">
        <v>1.446160481182915</v>
      </c>
      <c r="D3">
        <v>1.4339252458312901</v>
      </c>
      <c r="E3">
        <v>0.93460995469251884</v>
      </c>
      <c r="F3">
        <v>1.409682281294323</v>
      </c>
      <c r="G3">
        <v>1.4429563638313709</v>
      </c>
      <c r="H3">
        <v>0.5770413470061726</v>
      </c>
      <c r="I3">
        <v>0.57479760022800974</v>
      </c>
      <c r="J3">
        <v>0.60955378556292317</v>
      </c>
      <c r="K3">
        <v>1.287534788775218</v>
      </c>
      <c r="L3">
        <v>1.1467412211529791</v>
      </c>
      <c r="M3">
        <v>0.75818335650578206</v>
      </c>
      <c r="N3">
        <v>1.1393285186792921</v>
      </c>
      <c r="O3">
        <v>1.2652721395744491</v>
      </c>
      <c r="P3">
        <v>1.388594186532345</v>
      </c>
      <c r="Q3">
        <v>1.6461462914078879</v>
      </c>
      <c r="R3">
        <v>1.2403264116685191</v>
      </c>
      <c r="S3">
        <v>1.0839313192883819</v>
      </c>
      <c r="T3">
        <v>1.0338739044630361</v>
      </c>
      <c r="U3">
        <v>1.0998423630059619</v>
      </c>
      <c r="V3">
        <v>1.2847081902829129</v>
      </c>
      <c r="W3">
        <v>1.181208537106045</v>
      </c>
      <c r="X3">
        <v>0.45290006015727607</v>
      </c>
      <c r="Y3">
        <v>0.84478330833670157</v>
      </c>
      <c r="Z3">
        <v>1.066429489116189</v>
      </c>
      <c r="AA3">
        <v>1.197570246862796</v>
      </c>
      <c r="AB3">
        <v>1.3885053436420951</v>
      </c>
      <c r="AC3">
        <v>1.275637549210614</v>
      </c>
      <c r="AD3">
        <v>1.323956212132231</v>
      </c>
      <c r="AE3">
        <v>0.95968974997427381</v>
      </c>
      <c r="AF3">
        <v>1.0937253622036001</v>
      </c>
      <c r="AG3">
        <v>1.3289696703375571</v>
      </c>
      <c r="AH3">
        <v>1.279037357725286</v>
      </c>
      <c r="AI3">
        <v>1.013762007637695</v>
      </c>
      <c r="AJ3">
        <v>0.6753220858234954</v>
      </c>
      <c r="AK3">
        <v>1.9821992472050169</v>
      </c>
      <c r="AL3">
        <v>0.22681433088658309</v>
      </c>
      <c r="AM3">
        <v>1.1307477851557619</v>
      </c>
      <c r="AN3">
        <v>0.89077359781845189</v>
      </c>
      <c r="AO3">
        <v>0.44987993289598188</v>
      </c>
      <c r="AP3">
        <v>1.172135802694982</v>
      </c>
      <c r="AQ3">
        <v>1.3122606275319411</v>
      </c>
      <c r="AR3">
        <v>0.3130037259669507</v>
      </c>
      <c r="AS3">
        <v>0.66013348507743785</v>
      </c>
      <c r="AT3">
        <v>1.024817747250637</v>
      </c>
      <c r="AU3">
        <v>1.1246127846819429</v>
      </c>
      <c r="AV3">
        <v>0.49801432134145779</v>
      </c>
      <c r="AW3">
        <v>0.81668849792887954</v>
      </c>
      <c r="AX3">
        <v>0.82800118213887686</v>
      </c>
      <c r="AY3">
        <v>0.26071870038114747</v>
      </c>
      <c r="AZ3">
        <v>0.62993603463181103</v>
      </c>
      <c r="BA3">
        <v>0.90638574612486877</v>
      </c>
      <c r="BB3">
        <v>1.202924301030635</v>
      </c>
      <c r="BC3">
        <v>1.311481859761471</v>
      </c>
      <c r="BD3">
        <v>1.0705775711672629</v>
      </c>
      <c r="BE3">
        <v>0.98772197179155796</v>
      </c>
      <c r="BF3">
        <v>0.70073903384752612</v>
      </c>
      <c r="BG3">
        <v>1.061374155930253</v>
      </c>
      <c r="BH3">
        <v>0.82047390883664661</v>
      </c>
      <c r="BI3">
        <v>1.2428613240040529</v>
      </c>
      <c r="BJ3">
        <v>1.553796640096607</v>
      </c>
      <c r="BK3">
        <v>1.652105902271956</v>
      </c>
      <c r="BL3">
        <v>1.1426098081851419</v>
      </c>
      <c r="BM3">
        <v>2.113889454660665</v>
      </c>
      <c r="BN3">
        <v>2.4356797436886102</v>
      </c>
      <c r="BO3">
        <v>2.8837555557798851</v>
      </c>
      <c r="BP3">
        <v>2.9829128778957852</v>
      </c>
      <c r="BQ3">
        <v>2.9530224220886789</v>
      </c>
      <c r="BR3">
        <v>2.697407607189064</v>
      </c>
      <c r="BS3">
        <v>2.8883547637960869</v>
      </c>
      <c r="BT3">
        <v>2.4185693644164128</v>
      </c>
      <c r="BU3">
        <v>3.222483034055557</v>
      </c>
      <c r="BV3">
        <v>3.455807867875905</v>
      </c>
      <c r="BW3">
        <v>2.9180815728220471</v>
      </c>
      <c r="BX3">
        <v>2.6999551819314722</v>
      </c>
      <c r="BY3">
        <v>3.219181990157864</v>
      </c>
      <c r="BZ3">
        <v>3.3893383965202588</v>
      </c>
      <c r="CA3">
        <v>3.397210123679173</v>
      </c>
      <c r="CB3" s="7">
        <v>3.5217524009095769</v>
      </c>
      <c r="CC3">
        <v>3.3604871464883672</v>
      </c>
    </row>
    <row r="4" spans="1:81" x14ac:dyDescent="0.35">
      <c r="A4" t="s">
        <v>83</v>
      </c>
      <c r="B4">
        <v>-0.2544239172743718</v>
      </c>
      <c r="C4">
        <v>-0.61065871038950503</v>
      </c>
      <c r="D4">
        <v>-0.41542340984803727</v>
      </c>
      <c r="E4">
        <v>-1.32054224171597</v>
      </c>
      <c r="F4">
        <v>-0.85825968015294629</v>
      </c>
      <c r="G4">
        <v>-0.59469199803637585</v>
      </c>
      <c r="H4">
        <v>-0.69188724029473414</v>
      </c>
      <c r="I4">
        <v>-0.40078275044221179</v>
      </c>
      <c r="J4">
        <v>0.62173502720616369</v>
      </c>
      <c r="K4">
        <v>0.52677562208457918</v>
      </c>
      <c r="L4">
        <v>0.89271127440000986</v>
      </c>
      <c r="M4">
        <v>0.78684669465371826</v>
      </c>
      <c r="N4">
        <v>0.8152003623762647</v>
      </c>
      <c r="O4">
        <v>0.24285004351880801</v>
      </c>
      <c r="P4">
        <v>0.38770477658031832</v>
      </c>
      <c r="Q4">
        <v>0.41425271301811928</v>
      </c>
      <c r="R4">
        <v>8.9392100667894922E-2</v>
      </c>
      <c r="S4">
        <v>0.30054095046653878</v>
      </c>
      <c r="T4">
        <v>2.1111313348963431E-2</v>
      </c>
      <c r="U4">
        <v>0.1082486281664881</v>
      </c>
      <c r="V4">
        <v>4.718849422824075E-3</v>
      </c>
      <c r="W4">
        <v>-0.54494756361354768</v>
      </c>
      <c r="X4">
        <v>-0.62813019273113713</v>
      </c>
      <c r="Y4">
        <v>-0.94173080315349411</v>
      </c>
      <c r="Z4">
        <v>-1.3535702897285999</v>
      </c>
      <c r="AA4">
        <v>-1.383080594411231</v>
      </c>
      <c r="AB4">
        <v>-1.670715936040339</v>
      </c>
      <c r="AC4">
        <v>-1.5091637874062971</v>
      </c>
      <c r="AD4">
        <v>-1.5085043380072931</v>
      </c>
      <c r="AE4">
        <v>-1.5364625485091139</v>
      </c>
      <c r="AF4">
        <v>-1.970335751069118</v>
      </c>
      <c r="AG4">
        <v>-2.0395313540844522</v>
      </c>
      <c r="AH4">
        <v>-2.0128424089764692</v>
      </c>
      <c r="AI4">
        <v>-1.703782793003493</v>
      </c>
      <c r="AJ4">
        <v>-1.267647308155103</v>
      </c>
      <c r="AK4">
        <v>-0.95652758519394454</v>
      </c>
      <c r="AL4">
        <v>-0.97751025541651804</v>
      </c>
      <c r="AM4">
        <v>-1.697190026851229</v>
      </c>
      <c r="AN4">
        <v>-1.7479366569685719</v>
      </c>
      <c r="AO4">
        <v>-0.89610999482713372</v>
      </c>
      <c r="AP4">
        <v>-1.799353491679466</v>
      </c>
      <c r="AQ4">
        <v>-0.82350369569744064</v>
      </c>
      <c r="AR4">
        <v>-1.243504132200685</v>
      </c>
      <c r="AS4">
        <v>-1.331536927434587</v>
      </c>
      <c r="AT4">
        <v>-1.054402600211352</v>
      </c>
      <c r="AU4">
        <v>-1.3668145474639151</v>
      </c>
      <c r="AV4">
        <v>-1.1772263267562471</v>
      </c>
      <c r="AW4">
        <v>-0.93065897475965653</v>
      </c>
      <c r="AX4">
        <v>-0.34549119073333001</v>
      </c>
      <c r="AY4">
        <v>-0.63181009582562564</v>
      </c>
      <c r="AZ4">
        <v>-1.123257151536039</v>
      </c>
      <c r="BA4">
        <v>-0.51814830941368117</v>
      </c>
      <c r="BB4">
        <v>-0.20063469217694291</v>
      </c>
      <c r="BC4">
        <v>0.13056374472227009</v>
      </c>
      <c r="BD4">
        <v>1.35790922818</v>
      </c>
      <c r="BE4">
        <v>0.32155959379624732</v>
      </c>
      <c r="BF4">
        <v>0.37171613834056089</v>
      </c>
      <c r="BG4">
        <v>0.62104259691229891</v>
      </c>
      <c r="BH4">
        <v>1.762235926254865</v>
      </c>
      <c r="BI4">
        <v>1.5696430651099671</v>
      </c>
      <c r="BJ4">
        <v>1.921718366781362</v>
      </c>
      <c r="BK4">
        <v>0.40023104201720539</v>
      </c>
      <c r="BL4">
        <v>0.48144098809475272</v>
      </c>
      <c r="BM4">
        <v>1.19630139616411</v>
      </c>
      <c r="BN4">
        <v>1.2966143087611799</v>
      </c>
      <c r="BO4">
        <v>1.937145104556508</v>
      </c>
      <c r="BP4">
        <v>3.240263712120806</v>
      </c>
      <c r="BQ4">
        <v>2.4129802119249648</v>
      </c>
      <c r="BR4">
        <v>2.358034613530092</v>
      </c>
      <c r="BS4">
        <v>3.4632260614446291</v>
      </c>
      <c r="BT4">
        <v>2.469025236656484</v>
      </c>
      <c r="BU4">
        <v>2.4341691664044571</v>
      </c>
      <c r="BV4">
        <v>3.8035587633440548</v>
      </c>
      <c r="BW4">
        <v>2.0265022988622561</v>
      </c>
      <c r="BX4">
        <v>1.329985549093269</v>
      </c>
      <c r="BY4">
        <v>2.5302456639890578</v>
      </c>
      <c r="BZ4">
        <v>3.8393460694178749</v>
      </c>
      <c r="CA4">
        <v>3.138561940373362</v>
      </c>
      <c r="CB4" s="7">
        <v>3.4678661783866711</v>
      </c>
      <c r="CC4">
        <v>3.5207094639052579</v>
      </c>
    </row>
    <row r="5" spans="1:81" x14ac:dyDescent="0.35">
      <c r="A5" t="s">
        <v>84</v>
      </c>
      <c r="B5">
        <v>-0.2267388901644061</v>
      </c>
      <c r="C5">
        <v>0.28165003000492872</v>
      </c>
      <c r="D5">
        <v>0.75742587950636664</v>
      </c>
      <c r="E5">
        <v>-0.52294949366209376</v>
      </c>
      <c r="F5">
        <v>-0.2332253214800746</v>
      </c>
      <c r="G5">
        <v>0.58766237232288643</v>
      </c>
      <c r="H5">
        <v>1.9722005159238181</v>
      </c>
      <c r="I5">
        <v>3.2685766470510429</v>
      </c>
      <c r="J5">
        <v>3.7896646188091321</v>
      </c>
      <c r="K5">
        <v>3.2463585970623949</v>
      </c>
      <c r="L5">
        <v>3.369056767402832</v>
      </c>
      <c r="M5">
        <v>2.0203011158704038</v>
      </c>
      <c r="N5">
        <v>1.7113104223097619</v>
      </c>
      <c r="O5">
        <v>1.8462744789360379</v>
      </c>
      <c r="P5">
        <v>3.178102119264985</v>
      </c>
      <c r="Q5">
        <v>4.0279974904112974</v>
      </c>
      <c r="R5">
        <v>5.1790770382512248</v>
      </c>
      <c r="S5">
        <v>5.381860037412892</v>
      </c>
      <c r="T5">
        <v>3.830573948522694</v>
      </c>
      <c r="U5">
        <v>4.3974433062599907</v>
      </c>
      <c r="V5">
        <v>2.9393545386973772</v>
      </c>
      <c r="W5">
        <v>4.2287298710089258</v>
      </c>
      <c r="X5">
        <v>3.9051527440252638</v>
      </c>
      <c r="Y5">
        <v>3.9630178308790711</v>
      </c>
      <c r="Z5">
        <v>3.2023113399131931</v>
      </c>
      <c r="AA5">
        <v>3.5251292007386281</v>
      </c>
      <c r="AB5">
        <v>3.5706514530448512</v>
      </c>
      <c r="AC5">
        <v>3.7581833239363229</v>
      </c>
      <c r="AD5">
        <v>2.213415677711108</v>
      </c>
      <c r="AE5">
        <v>1.3398572358826071</v>
      </c>
      <c r="AF5">
        <v>1.735432210793165</v>
      </c>
      <c r="AG5">
        <v>1.9286078670939171</v>
      </c>
      <c r="AH5">
        <v>1.9756074405203901</v>
      </c>
      <c r="AI5">
        <v>1.646871215324653</v>
      </c>
      <c r="AJ5">
        <v>1.2174428930723109</v>
      </c>
      <c r="AK5">
        <v>0.59686522788105756</v>
      </c>
      <c r="AL5">
        <v>0.7143717303753887</v>
      </c>
      <c r="AM5">
        <v>1.2654529382856501</v>
      </c>
      <c r="AN5">
        <v>1.183160158206809</v>
      </c>
      <c r="AO5">
        <v>-1.73693492298825</v>
      </c>
      <c r="AP5">
        <v>2.3956235387916149</v>
      </c>
      <c r="AQ5">
        <v>3.357210112266209</v>
      </c>
      <c r="AR5">
        <v>3.2136118825697269</v>
      </c>
      <c r="AS5">
        <v>2.931788465694813</v>
      </c>
      <c r="AT5">
        <v>2.107814876371247</v>
      </c>
      <c r="AU5">
        <v>1.8486965512410509</v>
      </c>
      <c r="AV5">
        <v>2.9287623388987001</v>
      </c>
      <c r="AW5">
        <v>1.86376818719923</v>
      </c>
      <c r="AX5">
        <v>1.8367416623092181</v>
      </c>
      <c r="AY5">
        <v>1.902160195890273</v>
      </c>
      <c r="AZ5">
        <v>2.183021177160517</v>
      </c>
      <c r="BA5">
        <v>1.875093502157571</v>
      </c>
      <c r="BB5">
        <v>2.5787141950363419</v>
      </c>
      <c r="BC5">
        <v>3.4508213925361342</v>
      </c>
      <c r="BD5">
        <v>4.5147213063482514</v>
      </c>
      <c r="BE5">
        <v>3.2188559563892691</v>
      </c>
      <c r="BF5">
        <v>3.244396743715996</v>
      </c>
      <c r="BG5">
        <v>3.1901028502723778</v>
      </c>
      <c r="BH5">
        <v>3.0036912843228172</v>
      </c>
      <c r="BI5">
        <v>3.775191773525445</v>
      </c>
      <c r="BJ5">
        <v>3.5350972566310821</v>
      </c>
      <c r="BK5">
        <v>3.3945217868939288</v>
      </c>
      <c r="BL5">
        <v>3.4877341154695878</v>
      </c>
      <c r="BM5">
        <v>3.9505798453531602</v>
      </c>
      <c r="BN5">
        <v>4.3639337267443654</v>
      </c>
      <c r="BO5">
        <v>3.877278994887722</v>
      </c>
      <c r="BP5">
        <v>3.6731827414753999</v>
      </c>
      <c r="BQ5">
        <v>3.912690158678505</v>
      </c>
      <c r="BR5">
        <v>4.2802475396087534</v>
      </c>
      <c r="BS5">
        <v>4.7121004321025497</v>
      </c>
      <c r="BT5">
        <v>4.0758132084050498</v>
      </c>
      <c r="BU5">
        <v>3.903216816904477</v>
      </c>
      <c r="BV5">
        <v>3.8406533480419158</v>
      </c>
      <c r="BW5">
        <v>4.3723566500195687</v>
      </c>
      <c r="BX5">
        <v>4.3296992352272046</v>
      </c>
      <c r="BY5">
        <v>3.7251266561599401</v>
      </c>
      <c r="BZ5">
        <v>4.5859825381798638</v>
      </c>
      <c r="CA5">
        <v>4.1143036245768014</v>
      </c>
      <c r="CB5" s="7">
        <v>4.3268182842538216</v>
      </c>
      <c r="CC5">
        <v>3.680932086440468</v>
      </c>
    </row>
    <row r="6" spans="1:81" x14ac:dyDescent="0.35">
      <c r="A6" t="s">
        <v>85</v>
      </c>
      <c r="B6">
        <v>0.63024239316829378</v>
      </c>
      <c r="C6">
        <v>0.27195450147199929</v>
      </c>
      <c r="D6">
        <v>0.50387886596204101</v>
      </c>
      <c r="E6">
        <v>-2.459975711469053E-3</v>
      </c>
      <c r="F6">
        <v>-4.1907303514064347E-2</v>
      </c>
      <c r="G6">
        <v>0.19787240414335469</v>
      </c>
      <c r="H6">
        <v>0.1008117529766084</v>
      </c>
      <c r="I6">
        <v>0.11668396507386319</v>
      </c>
      <c r="J6">
        <v>0.66120666226952696</v>
      </c>
      <c r="K6">
        <v>0.7025351572666767</v>
      </c>
      <c r="L6">
        <v>0.90041251892741325</v>
      </c>
      <c r="M6">
        <v>0.58707242270115756</v>
      </c>
      <c r="N6">
        <v>0.26507766040682917</v>
      </c>
      <c r="O6">
        <v>0.16427925376138211</v>
      </c>
      <c r="P6">
        <v>6.6423759197879462E-2</v>
      </c>
      <c r="Q6">
        <v>0.27562306115991497</v>
      </c>
      <c r="R6">
        <v>0.18914738415199811</v>
      </c>
      <c r="S6">
        <v>0.27487300877664178</v>
      </c>
      <c r="T6">
        <v>0.1137161651845012</v>
      </c>
      <c r="U6">
        <v>6.280776260659815E-2</v>
      </c>
      <c r="V6">
        <v>0.2021967743092376</v>
      </c>
      <c r="W6">
        <v>0.32125914090940572</v>
      </c>
      <c r="X6">
        <v>-0.20075250005737619</v>
      </c>
      <c r="Y6">
        <v>0.19552590414620821</v>
      </c>
      <c r="Z6">
        <v>-0.22042545177257791</v>
      </c>
      <c r="AA6">
        <v>-0.20197051253068141</v>
      </c>
      <c r="AB6">
        <v>-1.6182002811649939E-2</v>
      </c>
      <c r="AC6">
        <v>-0.29454942528209022</v>
      </c>
      <c r="AD6">
        <v>-0.31575962978666938</v>
      </c>
      <c r="AE6">
        <v>-0.28998003256723692</v>
      </c>
      <c r="AF6">
        <v>-0.20472550679268059</v>
      </c>
      <c r="AG6">
        <v>-0.42353607427490891</v>
      </c>
      <c r="AH6">
        <v>-0.31776776516072142</v>
      </c>
      <c r="AI6">
        <v>-0.43186173915276133</v>
      </c>
      <c r="AJ6">
        <v>-0.45052762034407379</v>
      </c>
      <c r="AK6">
        <v>-0.55397510711788445</v>
      </c>
      <c r="AL6">
        <v>-0.65279222277238702</v>
      </c>
      <c r="AM6">
        <v>-0.61596544440131962</v>
      </c>
      <c r="AN6">
        <v>-0.49008420807159281</v>
      </c>
      <c r="AO6">
        <v>-0.69086251055589742</v>
      </c>
      <c r="AP6">
        <v>-0.75567535206374603</v>
      </c>
      <c r="AQ6">
        <v>-0.76149965462538494</v>
      </c>
      <c r="AR6">
        <v>-0.79207747848382137</v>
      </c>
      <c r="AS6">
        <v>-0.44412799458435948</v>
      </c>
      <c r="AT6">
        <v>-0.36291517080846819</v>
      </c>
      <c r="AU6">
        <v>-0.49572329518406782</v>
      </c>
      <c r="AV6">
        <v>-0.47015048258522868</v>
      </c>
      <c r="AW6">
        <v>-0.5157119162875301</v>
      </c>
      <c r="AX6">
        <v>-0.69386470534013978</v>
      </c>
      <c r="AY6">
        <v>-0.59309266599044175</v>
      </c>
      <c r="AZ6">
        <v>-0.48123783338478882</v>
      </c>
      <c r="BA6">
        <v>-0.37947165931780052</v>
      </c>
      <c r="BB6">
        <v>-0.16475888736449951</v>
      </c>
      <c r="BC6">
        <v>2.664153222701748E-2</v>
      </c>
      <c r="BD6">
        <v>0.2005416420925171</v>
      </c>
      <c r="BE6">
        <v>-0.428923114641106</v>
      </c>
      <c r="BF6">
        <v>-0.34989749897530009</v>
      </c>
      <c r="BG6">
        <v>-5.1297939066768938E-2</v>
      </c>
      <c r="BH6">
        <v>-0.22453404609385719</v>
      </c>
      <c r="BI6">
        <v>0.11130028280737971</v>
      </c>
      <c r="BJ6">
        <v>6.6417037271818144E-3</v>
      </c>
      <c r="BK6">
        <v>-0.272981218374585</v>
      </c>
      <c r="BL6">
        <v>-3.070757712070437E-2</v>
      </c>
      <c r="BM6">
        <v>0.27661664982830819</v>
      </c>
      <c r="BN6">
        <v>0.44710485738610362</v>
      </c>
      <c r="BO6">
        <v>0.43484576472742759</v>
      </c>
      <c r="BP6">
        <v>0.67828337374181946</v>
      </c>
      <c r="BQ6">
        <v>0.56777664806911177</v>
      </c>
      <c r="BR6">
        <v>0.85284910500433808</v>
      </c>
      <c r="BS6">
        <v>0.62903513354101015</v>
      </c>
      <c r="BT6">
        <v>0.43625937406562088</v>
      </c>
      <c r="BU6">
        <v>0.55781854082284166</v>
      </c>
      <c r="BV6">
        <v>0.68502859940653882</v>
      </c>
      <c r="BW6">
        <v>0.43671551609607029</v>
      </c>
      <c r="BX6">
        <v>0.57941897702780021</v>
      </c>
      <c r="BY6">
        <v>0.91459426634249674</v>
      </c>
      <c r="BZ6">
        <v>1.4356480722288081</v>
      </c>
      <c r="CA6">
        <v>1.523579858161507</v>
      </c>
      <c r="CB6" s="7">
        <v>1.607620641436259</v>
      </c>
      <c r="CC6">
        <v>1.1882190350613111</v>
      </c>
    </row>
    <row r="7" spans="1:81" x14ac:dyDescent="0.35">
      <c r="A7" t="s">
        <v>86</v>
      </c>
      <c r="B7">
        <v>133.71132447193381</v>
      </c>
      <c r="C7">
        <v>133.08468230305169</v>
      </c>
      <c r="D7">
        <v>133.81563483055049</v>
      </c>
      <c r="E7">
        <v>131.19597457806759</v>
      </c>
      <c r="F7">
        <v>134.01479013880211</v>
      </c>
      <c r="G7">
        <v>136.25122996491871</v>
      </c>
      <c r="H7">
        <v>136.6615252579777</v>
      </c>
      <c r="I7">
        <v>138.9640501142745</v>
      </c>
      <c r="J7">
        <v>141.63579491929579</v>
      </c>
      <c r="K7">
        <v>141.33529345455889</v>
      </c>
      <c r="L7">
        <v>142.9346788092495</v>
      </c>
      <c r="M7">
        <v>139.4686317983913</v>
      </c>
      <c r="N7">
        <v>139.3281649280799</v>
      </c>
      <c r="O7">
        <v>138.59146385610509</v>
      </c>
      <c r="P7">
        <v>139.00879731855869</v>
      </c>
      <c r="Q7">
        <v>141.18269531259091</v>
      </c>
      <c r="R7">
        <v>142.14735502182421</v>
      </c>
      <c r="S7">
        <v>142.39048786386471</v>
      </c>
      <c r="T7">
        <v>140.11045435373251</v>
      </c>
      <c r="U7">
        <v>141.74461466501529</v>
      </c>
      <c r="V7">
        <v>139.33939902213311</v>
      </c>
      <c r="W7">
        <v>140.15865672117849</v>
      </c>
      <c r="X7">
        <v>136.942615047537</v>
      </c>
      <c r="Y7">
        <v>138.7592034475052</v>
      </c>
      <c r="Z7">
        <v>136.76670192259101</v>
      </c>
      <c r="AA7">
        <v>136.56736753980999</v>
      </c>
      <c r="AB7">
        <v>137.77419736272199</v>
      </c>
      <c r="AC7">
        <v>138.55547449477709</v>
      </c>
      <c r="AD7">
        <v>137.91821048169629</v>
      </c>
      <c r="AE7">
        <v>136.55233471770001</v>
      </c>
      <c r="AF7">
        <v>136.6818950163379</v>
      </c>
      <c r="AG7">
        <v>136.926329313156</v>
      </c>
      <c r="AH7">
        <v>137.15525659769619</v>
      </c>
      <c r="AI7">
        <v>136.9814411820374</v>
      </c>
      <c r="AJ7">
        <v>137.5070080182731</v>
      </c>
      <c r="AK7">
        <v>137.54333932164721</v>
      </c>
      <c r="AL7">
        <v>136.64864231112111</v>
      </c>
      <c r="AM7">
        <v>136.8751392685561</v>
      </c>
      <c r="AN7">
        <v>136.0175013829535</v>
      </c>
      <c r="AO7">
        <v>134.2873008937045</v>
      </c>
      <c r="AP7">
        <v>137.6714446670496</v>
      </c>
      <c r="AQ7">
        <v>139.82990897303881</v>
      </c>
      <c r="AR7">
        <v>137.06233613586701</v>
      </c>
      <c r="AS7">
        <v>138.52341058820789</v>
      </c>
      <c r="AT7">
        <v>138.6568831662178</v>
      </c>
      <c r="AU7">
        <v>138.38951591256591</v>
      </c>
      <c r="AV7">
        <v>138.41969232594229</v>
      </c>
      <c r="AW7">
        <v>138.42886911423989</v>
      </c>
      <c r="AX7">
        <v>138.11771222715109</v>
      </c>
      <c r="AY7">
        <v>137.50156875938939</v>
      </c>
      <c r="AZ7">
        <v>137.35296808531351</v>
      </c>
      <c r="BA7">
        <v>138.9264572710598</v>
      </c>
      <c r="BB7">
        <v>140.63294827867529</v>
      </c>
      <c r="BC7">
        <v>142.02132647673631</v>
      </c>
      <c r="BD7">
        <v>144.94182756293779</v>
      </c>
      <c r="BE7">
        <v>142.51323841343719</v>
      </c>
      <c r="BF7">
        <v>141.98836498354379</v>
      </c>
      <c r="BG7">
        <v>141.94157828215339</v>
      </c>
      <c r="BH7">
        <v>141.7147046600287</v>
      </c>
      <c r="BI7">
        <v>143.46378787003999</v>
      </c>
      <c r="BJ7">
        <v>143.8180429906464</v>
      </c>
      <c r="BK7">
        <v>142.22452855092499</v>
      </c>
      <c r="BL7">
        <v>141.67612727707919</v>
      </c>
      <c r="BM7">
        <v>145.07133567660671</v>
      </c>
      <c r="BN7">
        <v>146.8014449461933</v>
      </c>
      <c r="BO7">
        <v>147.31310012883841</v>
      </c>
      <c r="BP7">
        <v>149.02175066969829</v>
      </c>
      <c r="BQ7">
        <v>148.1118306843492</v>
      </c>
      <c r="BR7">
        <v>149.0294010287692</v>
      </c>
      <c r="BS7">
        <v>150.49138346876219</v>
      </c>
      <c r="BT7">
        <v>148.38142835039869</v>
      </c>
      <c r="BU7">
        <v>150.36623309109561</v>
      </c>
      <c r="BV7">
        <v>152.06781145124049</v>
      </c>
      <c r="BW7">
        <v>149.9151763488824</v>
      </c>
      <c r="BX7">
        <v>149.22590516622799</v>
      </c>
      <c r="BY7">
        <v>151.17948139171011</v>
      </c>
      <c r="BZ7">
        <v>154.12293376535121</v>
      </c>
      <c r="CA7">
        <v>153.3287844438924</v>
      </c>
      <c r="CB7" s="7">
        <v>153.85731027180699</v>
      </c>
      <c r="CC7">
        <v>153.59322276777189</v>
      </c>
    </row>
    <row r="8" spans="1:81" x14ac:dyDescent="0.35">
      <c r="A8" t="s">
        <v>87</v>
      </c>
      <c r="B8">
        <v>8960879.1999999993</v>
      </c>
      <c r="C8">
        <v>8090069.1999999993</v>
      </c>
      <c r="D8">
        <v>14720034.27</v>
      </c>
      <c r="E8">
        <v>7223631.0899999999</v>
      </c>
      <c r="F8">
        <v>8961389.3300000001</v>
      </c>
      <c r="G8">
        <v>11388323.4</v>
      </c>
      <c r="H8">
        <v>10005363.57</v>
      </c>
      <c r="I8">
        <v>8283122.1600000001</v>
      </c>
      <c r="J8">
        <v>8211502.9700000007</v>
      </c>
      <c r="K8">
        <v>7451089.9100000001</v>
      </c>
      <c r="L8">
        <v>6614711.25</v>
      </c>
      <c r="M8">
        <v>7759233.7899999991</v>
      </c>
      <c r="N8">
        <v>8335697.7699999996</v>
      </c>
      <c r="O8">
        <v>6751023.4799999986</v>
      </c>
      <c r="P8">
        <v>17370632.629999999</v>
      </c>
      <c r="Q8">
        <v>15571419.619999999</v>
      </c>
      <c r="R8">
        <v>11543040.529999999</v>
      </c>
      <c r="S8">
        <v>11973612.83</v>
      </c>
      <c r="T8">
        <v>10141796.4</v>
      </c>
      <c r="U8">
        <v>8476792.3200000003</v>
      </c>
      <c r="V8">
        <v>7729058.3100000015</v>
      </c>
      <c r="W8">
        <v>8178629.6300000008</v>
      </c>
      <c r="X8">
        <v>7021863.8499999996</v>
      </c>
      <c r="Y8">
        <v>7711044.3399999999</v>
      </c>
      <c r="Z8">
        <v>5621518.1699999999</v>
      </c>
      <c r="AA8">
        <v>6554383.4199999999</v>
      </c>
      <c r="AB8">
        <v>11093647.300000001</v>
      </c>
      <c r="AC8">
        <v>8463274.6099999994</v>
      </c>
      <c r="AD8">
        <v>7378156.6999999993</v>
      </c>
      <c r="AE8">
        <v>7730340.2899999991</v>
      </c>
      <c r="AF8">
        <v>7303764.2699999996</v>
      </c>
      <c r="AG8">
        <v>8836804.9199999999</v>
      </c>
      <c r="AH8">
        <v>7387424.0199999996</v>
      </c>
      <c r="AI8">
        <v>6293238.4499999993</v>
      </c>
      <c r="AJ8">
        <v>5111805.9800000004</v>
      </c>
      <c r="AK8">
        <v>4675059.6999999993</v>
      </c>
      <c r="AL8">
        <v>5469296.5300000003</v>
      </c>
      <c r="AM8">
        <v>5416591.4400000004</v>
      </c>
      <c r="AN8">
        <v>5494246.3500000006</v>
      </c>
      <c r="AO8">
        <v>1635022.03</v>
      </c>
      <c r="AP8">
        <v>7591936.9100000001</v>
      </c>
      <c r="AQ8">
        <v>7188325.0299999993</v>
      </c>
      <c r="AR8">
        <v>7469795.8899999997</v>
      </c>
      <c r="AS8">
        <v>8608056.4699999988</v>
      </c>
      <c r="AT8">
        <v>7191411.9299999997</v>
      </c>
      <c r="AU8">
        <v>7898574.8499999996</v>
      </c>
      <c r="AV8">
        <v>10608252.560000001</v>
      </c>
      <c r="AW8">
        <v>8386481.7600000007</v>
      </c>
      <c r="AX8">
        <v>11035107.310000001</v>
      </c>
      <c r="AY8">
        <v>13162574.470000001</v>
      </c>
      <c r="AZ8">
        <v>20750918.440000001</v>
      </c>
      <c r="BA8">
        <v>17103351.52</v>
      </c>
      <c r="BB8">
        <v>14758441.890000001</v>
      </c>
      <c r="BC8">
        <v>11631177.01</v>
      </c>
      <c r="BD8">
        <v>11942520.800000001</v>
      </c>
      <c r="BE8">
        <v>9696684.4499999993</v>
      </c>
      <c r="BF8">
        <v>9109551.379999999</v>
      </c>
      <c r="BG8">
        <v>11381346.41</v>
      </c>
      <c r="BH8">
        <v>8298510.4300000006</v>
      </c>
      <c r="BI8">
        <v>12318440.98</v>
      </c>
      <c r="BJ8">
        <v>13849177.880000001</v>
      </c>
      <c r="BK8">
        <v>14774077.529999999</v>
      </c>
      <c r="BL8">
        <v>26947376.309999999</v>
      </c>
      <c r="BM8">
        <v>20849411.27</v>
      </c>
      <c r="BN8">
        <v>20015885.079999998</v>
      </c>
      <c r="BO8">
        <v>16944616.73</v>
      </c>
      <c r="BP8">
        <v>17583715.16</v>
      </c>
      <c r="BQ8">
        <v>17009856.440000001</v>
      </c>
      <c r="BR8">
        <v>16644481.210000001</v>
      </c>
      <c r="BS8">
        <v>14256426.640000001</v>
      </c>
      <c r="BT8">
        <v>11610680.67</v>
      </c>
      <c r="BU8">
        <v>13454664.560000001</v>
      </c>
      <c r="BV8">
        <v>12985883.1</v>
      </c>
      <c r="BW8">
        <v>15224881.76</v>
      </c>
      <c r="BX8">
        <v>23401706.25</v>
      </c>
      <c r="BY8">
        <v>20540457.890000001</v>
      </c>
      <c r="BZ8">
        <v>22261812.370000001</v>
      </c>
      <c r="CA8">
        <v>23382323.920000002</v>
      </c>
      <c r="CB8" s="7">
        <v>25967502.93</v>
      </c>
      <c r="CC8">
        <v>10145449.119999999</v>
      </c>
    </row>
    <row r="9" spans="1:81" x14ac:dyDescent="0.35">
      <c r="A9" t="s">
        <v>88</v>
      </c>
      <c r="B9">
        <v>1.966224682489502</v>
      </c>
      <c r="C9">
        <v>1.908382587469317</v>
      </c>
      <c r="D9">
        <v>1.857251170512378</v>
      </c>
      <c r="E9">
        <v>2.0015718218084131</v>
      </c>
      <c r="F9">
        <v>1.9669853404931239</v>
      </c>
      <c r="G9">
        <v>1.875178139188044</v>
      </c>
      <c r="H9">
        <v>1.7383328819616419</v>
      </c>
      <c r="I9">
        <v>1.6271492850386411</v>
      </c>
      <c r="J9">
        <v>1.586365177346913</v>
      </c>
      <c r="K9">
        <v>1.6289348942374839</v>
      </c>
      <c r="L9">
        <v>1.6191225924991679</v>
      </c>
      <c r="M9">
        <v>1.733936797271928</v>
      </c>
      <c r="N9">
        <v>1.7625702986936429</v>
      </c>
      <c r="O9">
        <v>1.749947982390941</v>
      </c>
      <c r="P9">
        <v>1.6344450932534651</v>
      </c>
      <c r="Q9">
        <v>1.568385197641325</v>
      </c>
      <c r="R9">
        <v>1.4869870348130769</v>
      </c>
      <c r="S9">
        <v>1.4735147098977279</v>
      </c>
      <c r="T9">
        <v>1.5832497021686209</v>
      </c>
      <c r="U9">
        <v>1.5413056376857619</v>
      </c>
      <c r="V9">
        <v>1.6540154264268661</v>
      </c>
      <c r="W9">
        <v>1.553555026626404</v>
      </c>
      <c r="X9">
        <v>1.5776014843721129</v>
      </c>
      <c r="Y9">
        <v>1.5732467656169049</v>
      </c>
      <c r="Z9">
        <v>1.6324864737057221</v>
      </c>
      <c r="AA9">
        <v>1.60681083551051</v>
      </c>
      <c r="AB9">
        <v>1.603255009948571</v>
      </c>
      <c r="AC9">
        <v>1.588771015523823</v>
      </c>
      <c r="AD9">
        <v>1.7165089515165739</v>
      </c>
      <c r="AE9">
        <v>1.7982691782067639</v>
      </c>
      <c r="AF9">
        <v>1.7603009970061321</v>
      </c>
      <c r="AG9">
        <v>1.742336268550075</v>
      </c>
      <c r="AH9">
        <v>1.738020777641865</v>
      </c>
      <c r="AI9">
        <v>1.7686613276384879</v>
      </c>
      <c r="AJ9">
        <v>1.810352868598345</v>
      </c>
      <c r="AK9">
        <v>1.8741974535183339</v>
      </c>
      <c r="AL9">
        <v>1.8617651532878341</v>
      </c>
      <c r="AM9">
        <v>1.8055944252480951</v>
      </c>
      <c r="AN9">
        <v>1.8137661282774751</v>
      </c>
      <c r="AO9">
        <v>2.160771760691262</v>
      </c>
      <c r="AP9">
        <v>1.700383590867258</v>
      </c>
      <c r="AQ9">
        <v>1.620064823132515</v>
      </c>
      <c r="AR9">
        <v>1.6315738222142659</v>
      </c>
      <c r="AS9">
        <v>1.654643287869668</v>
      </c>
      <c r="AT9">
        <v>1.72599536961095</v>
      </c>
      <c r="AU9">
        <v>1.7497231127013131</v>
      </c>
      <c r="AV9">
        <v>1.654894540822877</v>
      </c>
      <c r="AW9">
        <v>1.7483251316870989</v>
      </c>
      <c r="AX9">
        <v>1.750833588485756</v>
      </c>
      <c r="AY9">
        <v>1.7447741241326771</v>
      </c>
      <c r="AZ9">
        <v>1.7192286707823841</v>
      </c>
      <c r="BA9">
        <v>1.747276112631184</v>
      </c>
      <c r="BB9">
        <v>1.684482426755133</v>
      </c>
      <c r="BC9">
        <v>1.612649162934678</v>
      </c>
      <c r="BD9">
        <v>1.5329038908009811</v>
      </c>
      <c r="BE9">
        <v>1.6311506482431879</v>
      </c>
      <c r="BF9">
        <v>1.6290927518122871</v>
      </c>
      <c r="BG9">
        <v>1.633473600633742</v>
      </c>
      <c r="BH9">
        <v>1.6486957097686721</v>
      </c>
      <c r="BI9">
        <v>1.5874703039818661</v>
      </c>
      <c r="BJ9">
        <v>1.6060308645166159</v>
      </c>
      <c r="BK9">
        <v>1.6171009227190529</v>
      </c>
      <c r="BL9">
        <v>1.609743655112057</v>
      </c>
      <c r="BM9">
        <v>1.5741807741571869</v>
      </c>
      <c r="BN9">
        <v>1.543723193576195</v>
      </c>
      <c r="BO9">
        <v>1.579707777439574</v>
      </c>
      <c r="BP9">
        <v>1.5953034620950819</v>
      </c>
      <c r="BQ9">
        <v>1.577032880502641</v>
      </c>
      <c r="BR9">
        <v>1.549794002095821</v>
      </c>
      <c r="BS9">
        <v>1.518968655434056</v>
      </c>
      <c r="BT9">
        <v>1.5648269261964971</v>
      </c>
      <c r="BU9">
        <v>1.5777475920992701</v>
      </c>
      <c r="BV9">
        <v>1.582483977312479</v>
      </c>
      <c r="BW9">
        <v>1.543114806666386</v>
      </c>
      <c r="BX9">
        <v>1.54620089276888</v>
      </c>
      <c r="BY9">
        <v>1.591305112251155</v>
      </c>
      <c r="BZ9">
        <v>1.5278433558290501</v>
      </c>
      <c r="CA9">
        <v>1.561974317808505</v>
      </c>
      <c r="CB9" s="7">
        <v>1.54640976260158</v>
      </c>
      <c r="CC9">
        <v>1.594705686482258</v>
      </c>
    </row>
    <row r="10" spans="1:81" x14ac:dyDescent="0.35">
      <c r="A10" t="s">
        <v>89</v>
      </c>
      <c r="B10">
        <v>0.24099653724045289</v>
      </c>
      <c r="C10">
        <v>0.24611493569325721</v>
      </c>
      <c r="D10">
        <v>0.24280173048625661</v>
      </c>
      <c r="E10">
        <v>0.25003514251016379</v>
      </c>
      <c r="F10">
        <v>0.25059867576448658</v>
      </c>
      <c r="G10">
        <v>0.24717325136938059</v>
      </c>
      <c r="H10">
        <v>0.24855983210033419</v>
      </c>
      <c r="I10">
        <v>0.2483330862132305</v>
      </c>
      <c r="J10">
        <v>0.24055419053900681</v>
      </c>
      <c r="K10">
        <v>0.2399637834676189</v>
      </c>
      <c r="L10">
        <v>0.23713696401532269</v>
      </c>
      <c r="M10">
        <v>0.24161325110426921</v>
      </c>
      <c r="N10">
        <v>0.24621317627990241</v>
      </c>
      <c r="O10">
        <v>0.24765315351769451</v>
      </c>
      <c r="P10">
        <v>0.24905108915431601</v>
      </c>
      <c r="Q10">
        <v>0.2460625276977155</v>
      </c>
      <c r="R10">
        <v>0.24729789451211431</v>
      </c>
      <c r="S10">
        <v>0.24607324273176229</v>
      </c>
      <c r="T10">
        <v>0.2483754833545071</v>
      </c>
      <c r="U10">
        <v>0.2491027462484772</v>
      </c>
      <c r="V10">
        <v>0.2471114746527252</v>
      </c>
      <c r="W10">
        <v>0.2454105837012942</v>
      </c>
      <c r="X10">
        <v>0.25286789285796252</v>
      </c>
      <c r="Y10">
        <v>0.24720677279791131</v>
      </c>
      <c r="Z10">
        <v>0.25314893502532249</v>
      </c>
      <c r="AA10">
        <v>0.25288529303615259</v>
      </c>
      <c r="AB10">
        <v>0.25023117146873791</v>
      </c>
      <c r="AC10">
        <v>0.25420784893260129</v>
      </c>
      <c r="AD10">
        <v>0.25451085185409528</v>
      </c>
      <c r="AE10">
        <v>0.25414257189381773</v>
      </c>
      <c r="AF10">
        <v>0.25292465009703829</v>
      </c>
      <c r="AG10">
        <v>0.25605051534678441</v>
      </c>
      <c r="AH10">
        <v>0.25453953950229602</v>
      </c>
      <c r="AI10">
        <v>0.25616945341646802</v>
      </c>
      <c r="AJ10">
        <v>0.2564361088620582</v>
      </c>
      <c r="AK10">
        <v>0.25791393010168412</v>
      </c>
      <c r="AL10">
        <v>0.25932560318246273</v>
      </c>
      <c r="AM10">
        <v>0.25879950634859028</v>
      </c>
      <c r="AN10">
        <v>0.25700120297245133</v>
      </c>
      <c r="AO10">
        <v>0.25986946443651282</v>
      </c>
      <c r="AP10">
        <v>0.26079536217233917</v>
      </c>
      <c r="AQ10">
        <v>0.26087856649464841</v>
      </c>
      <c r="AR10">
        <v>0.26131539254976888</v>
      </c>
      <c r="AS10">
        <v>0.25634468563691942</v>
      </c>
      <c r="AT10">
        <v>0.25518450244012097</v>
      </c>
      <c r="AU10">
        <v>0.2570817613597724</v>
      </c>
      <c r="AV10">
        <v>0.25671643546550332</v>
      </c>
      <c r="AW10">
        <v>0.25736731308982191</v>
      </c>
      <c r="AX10">
        <v>0.25991235293343062</v>
      </c>
      <c r="AY10">
        <v>0.25847275237129202</v>
      </c>
      <c r="AZ10">
        <v>0.25687482619121133</v>
      </c>
      <c r="BA10">
        <v>0.25542102370454001</v>
      </c>
      <c r="BB10">
        <v>0.25235369839092142</v>
      </c>
      <c r="BC10">
        <v>0.24961940668247121</v>
      </c>
      <c r="BD10">
        <v>0.2471351193986783</v>
      </c>
      <c r="BE10">
        <v>0.25612747306630151</v>
      </c>
      <c r="BF10">
        <v>0.25499853569964709</v>
      </c>
      <c r="BG10">
        <v>0.25073282770095379</v>
      </c>
      <c r="BH10">
        <v>0.25320762922991219</v>
      </c>
      <c r="BI10">
        <v>0.2484099959598946</v>
      </c>
      <c r="BJ10">
        <v>0.24990511851818309</v>
      </c>
      <c r="BK10">
        <v>0.2538997316910655</v>
      </c>
      <c r="BL10">
        <v>0.25043867967315292</v>
      </c>
      <c r="BM10">
        <v>0.24604833357388131</v>
      </c>
      <c r="BN10">
        <v>0.24361278775162709</v>
      </c>
      <c r="BO10">
        <v>0.24378791764675101</v>
      </c>
      <c r="BP10">
        <v>0.24031023751797401</v>
      </c>
      <c r="BQ10">
        <v>0.24188890502758409</v>
      </c>
      <c r="BR10">
        <v>0.23781644135708091</v>
      </c>
      <c r="BS10">
        <v>0.241013783806557</v>
      </c>
      <c r="BT10">
        <v>0.24376772322763399</v>
      </c>
      <c r="BU10">
        <v>0.2420311637025308</v>
      </c>
      <c r="BV10">
        <v>0.24021387715133519</v>
      </c>
      <c r="BW10">
        <v>0.24376120691291331</v>
      </c>
      <c r="BX10">
        <v>0.24172258604246</v>
      </c>
      <c r="BY10">
        <v>0.23693436762367859</v>
      </c>
      <c r="BZ10">
        <v>0.22949074182530271</v>
      </c>
      <c r="CA10">
        <v>0.22823457345483561</v>
      </c>
      <c r="CB10" s="7">
        <v>0.2270339908366249</v>
      </c>
      <c r="CC10">
        <v>0.23302544235626699</v>
      </c>
    </row>
    <row r="12" spans="1:81" x14ac:dyDescent="0.35">
      <c r="A12" t="s">
        <v>90</v>
      </c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  <c r="M12" t="s">
        <v>12</v>
      </c>
      <c r="N12" t="s">
        <v>13</v>
      </c>
      <c r="O12" t="s">
        <v>14</v>
      </c>
      <c r="P12" t="s">
        <v>15</v>
      </c>
      <c r="Q12" t="s">
        <v>16</v>
      </c>
      <c r="R12" t="s">
        <v>17</v>
      </c>
      <c r="S12" t="s">
        <v>18</v>
      </c>
      <c r="T12" t="s">
        <v>19</v>
      </c>
      <c r="U12" t="s">
        <v>20</v>
      </c>
      <c r="V12" t="s">
        <v>21</v>
      </c>
      <c r="W12" t="s">
        <v>22</v>
      </c>
      <c r="X12" t="s">
        <v>23</v>
      </c>
      <c r="Y12" t="s">
        <v>24</v>
      </c>
      <c r="Z12" t="s">
        <v>25</v>
      </c>
      <c r="AA12" t="s">
        <v>26</v>
      </c>
      <c r="AB12" t="s">
        <v>27</v>
      </c>
      <c r="AC12" t="s">
        <v>28</v>
      </c>
      <c r="AD12" t="s">
        <v>29</v>
      </c>
      <c r="AE12" t="s">
        <v>30</v>
      </c>
      <c r="AF12" t="s">
        <v>31</v>
      </c>
      <c r="AG12" t="s">
        <v>32</v>
      </c>
      <c r="AH12" t="s">
        <v>33</v>
      </c>
      <c r="AI12" t="s">
        <v>34</v>
      </c>
      <c r="AJ12" t="s">
        <v>35</v>
      </c>
      <c r="AK12" t="s">
        <v>36</v>
      </c>
      <c r="AL12" t="s">
        <v>37</v>
      </c>
      <c r="AM12" t="s">
        <v>38</v>
      </c>
      <c r="AN12" t="s">
        <v>39</v>
      </c>
      <c r="AO12" t="s">
        <v>40</v>
      </c>
      <c r="AP12" t="s">
        <v>41</v>
      </c>
      <c r="AQ12" t="s">
        <v>42</v>
      </c>
      <c r="AR12" t="s">
        <v>43</v>
      </c>
      <c r="AS12" t="s">
        <v>44</v>
      </c>
      <c r="AT12" t="s">
        <v>45</v>
      </c>
      <c r="AU12" t="s">
        <v>46</v>
      </c>
      <c r="AV12" t="s">
        <v>47</v>
      </c>
      <c r="AW12" t="s">
        <v>48</v>
      </c>
      <c r="AX12" t="s">
        <v>49</v>
      </c>
      <c r="AY12" t="s">
        <v>50</v>
      </c>
      <c r="AZ12" t="s">
        <v>51</v>
      </c>
      <c r="BA12" t="s">
        <v>52</v>
      </c>
      <c r="BB12" t="s">
        <v>53</v>
      </c>
      <c r="BC12" t="s">
        <v>54</v>
      </c>
      <c r="BD12" t="s">
        <v>55</v>
      </c>
      <c r="BE12" t="s">
        <v>56</v>
      </c>
      <c r="BF12" t="s">
        <v>57</v>
      </c>
      <c r="BG12" t="s">
        <v>58</v>
      </c>
      <c r="BH12" t="s">
        <v>59</v>
      </c>
      <c r="BI12" t="s">
        <v>60</v>
      </c>
      <c r="BJ12" t="s">
        <v>61</v>
      </c>
      <c r="BK12" t="s">
        <v>62</v>
      </c>
      <c r="BL12" t="s">
        <v>63</v>
      </c>
      <c r="BM12" t="s">
        <v>64</v>
      </c>
      <c r="BN12" t="s">
        <v>65</v>
      </c>
      <c r="BO12" t="s">
        <v>66</v>
      </c>
      <c r="BP12" t="s">
        <v>67</v>
      </c>
      <c r="BQ12" t="s">
        <v>68</v>
      </c>
      <c r="BR12" t="s">
        <v>69</v>
      </c>
      <c r="BS12" t="s">
        <v>70</v>
      </c>
      <c r="BT12" t="s">
        <v>71</v>
      </c>
      <c r="BU12" t="s">
        <v>72</v>
      </c>
      <c r="BV12" t="s">
        <v>73</v>
      </c>
      <c r="BW12" t="s">
        <v>74</v>
      </c>
      <c r="BX12" t="s">
        <v>75</v>
      </c>
      <c r="BY12" t="s">
        <v>76</v>
      </c>
      <c r="BZ12" t="s">
        <v>77</v>
      </c>
      <c r="CA12" t="s">
        <v>78</v>
      </c>
      <c r="CB12" s="7" t="s">
        <v>79</v>
      </c>
      <c r="CC12" t="s">
        <v>80</v>
      </c>
    </row>
    <row r="13" spans="1:81" x14ac:dyDescent="0.35">
      <c r="A13" t="s">
        <v>81</v>
      </c>
      <c r="B13">
        <v>131.23844771071259</v>
      </c>
      <c r="C13">
        <v>131.15845794446039</v>
      </c>
      <c r="D13">
        <v>130.83989825982709</v>
      </c>
      <c r="E13">
        <v>131.4797538930637</v>
      </c>
      <c r="F13">
        <v>133.1663250989707</v>
      </c>
      <c r="G13">
        <v>133.3755215572867</v>
      </c>
      <c r="H13">
        <v>134.42140716647259</v>
      </c>
      <c r="I13">
        <v>134.16277149286489</v>
      </c>
      <c r="J13">
        <v>133.27512972341319</v>
      </c>
      <c r="K13">
        <v>132.68383389626169</v>
      </c>
      <c r="L13">
        <v>131.2851971276055</v>
      </c>
      <c r="M13">
        <v>135.00408658169121</v>
      </c>
      <c r="N13">
        <v>135.54118903168799</v>
      </c>
      <c r="O13">
        <v>135.5422383279132</v>
      </c>
      <c r="P13">
        <v>135.3571270814366</v>
      </c>
      <c r="Q13">
        <v>135.31995110590961</v>
      </c>
      <c r="R13">
        <v>135.43585312564639</v>
      </c>
      <c r="S13">
        <v>134.65047850670899</v>
      </c>
      <c r="T13">
        <v>134.24145442611621</v>
      </c>
      <c r="U13">
        <v>135.91081328297329</v>
      </c>
      <c r="V13">
        <v>134.55101101949219</v>
      </c>
      <c r="W13">
        <v>134.40580314155349</v>
      </c>
      <c r="X13">
        <v>131.97794396927009</v>
      </c>
      <c r="Y13">
        <v>132.30986380513471</v>
      </c>
      <c r="Z13">
        <v>134.07050441074131</v>
      </c>
      <c r="AA13">
        <v>133.65327244897969</v>
      </c>
      <c r="AB13">
        <v>134.25080615041969</v>
      </c>
      <c r="AC13">
        <v>135.63980513204959</v>
      </c>
      <c r="AD13">
        <v>137.14891958287151</v>
      </c>
      <c r="AE13">
        <v>137.54022558911569</v>
      </c>
      <c r="AF13">
        <v>137.98598459036259</v>
      </c>
      <c r="AG13">
        <v>138.0062367650809</v>
      </c>
      <c r="AH13">
        <v>137.69350457273191</v>
      </c>
      <c r="AI13">
        <v>138.2662181499922</v>
      </c>
      <c r="AJ13">
        <v>140.85523567002139</v>
      </c>
      <c r="AK13">
        <v>140.85548715020471</v>
      </c>
      <c r="AL13">
        <v>140.97630956576009</v>
      </c>
      <c r="AM13">
        <v>141.65762513074839</v>
      </c>
      <c r="AN13">
        <v>141.1684364073644</v>
      </c>
      <c r="AO13">
        <v>140.57057367017899</v>
      </c>
      <c r="AP13">
        <v>140.5093651428366</v>
      </c>
      <c r="AQ13">
        <v>140.52754837215011</v>
      </c>
      <c r="AR13">
        <v>139.33790868376741</v>
      </c>
      <c r="AS13">
        <v>141.22784566763269</v>
      </c>
      <c r="AT13">
        <v>141.1710145861646</v>
      </c>
      <c r="AU13">
        <v>140.01725155825119</v>
      </c>
      <c r="AV13">
        <v>138.49402862554851</v>
      </c>
      <c r="AW13">
        <v>138.5453487376094</v>
      </c>
      <c r="AX13">
        <v>138.98459943761719</v>
      </c>
      <c r="AY13">
        <v>138.43771710387639</v>
      </c>
      <c r="AZ13">
        <v>137.54748043855349</v>
      </c>
      <c r="BA13">
        <v>139.35004014233809</v>
      </c>
      <c r="BB13">
        <v>140.52326450167581</v>
      </c>
      <c r="BC13">
        <v>140.6258093310542</v>
      </c>
      <c r="BD13">
        <v>141.11685686922559</v>
      </c>
      <c r="BE13">
        <v>141.90823591023229</v>
      </c>
      <c r="BF13">
        <v>141.6065243977921</v>
      </c>
      <c r="BG13">
        <v>140.57432413020919</v>
      </c>
      <c r="BH13">
        <v>139.8572565686037</v>
      </c>
      <c r="BI13">
        <v>139.17629624770899</v>
      </c>
      <c r="BJ13">
        <v>139.6432294467624</v>
      </c>
      <c r="BK13">
        <v>140.0038574051338</v>
      </c>
      <c r="BL13">
        <v>139.69022382749031</v>
      </c>
      <c r="BM13">
        <v>140.22340105217859</v>
      </c>
      <c r="BN13">
        <v>140.8264127017209</v>
      </c>
      <c r="BO13">
        <v>140.6272817847794</v>
      </c>
      <c r="BP13">
        <v>140.81298203070691</v>
      </c>
      <c r="BQ13">
        <v>140.640026801994</v>
      </c>
      <c r="BR13">
        <v>141.2334400961729</v>
      </c>
      <c r="BS13">
        <v>141.52305076434311</v>
      </c>
      <c r="BT13">
        <v>141.42884932000311</v>
      </c>
      <c r="BU13">
        <v>142.14041743676631</v>
      </c>
      <c r="BV13">
        <v>142.75450687675311</v>
      </c>
      <c r="BW13">
        <v>142.80994518418859</v>
      </c>
      <c r="BX13">
        <v>142.75230128608121</v>
      </c>
      <c r="BY13">
        <v>143.0962998493188</v>
      </c>
      <c r="BZ13">
        <v>142.8826963204076</v>
      </c>
      <c r="CA13">
        <v>143.31019043218211</v>
      </c>
      <c r="CB13" s="7">
        <v>143.79883798774861</v>
      </c>
      <c r="CC13">
        <v>143.64296167000441</v>
      </c>
    </row>
    <row r="14" spans="1:81" x14ac:dyDescent="0.35">
      <c r="A14" t="s">
        <v>82</v>
      </c>
      <c r="B14">
        <v>0.91718257257829805</v>
      </c>
      <c r="C14">
        <v>1.5150545546095491</v>
      </c>
      <c r="D14">
        <v>1.390283160118116</v>
      </c>
      <c r="E14">
        <v>1.601398866506202</v>
      </c>
      <c r="F14">
        <v>1.6740102314288381</v>
      </c>
      <c r="G14">
        <v>1.3806850318783861</v>
      </c>
      <c r="H14">
        <v>0.68867743765338219</v>
      </c>
      <c r="I14">
        <v>0.57554055120314729</v>
      </c>
      <c r="J14">
        <v>0.347607267522136</v>
      </c>
      <c r="K14">
        <v>-0.2317733870003735</v>
      </c>
      <c r="L14">
        <v>-0.11860499321053911</v>
      </c>
      <c r="M14">
        <v>0.39403110369659089</v>
      </c>
      <c r="N14">
        <v>0.29484367609919099</v>
      </c>
      <c r="O14">
        <v>0.58768796491517605</v>
      </c>
      <c r="P14">
        <v>0.60597384369265228</v>
      </c>
      <c r="Q14">
        <v>0.90998245543920575</v>
      </c>
      <c r="R14">
        <v>0.98119543736899573</v>
      </c>
      <c r="S14">
        <v>0.78719421671360124</v>
      </c>
      <c r="T14">
        <v>0.64524598845048331</v>
      </c>
      <c r="U14">
        <v>0.46027317689893721</v>
      </c>
      <c r="V14">
        <v>0.28006617946789453</v>
      </c>
      <c r="W14">
        <v>-0.59936291781204432</v>
      </c>
      <c r="X14">
        <v>-0.79541917671306805</v>
      </c>
      <c r="Y14">
        <v>-0.79456092036522818</v>
      </c>
      <c r="Z14">
        <v>-0.71080922392829393</v>
      </c>
      <c r="AA14">
        <v>-0.5703102596103804</v>
      </c>
      <c r="AB14">
        <v>-0.68000957767776526</v>
      </c>
      <c r="AC14">
        <v>0.1792662825342006</v>
      </c>
      <c r="AD14">
        <v>0.78797751379354963</v>
      </c>
      <c r="AE14">
        <v>0.73116781085948901</v>
      </c>
      <c r="AF14">
        <v>0.74116027783890104</v>
      </c>
      <c r="AG14">
        <v>0.63116857548632765</v>
      </c>
      <c r="AH14">
        <v>7.0879496829377331E-2</v>
      </c>
      <c r="AI14">
        <v>9.6130242828280643E-2</v>
      </c>
      <c r="AJ14">
        <v>0.60080005366307887</v>
      </c>
      <c r="AK14">
        <v>9.5863707458732961E-2</v>
      </c>
      <c r="AL14">
        <v>0.69281010274372079</v>
      </c>
      <c r="AM14">
        <v>1.1179377246749309</v>
      </c>
      <c r="AN14">
        <v>0.8241300709356949</v>
      </c>
      <c r="AO14">
        <v>0.84415582884039964</v>
      </c>
      <c r="AP14">
        <v>1.414756973805851</v>
      </c>
      <c r="AQ14">
        <v>1.750295095849481</v>
      </c>
      <c r="AR14">
        <v>1.8221974413784781</v>
      </c>
      <c r="AS14">
        <v>1.3862934912403091</v>
      </c>
      <c r="AT14">
        <v>1.466701402088461</v>
      </c>
      <c r="AU14">
        <v>1.0752975256456809</v>
      </c>
      <c r="AV14">
        <v>0.85591055855758214</v>
      </c>
      <c r="AW14">
        <v>0.64892789212419189</v>
      </c>
      <c r="AX14">
        <v>-8.0410786659939504E-2</v>
      </c>
      <c r="AY14">
        <v>-6.8181052051983215E-2</v>
      </c>
      <c r="AZ14">
        <v>-0.52154094976273768</v>
      </c>
      <c r="BA14">
        <v>-0.14175497609289781</v>
      </c>
      <c r="BB14">
        <v>0.59657984892885452</v>
      </c>
      <c r="BC14">
        <v>0.33635573861096191</v>
      </c>
      <c r="BD14">
        <v>0.52307057985080974</v>
      </c>
      <c r="BE14">
        <v>0.79160728017734527</v>
      </c>
      <c r="BF14">
        <v>0.71392496005717021</v>
      </c>
      <c r="BG14">
        <v>0.42518112226935051</v>
      </c>
      <c r="BH14">
        <v>0.36418436650924951</v>
      </c>
      <c r="BI14">
        <v>0.48215891715065601</v>
      </c>
      <c r="BJ14">
        <v>0.68627012381605823</v>
      </c>
      <c r="BK14">
        <v>0.48571843020260991</v>
      </c>
      <c r="BL14">
        <v>0.49907279612023098</v>
      </c>
      <c r="BM14">
        <v>0.77687202363344454</v>
      </c>
      <c r="BN14">
        <v>1.3505845311198641</v>
      </c>
      <c r="BO14">
        <v>1.645186501058902</v>
      </c>
      <c r="BP14">
        <v>1.169428008614432</v>
      </c>
      <c r="BQ14">
        <v>1.793731459485826</v>
      </c>
      <c r="BR14">
        <v>2.3467846257089491</v>
      </c>
      <c r="BS14">
        <v>2.6501839340536431</v>
      </c>
      <c r="BT14">
        <v>2.6124762176499421</v>
      </c>
      <c r="BU14">
        <v>2.9620737124194818</v>
      </c>
      <c r="BV14">
        <v>2.839673082414095</v>
      </c>
      <c r="BW14">
        <v>2.5629528672163531</v>
      </c>
      <c r="BX14">
        <v>2.605761371492775</v>
      </c>
      <c r="BY14">
        <v>2.8128001252229642</v>
      </c>
      <c r="BZ14">
        <v>3.0855553020460889</v>
      </c>
      <c r="CA14">
        <v>2.8983858017555799</v>
      </c>
      <c r="CB14" s="7">
        <v>3.1533641379349722</v>
      </c>
      <c r="CC14">
        <v>2.8344133561232638</v>
      </c>
    </row>
    <row r="15" spans="1:81" x14ac:dyDescent="0.35">
      <c r="A15" t="s">
        <v>83</v>
      </c>
      <c r="B15">
        <v>-0.68958602604758623</v>
      </c>
      <c r="C15">
        <v>-0.4703534104202487</v>
      </c>
      <c r="D15">
        <v>0.1487773085141835</v>
      </c>
      <c r="E15">
        <v>0.22795243557399111</v>
      </c>
      <c r="F15">
        <v>-0.39964990804791889</v>
      </c>
      <c r="G15">
        <v>0.27319443761031742</v>
      </c>
      <c r="H15">
        <v>-0.12714719767001009</v>
      </c>
      <c r="I15">
        <v>-4.7984245583535728E-2</v>
      </c>
      <c r="J15">
        <v>0.32883418756853189</v>
      </c>
      <c r="K15">
        <v>0.68127254941643678</v>
      </c>
      <c r="L15">
        <v>0.63950747409775544</v>
      </c>
      <c r="M15">
        <v>1.8724181287705131</v>
      </c>
      <c r="N15">
        <v>1.34813860866674</v>
      </c>
      <c r="O15">
        <v>0.92297045494402663</v>
      </c>
      <c r="P15">
        <v>0.47610071870628817</v>
      </c>
      <c r="Q15">
        <v>0.51530846374465844</v>
      </c>
      <c r="R15">
        <v>0.61750042815910966</v>
      </c>
      <c r="S15">
        <v>0.2271035346650325</v>
      </c>
      <c r="T15">
        <v>0.49406340859673109</v>
      </c>
      <c r="U15">
        <v>-0.1022324646030441</v>
      </c>
      <c r="V15">
        <v>0.14651366270139299</v>
      </c>
      <c r="W15">
        <v>-0.43363343382472652</v>
      </c>
      <c r="X15">
        <v>-0.71911467162813769</v>
      </c>
      <c r="Y15">
        <v>-1.043381200808724</v>
      </c>
      <c r="Z15">
        <v>-0.98569213212181972</v>
      </c>
      <c r="AA15">
        <v>-1.256957687379455</v>
      </c>
      <c r="AB15">
        <v>-1.798176669680549</v>
      </c>
      <c r="AC15">
        <v>-1.621643359439837</v>
      </c>
      <c r="AD15">
        <v>-1.357570955978515</v>
      </c>
      <c r="AE15">
        <v>-1.2280121285552921</v>
      </c>
      <c r="AF15">
        <v>-1.5520424496207521</v>
      </c>
      <c r="AG15">
        <v>-1.4440773740265951</v>
      </c>
      <c r="AH15">
        <v>-1.573064446753113</v>
      </c>
      <c r="AI15">
        <v>-1.1863268956318771</v>
      </c>
      <c r="AJ15">
        <v>-1.2625465621022509</v>
      </c>
      <c r="AK15">
        <v>-1.6202195546685261</v>
      </c>
      <c r="AL15">
        <v>-1.7369731950221461</v>
      </c>
      <c r="AM15">
        <v>-1.6346745542783101</v>
      </c>
      <c r="AN15">
        <v>-1.594621259352722</v>
      </c>
      <c r="AO15">
        <v>-1.8855363918137691</v>
      </c>
      <c r="AP15">
        <v>-0.8793506028448328</v>
      </c>
      <c r="AQ15">
        <v>-1.1069039495377111</v>
      </c>
      <c r="AR15">
        <v>-0.90932392776554638</v>
      </c>
      <c r="AS15">
        <v>-1.2380847051917361</v>
      </c>
      <c r="AT15">
        <v>-1.3139979250281839</v>
      </c>
      <c r="AU15">
        <v>-1.390675314554038</v>
      </c>
      <c r="AV15">
        <v>-1.082459896468674</v>
      </c>
      <c r="AW15">
        <v>-1.328622031592442</v>
      </c>
      <c r="AX15">
        <v>-0.91281886127886314</v>
      </c>
      <c r="AY15">
        <v>-1.459477165716655</v>
      </c>
      <c r="AZ15">
        <v>-1.4655256125872611</v>
      </c>
      <c r="BA15">
        <v>-1.347759336682619</v>
      </c>
      <c r="BB15">
        <v>-0.7583241547741737</v>
      </c>
      <c r="BC15">
        <v>-0.46297132390508211</v>
      </c>
      <c r="BD15">
        <v>-0.19606609511402351</v>
      </c>
      <c r="BE15">
        <v>-0.5107745921180864</v>
      </c>
      <c r="BF15">
        <v>-0.14029755250689799</v>
      </c>
      <c r="BG15">
        <v>0.64457345971087177</v>
      </c>
      <c r="BH15">
        <v>1.206503388951242</v>
      </c>
      <c r="BI15">
        <v>2.056429522886142</v>
      </c>
      <c r="BJ15">
        <v>1.7895751436862819</v>
      </c>
      <c r="BK15">
        <v>1.206976829618494</v>
      </c>
      <c r="BL15">
        <v>1.394126973442692</v>
      </c>
      <c r="BM15">
        <v>1.4981110493360039</v>
      </c>
      <c r="BN15">
        <v>1.5774385951205481</v>
      </c>
      <c r="BO15">
        <v>2.2050118620726189</v>
      </c>
      <c r="BP15">
        <v>2.1845699669830769</v>
      </c>
      <c r="BQ15">
        <v>2.4490016961733261</v>
      </c>
      <c r="BR15">
        <v>2.7745621249772392</v>
      </c>
      <c r="BS15">
        <v>3.7932972176370501</v>
      </c>
      <c r="BT15">
        <v>3.6066654992764349</v>
      </c>
      <c r="BU15">
        <v>4.1397855588302761</v>
      </c>
      <c r="BV15">
        <v>3.6557078066282371</v>
      </c>
      <c r="BW15">
        <v>2.6446139461881679</v>
      </c>
      <c r="BX15">
        <v>2.2754753851235638</v>
      </c>
      <c r="BY15">
        <v>2.5849419143362349</v>
      </c>
      <c r="BZ15">
        <v>3.179194591918538</v>
      </c>
      <c r="CA15">
        <v>2.685040401100061</v>
      </c>
      <c r="CB15" s="7">
        <v>2.6033393503174902</v>
      </c>
      <c r="CC15">
        <v>2.6904340505141011</v>
      </c>
    </row>
    <row r="16" spans="1:81" x14ac:dyDescent="0.35">
      <c r="A16" t="s">
        <v>84</v>
      </c>
      <c r="B16">
        <v>-0.38540198248048119</v>
      </c>
      <c r="C16">
        <v>0.24803927529191069</v>
      </c>
      <c r="D16">
        <v>0.52313454466241582</v>
      </c>
      <c r="E16">
        <v>0.64784677824143877</v>
      </c>
      <c r="F16">
        <v>-0.46576830403853209</v>
      </c>
      <c r="G16">
        <v>1.8473687191114641E-2</v>
      </c>
      <c r="H16">
        <v>0.82462893490339861</v>
      </c>
      <c r="I16">
        <v>0.39280863420170098</v>
      </c>
      <c r="J16">
        <v>8.1712408530821401E-2</v>
      </c>
      <c r="K16">
        <v>-0.75855162968954726</v>
      </c>
      <c r="L16">
        <v>-1.886771680323958</v>
      </c>
      <c r="M16">
        <v>0.96496728169347379</v>
      </c>
      <c r="N16">
        <v>0.81646505144814863</v>
      </c>
      <c r="O16">
        <v>1.5096881888240381</v>
      </c>
      <c r="P16">
        <v>2.8141069621058481</v>
      </c>
      <c r="Q16">
        <v>4.2234987140271301</v>
      </c>
      <c r="R16">
        <v>5.6041460677500696</v>
      </c>
      <c r="S16">
        <v>4.8224154896705187</v>
      </c>
      <c r="T16">
        <v>4.3814137046270121</v>
      </c>
      <c r="U16">
        <v>3.4003688260805731</v>
      </c>
      <c r="V16">
        <v>2.5363376659235031</v>
      </c>
      <c r="W16">
        <v>2.8072796536851379</v>
      </c>
      <c r="X16">
        <v>2.6059910871697052</v>
      </c>
      <c r="Y16">
        <v>2.453502642273885</v>
      </c>
      <c r="Z16">
        <v>3.0952836394589398</v>
      </c>
      <c r="AA16">
        <v>2.780890014356002</v>
      </c>
      <c r="AB16">
        <v>2.8276808310891641</v>
      </c>
      <c r="AC16">
        <v>2.8140989312974982</v>
      </c>
      <c r="AD16">
        <v>2.6893624816195061</v>
      </c>
      <c r="AE16">
        <v>3.1162992085753838</v>
      </c>
      <c r="AF16">
        <v>2.978648537101114</v>
      </c>
      <c r="AG16">
        <v>2.7444172160905258</v>
      </c>
      <c r="AH16">
        <v>2.7164633585169762</v>
      </c>
      <c r="AI16">
        <v>2.3966498698309482</v>
      </c>
      <c r="AJ16">
        <v>3.1458789681888688</v>
      </c>
      <c r="AK16">
        <v>2.1564349899443598</v>
      </c>
      <c r="AL16">
        <v>2.5781897539840051</v>
      </c>
      <c r="AM16">
        <v>2.925732422576377</v>
      </c>
      <c r="AN16">
        <v>1.880310161634722</v>
      </c>
      <c r="AO16">
        <v>0.65562012564308891</v>
      </c>
      <c r="AP16">
        <v>3.9858270527729762</v>
      </c>
      <c r="AQ16">
        <v>6.3882328194848519</v>
      </c>
      <c r="AR16">
        <v>6.1611363542514823</v>
      </c>
      <c r="AS16">
        <v>4.9807054324330364</v>
      </c>
      <c r="AT16">
        <v>4.0570381400947131</v>
      </c>
      <c r="AU16">
        <v>4.9115529701340526</v>
      </c>
      <c r="AV16">
        <v>5.9009504101876047</v>
      </c>
      <c r="AW16">
        <v>5.4753354208557781</v>
      </c>
      <c r="AX16">
        <v>5.1975313051093162</v>
      </c>
      <c r="AY16">
        <v>5.3849359212400056</v>
      </c>
      <c r="AZ16">
        <v>5.0985613542649144</v>
      </c>
      <c r="BA16">
        <v>5.0652690116993124</v>
      </c>
      <c r="BB16">
        <v>5.3054378768375026</v>
      </c>
      <c r="BC16">
        <v>5.3460539268916376</v>
      </c>
      <c r="BD16">
        <v>5.2970576247929424</v>
      </c>
      <c r="BE16">
        <v>5.1760815477733546</v>
      </c>
      <c r="BF16">
        <v>4.8197840832116583</v>
      </c>
      <c r="BG16">
        <v>4.6796168540177714</v>
      </c>
      <c r="BH16">
        <v>5.3322648855799608</v>
      </c>
      <c r="BI16">
        <v>5.4890371437466623</v>
      </c>
      <c r="BJ16">
        <v>5.1299925371256858</v>
      </c>
      <c r="BK16">
        <v>4.8527378305880946</v>
      </c>
      <c r="BL16">
        <v>5.2486422458659456</v>
      </c>
      <c r="BM16">
        <v>5.733063854790764</v>
      </c>
      <c r="BN16">
        <v>6.066541861236189</v>
      </c>
      <c r="BO16">
        <v>6.3561955025732439</v>
      </c>
      <c r="BP16">
        <v>6.0160798332501404</v>
      </c>
      <c r="BQ16">
        <v>6.003292991515794</v>
      </c>
      <c r="BR16">
        <v>6.3899087327564112</v>
      </c>
      <c r="BS16">
        <v>6.3179457891703654</v>
      </c>
      <c r="BT16">
        <v>6.1826062431261892</v>
      </c>
      <c r="BU16">
        <v>5.6658573610777143</v>
      </c>
      <c r="BV16">
        <v>5.5947994879295813</v>
      </c>
      <c r="BW16">
        <v>4.734765394273623</v>
      </c>
      <c r="BX16">
        <v>5.004827982481336</v>
      </c>
      <c r="BY16">
        <v>5.0666791117182122</v>
      </c>
      <c r="BZ16">
        <v>5.0350030507506798</v>
      </c>
      <c r="CA16">
        <v>4.905482893414022</v>
      </c>
      <c r="CB16" s="7">
        <v>4.7621501193299851</v>
      </c>
      <c r="CC16">
        <v>4.7815051130796729</v>
      </c>
    </row>
    <row r="17" spans="1:81" x14ac:dyDescent="0.35">
      <c r="A17" t="s">
        <v>85</v>
      </c>
      <c r="B17">
        <v>0.38532280337475722</v>
      </c>
      <c r="C17">
        <v>6.2721397902585629E-2</v>
      </c>
      <c r="D17">
        <v>0.29023822105628427</v>
      </c>
      <c r="E17">
        <v>6.3905726412087915E-2</v>
      </c>
      <c r="F17">
        <v>0.1179723430893115</v>
      </c>
      <c r="G17">
        <v>-3.3108998390459783E-2</v>
      </c>
      <c r="H17">
        <v>-0.33541924390876943</v>
      </c>
      <c r="I17">
        <v>-0.4748756854279606</v>
      </c>
      <c r="J17">
        <v>-0.49592332641800679</v>
      </c>
      <c r="K17">
        <v>-0.40676373842531871</v>
      </c>
      <c r="L17">
        <v>-0.44999817693689209</v>
      </c>
      <c r="M17">
        <v>-0.65796599275371848</v>
      </c>
      <c r="N17">
        <v>-0.5050807169397703</v>
      </c>
      <c r="O17">
        <v>-0.45325629025691527</v>
      </c>
      <c r="P17">
        <v>-0.39623351001288498</v>
      </c>
      <c r="Q17">
        <v>-0.42111509316739132</v>
      </c>
      <c r="R17">
        <v>-0.35792601146319819</v>
      </c>
      <c r="S17">
        <v>-0.26883067149931111</v>
      </c>
      <c r="T17">
        <v>-0.1944790567682719</v>
      </c>
      <c r="U17">
        <v>-0.23025816883465611</v>
      </c>
      <c r="V17">
        <v>-0.21547296540562089</v>
      </c>
      <c r="W17">
        <v>-0.32608629123745347</v>
      </c>
      <c r="X17">
        <v>-0.35972299622974768</v>
      </c>
      <c r="Y17">
        <v>-0.33892575252715879</v>
      </c>
      <c r="Z17">
        <v>-0.2781661496674781</v>
      </c>
      <c r="AA17">
        <v>-0.48721730199568258</v>
      </c>
      <c r="AB17">
        <v>-0.59982051546428827</v>
      </c>
      <c r="AC17">
        <v>-0.48400943472020169</v>
      </c>
      <c r="AD17">
        <v>-0.16415401762472029</v>
      </c>
      <c r="AE17">
        <v>-0.32508692591241622</v>
      </c>
      <c r="AF17">
        <v>-0.20633883519959209</v>
      </c>
      <c r="AG17">
        <v>-0.21155378503509961</v>
      </c>
      <c r="AH17">
        <v>-0.31964202646835299</v>
      </c>
      <c r="AI17">
        <v>-0.16249886883817069</v>
      </c>
      <c r="AJ17">
        <v>-0.35114340425599522</v>
      </c>
      <c r="AK17">
        <v>-0.37785036736900041</v>
      </c>
      <c r="AL17">
        <v>-0.26330023483865822</v>
      </c>
      <c r="AM17">
        <v>-0.36651053782694182</v>
      </c>
      <c r="AN17">
        <v>-0.49894648317940882</v>
      </c>
      <c r="AO17">
        <v>-0.25394622612775247</v>
      </c>
      <c r="AP17">
        <v>-0.56296600184371104</v>
      </c>
      <c r="AQ17">
        <v>-0.40058558792297028</v>
      </c>
      <c r="AR17">
        <v>-0.21532371373083281</v>
      </c>
      <c r="AS17">
        <v>-0.35995937092017039</v>
      </c>
      <c r="AT17">
        <v>-0.1883639877208626</v>
      </c>
      <c r="AU17">
        <v>-0.23176456208388541</v>
      </c>
      <c r="AV17">
        <v>0.13728689457487539</v>
      </c>
      <c r="AW17">
        <v>0.21803779515188751</v>
      </c>
      <c r="AX17">
        <v>-2.2481742981123039E-3</v>
      </c>
      <c r="AY17">
        <v>7.109338301194007E-2</v>
      </c>
      <c r="AZ17">
        <v>0.13014219726963619</v>
      </c>
      <c r="BA17">
        <v>7.6414082171594455E-2</v>
      </c>
      <c r="BB17">
        <v>-0.13405874488528041</v>
      </c>
      <c r="BC17">
        <v>0.20254883267792789</v>
      </c>
      <c r="BD17">
        <v>0.16296497378762101</v>
      </c>
      <c r="BE17">
        <v>-0.26652574778881111</v>
      </c>
      <c r="BF17">
        <v>-0.57272934771842254</v>
      </c>
      <c r="BG17">
        <v>-0.49461891929169383</v>
      </c>
      <c r="BH17">
        <v>-0.51338364202466902</v>
      </c>
      <c r="BI17">
        <v>-0.40551257835926607</v>
      </c>
      <c r="BJ17">
        <v>-0.46765092325980251</v>
      </c>
      <c r="BK17">
        <v>-0.57508126435135642</v>
      </c>
      <c r="BL17">
        <v>-0.44996567677385407</v>
      </c>
      <c r="BM17">
        <v>-0.43576287911025302</v>
      </c>
      <c r="BN17">
        <v>-0.38804905761862302</v>
      </c>
      <c r="BO17">
        <v>-0.35362471141059121</v>
      </c>
      <c r="BP17">
        <v>-0.3500094269102072</v>
      </c>
      <c r="BQ17">
        <v>-0.45520575518425971</v>
      </c>
      <c r="BR17">
        <v>-0.65196577201203476</v>
      </c>
      <c r="BS17">
        <v>-0.58773035041890798</v>
      </c>
      <c r="BT17">
        <v>-0.50334299725518061</v>
      </c>
      <c r="BU17">
        <v>-0.54546019557824843</v>
      </c>
      <c r="BV17">
        <v>-0.44103029700246371</v>
      </c>
      <c r="BW17">
        <v>-0.44684701545656452</v>
      </c>
      <c r="BX17">
        <v>-0.33687480390803048</v>
      </c>
      <c r="BY17">
        <v>-0.29402392205090888</v>
      </c>
      <c r="BZ17">
        <v>-0.23786709543552609</v>
      </c>
      <c r="CA17">
        <v>-0.49463571999837253</v>
      </c>
      <c r="CB17" s="7">
        <v>-0.35741431694201409</v>
      </c>
      <c r="CC17">
        <v>-0.60077737730034053</v>
      </c>
    </row>
    <row r="18" spans="1:81" x14ac:dyDescent="0.35">
      <c r="A18" t="s">
        <v>86</v>
      </c>
      <c r="B18">
        <v>131.4659650781376</v>
      </c>
      <c r="C18">
        <v>132.51391976184419</v>
      </c>
      <c r="D18">
        <v>133.19233149417809</v>
      </c>
      <c r="E18">
        <v>134.0208576997974</v>
      </c>
      <c r="F18">
        <v>134.09288946140239</v>
      </c>
      <c r="G18">
        <v>135.014765715576</v>
      </c>
      <c r="H18">
        <v>135.4721470974506</v>
      </c>
      <c r="I18">
        <v>134.6082607472583</v>
      </c>
      <c r="J18">
        <v>133.53736026061671</v>
      </c>
      <c r="K18">
        <v>131.9680176905629</v>
      </c>
      <c r="L18">
        <v>129.46932975123181</v>
      </c>
      <c r="M18">
        <v>137.577537103098</v>
      </c>
      <c r="N18">
        <v>137.4955556509623</v>
      </c>
      <c r="O18">
        <v>138.10932864633949</v>
      </c>
      <c r="P18">
        <v>138.85707509592851</v>
      </c>
      <c r="Q18">
        <v>140.54762564595319</v>
      </c>
      <c r="R18">
        <v>142.2807690474614</v>
      </c>
      <c r="S18">
        <v>140.21836107625879</v>
      </c>
      <c r="T18">
        <v>139.5676984710222</v>
      </c>
      <c r="U18">
        <v>139.43896465251521</v>
      </c>
      <c r="V18">
        <v>137.29845556217941</v>
      </c>
      <c r="W18">
        <v>135.85400015236439</v>
      </c>
      <c r="X18">
        <v>132.70967821186889</v>
      </c>
      <c r="Y18">
        <v>132.58649857370739</v>
      </c>
      <c r="Z18">
        <v>135.1911205444826</v>
      </c>
      <c r="AA18">
        <v>134.11967721435011</v>
      </c>
      <c r="AB18">
        <v>134.00048021868631</v>
      </c>
      <c r="AC18">
        <v>136.5275175517213</v>
      </c>
      <c r="AD18">
        <v>139.10453460468131</v>
      </c>
      <c r="AE18">
        <v>139.83459355408289</v>
      </c>
      <c r="AF18">
        <v>139.94741212048231</v>
      </c>
      <c r="AG18">
        <v>139.7261913975961</v>
      </c>
      <c r="AH18">
        <v>138.58814095485681</v>
      </c>
      <c r="AI18">
        <v>139.4101724981814</v>
      </c>
      <c r="AJ18">
        <v>142.98822472551521</v>
      </c>
      <c r="AK18">
        <v>141.10971592557021</v>
      </c>
      <c r="AL18">
        <v>142.24703599262699</v>
      </c>
      <c r="AM18">
        <v>143.70011018589449</v>
      </c>
      <c r="AN18">
        <v>141.77930889740259</v>
      </c>
      <c r="AO18">
        <v>139.930867006721</v>
      </c>
      <c r="AP18">
        <v>144.4676325647269</v>
      </c>
      <c r="AQ18">
        <v>147.1585867500238</v>
      </c>
      <c r="AR18">
        <v>146.19659483790099</v>
      </c>
      <c r="AS18">
        <v>145.99680051519411</v>
      </c>
      <c r="AT18">
        <v>145.19239221559869</v>
      </c>
      <c r="AU18">
        <v>144.38166217739291</v>
      </c>
      <c r="AV18">
        <v>144.3057165923999</v>
      </c>
      <c r="AW18">
        <v>143.55902781414881</v>
      </c>
      <c r="AX18">
        <v>143.18665292048959</v>
      </c>
      <c r="AY18">
        <v>142.3660881903597</v>
      </c>
      <c r="AZ18">
        <v>140.78911742773801</v>
      </c>
      <c r="BA18">
        <v>143.0022089234335</v>
      </c>
      <c r="BB18">
        <v>145.5328993277827</v>
      </c>
      <c r="BC18">
        <v>146.0477965053297</v>
      </c>
      <c r="BD18">
        <v>146.90388395254291</v>
      </c>
      <c r="BE18">
        <v>147.09862439827609</v>
      </c>
      <c r="BF18">
        <v>146.42720654083561</v>
      </c>
      <c r="BG18">
        <v>145.8290766469155</v>
      </c>
      <c r="BH18">
        <v>146.24682556761951</v>
      </c>
      <c r="BI18">
        <v>146.7984092531332</v>
      </c>
      <c r="BJ18">
        <v>146.7814163281306</v>
      </c>
      <c r="BK18">
        <v>145.97420923119171</v>
      </c>
      <c r="BL18">
        <v>146.38210016614531</v>
      </c>
      <c r="BM18">
        <v>147.79568510082859</v>
      </c>
      <c r="BN18">
        <v>149.4329286315789</v>
      </c>
      <c r="BO18">
        <v>150.48005093907361</v>
      </c>
      <c r="BP18">
        <v>149.8330504126443</v>
      </c>
      <c r="BQ18">
        <v>150.4308471939847</v>
      </c>
      <c r="BR18">
        <v>152.09272980760349</v>
      </c>
      <c r="BS18">
        <v>153.69674735478529</v>
      </c>
      <c r="BT18">
        <v>153.32725428280051</v>
      </c>
      <c r="BU18">
        <v>154.36267387351549</v>
      </c>
      <c r="BV18">
        <v>154.4036569567225</v>
      </c>
      <c r="BW18">
        <v>152.30543037641019</v>
      </c>
      <c r="BX18">
        <v>152.30149122127091</v>
      </c>
      <c r="BY18">
        <v>153.26669707854529</v>
      </c>
      <c r="BZ18">
        <v>153.94458216968741</v>
      </c>
      <c r="CA18">
        <v>153.30446380845331</v>
      </c>
      <c r="CB18" s="7">
        <v>153.96027727838899</v>
      </c>
      <c r="CC18">
        <v>153.34853681242109</v>
      </c>
    </row>
    <row r="19" spans="1:81" x14ac:dyDescent="0.35">
      <c r="A19" t="s">
        <v>87</v>
      </c>
      <c r="B19">
        <v>5490128.9100000001</v>
      </c>
      <c r="C19">
        <v>7622651.9100000001</v>
      </c>
      <c r="D19">
        <v>12058079.310000001</v>
      </c>
      <c r="E19">
        <v>7281800.0800000001</v>
      </c>
      <c r="F19">
        <v>10213468.279999999</v>
      </c>
      <c r="G19">
        <v>13836051.74</v>
      </c>
      <c r="H19">
        <v>15149436.609999999</v>
      </c>
      <c r="I19">
        <v>11748010.68</v>
      </c>
      <c r="J19">
        <v>12594882.029999999</v>
      </c>
      <c r="K19">
        <v>13423110.779999999</v>
      </c>
      <c r="L19">
        <v>11618890.17</v>
      </c>
      <c r="M19">
        <v>9977246.5299999993</v>
      </c>
      <c r="N19">
        <v>10722554.800000001</v>
      </c>
      <c r="O19">
        <v>11155512.119999999</v>
      </c>
      <c r="P19">
        <v>25944898.23</v>
      </c>
      <c r="Q19">
        <v>25824468.969999999</v>
      </c>
      <c r="R19">
        <v>24699416.41</v>
      </c>
      <c r="S19">
        <v>24000213.57</v>
      </c>
      <c r="T19">
        <v>21951089.300000001</v>
      </c>
      <c r="U19">
        <v>22334875.190000001</v>
      </c>
      <c r="V19">
        <v>20260355.760000002</v>
      </c>
      <c r="W19">
        <v>20727944.84</v>
      </c>
      <c r="X19">
        <v>22629651.59</v>
      </c>
      <c r="Y19">
        <v>19012858.699999999</v>
      </c>
      <c r="Z19">
        <v>15661359.949999999</v>
      </c>
      <c r="AA19">
        <v>16088090.119999999</v>
      </c>
      <c r="AB19">
        <v>28933719.800000001</v>
      </c>
      <c r="AC19">
        <v>23632179.359999999</v>
      </c>
      <c r="AD19">
        <v>19074403.5</v>
      </c>
      <c r="AE19">
        <v>19338296.18</v>
      </c>
      <c r="AF19">
        <v>16737119.539999999</v>
      </c>
      <c r="AG19">
        <v>19776180.550000001</v>
      </c>
      <c r="AH19">
        <v>19663946.850000001</v>
      </c>
      <c r="AI19">
        <v>14480310.140000001</v>
      </c>
      <c r="AJ19">
        <v>9874186.5099999998</v>
      </c>
      <c r="AK19">
        <v>7184912.1600000001</v>
      </c>
      <c r="AL19">
        <v>6985526.6200000001</v>
      </c>
      <c r="AM19">
        <v>6444394.21</v>
      </c>
      <c r="AN19">
        <v>5964801.2799999993</v>
      </c>
      <c r="AO19">
        <v>3160375.53</v>
      </c>
      <c r="AP19">
        <v>10359658.83</v>
      </c>
      <c r="AQ19">
        <v>11860146.85</v>
      </c>
      <c r="AR19">
        <v>11431777.98</v>
      </c>
      <c r="AS19">
        <v>15568680.43</v>
      </c>
      <c r="AT19">
        <v>15547038.939999999</v>
      </c>
      <c r="AU19">
        <v>20440506.989999998</v>
      </c>
      <c r="AV19">
        <v>30039947.370000001</v>
      </c>
      <c r="AW19">
        <v>23583745.149999999</v>
      </c>
      <c r="AX19">
        <v>25306565.25</v>
      </c>
      <c r="AY19">
        <v>36673748.989999987</v>
      </c>
      <c r="AZ19">
        <v>68570660.780000001</v>
      </c>
      <c r="BA19">
        <v>52226265.880000003</v>
      </c>
      <c r="BB19">
        <v>45024467.359999999</v>
      </c>
      <c r="BC19">
        <v>47113833.740000002</v>
      </c>
      <c r="BD19">
        <v>45093596.559999987</v>
      </c>
      <c r="BE19">
        <v>31287598.940000001</v>
      </c>
      <c r="BF19">
        <v>30809914.52</v>
      </c>
      <c r="BG19">
        <v>41196031.450000003</v>
      </c>
      <c r="BH19">
        <v>37150526.619999997</v>
      </c>
      <c r="BI19">
        <v>39648500.590000004</v>
      </c>
      <c r="BJ19">
        <v>46683234.010000013</v>
      </c>
      <c r="BK19">
        <v>44547990.540000007</v>
      </c>
      <c r="BL19">
        <v>82866167.590000004</v>
      </c>
      <c r="BM19">
        <v>64761752.270000003</v>
      </c>
      <c r="BN19">
        <v>58752607.460000001</v>
      </c>
      <c r="BO19">
        <v>54380409.119999997</v>
      </c>
      <c r="BP19">
        <v>57441468.950000003</v>
      </c>
      <c r="BQ19">
        <v>48847046.289999999</v>
      </c>
      <c r="BR19">
        <v>44824316.920000002</v>
      </c>
      <c r="BS19">
        <v>42842158.939999998</v>
      </c>
      <c r="BT19">
        <v>33479741.300000001</v>
      </c>
      <c r="BU19">
        <v>39793420.310000002</v>
      </c>
      <c r="BV19">
        <v>35357501.400000013</v>
      </c>
      <c r="BW19">
        <v>45430218.399999999</v>
      </c>
      <c r="BX19">
        <v>76856927.230000004</v>
      </c>
      <c r="BY19">
        <v>62226435.170000002</v>
      </c>
      <c r="BZ19">
        <v>58601957.010000013</v>
      </c>
      <c r="CA19">
        <v>51430368.799999997</v>
      </c>
      <c r="CB19" s="7">
        <v>44235760.070000008</v>
      </c>
      <c r="CC19">
        <v>19171841.670000002</v>
      </c>
    </row>
    <row r="20" spans="1:81" x14ac:dyDescent="0.35">
      <c r="A20" t="s">
        <v>88</v>
      </c>
      <c r="B20">
        <v>1.98500138042604</v>
      </c>
      <c r="C20">
        <v>1.9121013973596619</v>
      </c>
      <c r="D20">
        <v>1.8820833633355729</v>
      </c>
      <c r="E20">
        <v>1.8687832240623281</v>
      </c>
      <c r="F20">
        <v>1.994649682334829</v>
      </c>
      <c r="G20">
        <v>1.937894114724416</v>
      </c>
      <c r="H20">
        <v>1.850248895527919</v>
      </c>
      <c r="I20">
        <v>1.896185986612146</v>
      </c>
      <c r="J20">
        <v>1.9307197786288319</v>
      </c>
      <c r="K20">
        <v>2.0306070769087201</v>
      </c>
      <c r="L20">
        <v>2.1821942540934849</v>
      </c>
      <c r="M20">
        <v>1.8357951608187471</v>
      </c>
      <c r="N20">
        <v>1.851096718948708</v>
      </c>
      <c r="O20">
        <v>1.781769615109615</v>
      </c>
      <c r="P20">
        <v>1.664470675517888</v>
      </c>
      <c r="Q20">
        <v>1.553937946065542</v>
      </c>
      <c r="R20">
        <v>1.4590243710667501</v>
      </c>
      <c r="S20">
        <v>1.5112900776548239</v>
      </c>
      <c r="T20">
        <v>1.5424611513345829</v>
      </c>
      <c r="U20">
        <v>1.6166374383308779</v>
      </c>
      <c r="V20">
        <v>1.6881362599258189</v>
      </c>
      <c r="W20">
        <v>1.6650443966374799</v>
      </c>
      <c r="X20">
        <v>1.6821388856787931</v>
      </c>
      <c r="Y20">
        <v>1.695324518492215</v>
      </c>
      <c r="Z20">
        <v>1.6411811145198629</v>
      </c>
      <c r="AA20">
        <v>1.6672657284917269</v>
      </c>
      <c r="AB20">
        <v>1.663331192435195</v>
      </c>
      <c r="AC20">
        <v>1.6644713501407931</v>
      </c>
      <c r="AD20">
        <v>1.67501614289379</v>
      </c>
      <c r="AE20">
        <v>1.6394665667898269</v>
      </c>
      <c r="AF20">
        <v>1.650762309510319</v>
      </c>
      <c r="AG20">
        <v>1.6703455786541661</v>
      </c>
      <c r="AH20">
        <v>1.6727137824012199</v>
      </c>
      <c r="AI20">
        <v>1.700293618811785</v>
      </c>
      <c r="AJ20">
        <v>1.6370593733873171</v>
      </c>
      <c r="AK20">
        <v>1.721614695913511</v>
      </c>
      <c r="AL20">
        <v>1.684527548993074</v>
      </c>
      <c r="AM20">
        <v>1.655146184871618</v>
      </c>
      <c r="AN20">
        <v>1.7467933374853239</v>
      </c>
      <c r="AO20">
        <v>1.8679604434907231</v>
      </c>
      <c r="AP20">
        <v>1.57153682421309</v>
      </c>
      <c r="AQ20">
        <v>1.410110813183123</v>
      </c>
      <c r="AR20">
        <v>1.4239370424476669</v>
      </c>
      <c r="AS20">
        <v>1.5004068045667569</v>
      </c>
      <c r="AT20">
        <v>1.5662221714459821</v>
      </c>
      <c r="AU20">
        <v>1.5051420611287789</v>
      </c>
      <c r="AV20">
        <v>1.440114903935545</v>
      </c>
      <c r="AW20">
        <v>1.467386331836299</v>
      </c>
      <c r="AX20">
        <v>1.485750804748672</v>
      </c>
      <c r="AY20">
        <v>1.473312236230564</v>
      </c>
      <c r="AZ20">
        <v>1.49240484352322</v>
      </c>
      <c r="BA20">
        <v>1.494656601853054</v>
      </c>
      <c r="BB20">
        <v>1.478563217727602</v>
      </c>
      <c r="BC20">
        <v>1.4758757903251669</v>
      </c>
      <c r="BD20">
        <v>1.479118929276493</v>
      </c>
      <c r="BE20">
        <v>1.4871878933594309</v>
      </c>
      <c r="BF20">
        <v>1.511472335116969</v>
      </c>
      <c r="BG20">
        <v>1.521244596806054</v>
      </c>
      <c r="BH20">
        <v>1.476787068798173</v>
      </c>
      <c r="BI20">
        <v>1.4664923086389441</v>
      </c>
      <c r="BJ20">
        <v>1.490285183995075</v>
      </c>
      <c r="BK20">
        <v>1.5091930473735271</v>
      </c>
      <c r="BL20">
        <v>1.4823376471940919</v>
      </c>
      <c r="BM20">
        <v>1.450750334871812</v>
      </c>
      <c r="BN20">
        <v>1.4297765221332801</v>
      </c>
      <c r="BO20">
        <v>1.412045039457152</v>
      </c>
      <c r="BP20">
        <v>1.432911261993256</v>
      </c>
      <c r="BQ20">
        <v>1.4337077744548949</v>
      </c>
      <c r="BR20">
        <v>1.410009777157152</v>
      </c>
      <c r="BS20">
        <v>1.414361294866592</v>
      </c>
      <c r="BT20">
        <v>1.422618305039745</v>
      </c>
      <c r="BU20">
        <v>1.455051952132812</v>
      </c>
      <c r="BV20">
        <v>1.45962791206084</v>
      </c>
      <c r="BW20">
        <v>1.5173846784971099</v>
      </c>
      <c r="BX20">
        <v>1.4987620001508899</v>
      </c>
      <c r="BY20">
        <v>1.494561090639434</v>
      </c>
      <c r="BZ20">
        <v>1.496709572675845</v>
      </c>
      <c r="CA20">
        <v>1.505559140625728</v>
      </c>
      <c r="CB20" s="7">
        <v>1.5154752549338351</v>
      </c>
      <c r="CC20">
        <v>1.514128607218961</v>
      </c>
    </row>
    <row r="21" spans="1:81" x14ac:dyDescent="0.35">
      <c r="A21" t="s">
        <v>89</v>
      </c>
      <c r="B21">
        <v>0.24449538852321781</v>
      </c>
      <c r="C21">
        <v>0.24910398002996309</v>
      </c>
      <c r="D21">
        <v>0.24585373969919591</v>
      </c>
      <c r="E21">
        <v>0.24908706105125589</v>
      </c>
      <c r="F21">
        <v>0.24831468081300981</v>
      </c>
      <c r="G21">
        <v>0.25047298569129228</v>
      </c>
      <c r="H21">
        <v>0.25479170348441099</v>
      </c>
      <c r="I21">
        <v>0.25678393836325658</v>
      </c>
      <c r="J21">
        <v>0.25708461894882872</v>
      </c>
      <c r="K21">
        <v>0.25581091054893312</v>
      </c>
      <c r="L21">
        <v>0.25642854538481269</v>
      </c>
      <c r="M21">
        <v>0.25939951418219598</v>
      </c>
      <c r="N21">
        <v>0.25721543881342529</v>
      </c>
      <c r="O21">
        <v>0.25647508986081308</v>
      </c>
      <c r="P21">
        <v>0.25566047871446979</v>
      </c>
      <c r="Q21">
        <v>0.2560159299023913</v>
      </c>
      <c r="R21">
        <v>0.25511322873518849</v>
      </c>
      <c r="S21">
        <v>0.25384043816427587</v>
      </c>
      <c r="T21">
        <v>0.25277827223954669</v>
      </c>
      <c r="U21">
        <v>0.25328940241192371</v>
      </c>
      <c r="V21">
        <v>0.2530781852200803</v>
      </c>
      <c r="W21">
        <v>0.25465837558910648</v>
      </c>
      <c r="X21">
        <v>0.25513889994613931</v>
      </c>
      <c r="Y21">
        <v>0.2548417964646737</v>
      </c>
      <c r="Z21">
        <v>0.25397380213810677</v>
      </c>
      <c r="AA21">
        <v>0.2569602471713669</v>
      </c>
      <c r="AB21">
        <v>0.25856886450663269</v>
      </c>
      <c r="AC21">
        <v>0.25691442049600288</v>
      </c>
      <c r="AD21">
        <v>0.25234505739463892</v>
      </c>
      <c r="AE21">
        <v>0.25464409894160589</v>
      </c>
      <c r="AF21">
        <v>0.25294769764570851</v>
      </c>
      <c r="AG21">
        <v>0.25302219692907291</v>
      </c>
      <c r="AH21">
        <v>0.25456631466383361</v>
      </c>
      <c r="AI21">
        <v>0.25232141241197392</v>
      </c>
      <c r="AJ21">
        <v>0.25501633434651422</v>
      </c>
      <c r="AK21">
        <v>0.25539786239098572</v>
      </c>
      <c r="AL21">
        <v>0.25376143192626649</v>
      </c>
      <c r="AM21">
        <v>0.25523586482609922</v>
      </c>
      <c r="AN21">
        <v>0.25712780690256298</v>
      </c>
      <c r="AO21">
        <v>0.25362780323039652</v>
      </c>
      <c r="AP21">
        <v>0.25804237145491021</v>
      </c>
      <c r="AQ21">
        <v>0.25572265125604238</v>
      </c>
      <c r="AR21">
        <v>0.25307605305329761</v>
      </c>
      <c r="AS21">
        <v>0.25514227672743101</v>
      </c>
      <c r="AT21">
        <v>0.25269091411029798</v>
      </c>
      <c r="AU21">
        <v>0.25331092231548408</v>
      </c>
      <c r="AV21">
        <v>0.24803875864893041</v>
      </c>
      <c r="AW21">
        <v>0.24688517435497301</v>
      </c>
      <c r="AX21">
        <v>0.25003211677568732</v>
      </c>
      <c r="AY21">
        <v>0.2489843802426866</v>
      </c>
      <c r="AZ21">
        <v>0.24814082575329091</v>
      </c>
      <c r="BA21">
        <v>0.24890837025469151</v>
      </c>
      <c r="BB21">
        <v>0.25191512492693258</v>
      </c>
      <c r="BC21">
        <v>0.2471064452474582</v>
      </c>
      <c r="BD21">
        <v>0.2476719289458911</v>
      </c>
      <c r="BE21">
        <v>0.2538075106826973</v>
      </c>
      <c r="BF21">
        <v>0.25818184782454889</v>
      </c>
      <c r="BG21">
        <v>0.25706598456130991</v>
      </c>
      <c r="BH21">
        <v>0.25733405202892379</v>
      </c>
      <c r="BI21">
        <v>0.2557930368337038</v>
      </c>
      <c r="BJ21">
        <v>0.25668072747513998</v>
      </c>
      <c r="BK21">
        <v>0.25821544663359081</v>
      </c>
      <c r="BL21">
        <v>0.25642808109676929</v>
      </c>
      <c r="BM21">
        <v>0.25622518398728927</v>
      </c>
      <c r="BN21">
        <v>0.25554355796598027</v>
      </c>
      <c r="BO21">
        <v>0.25505178159157987</v>
      </c>
      <c r="BP21">
        <v>0.25500013467014582</v>
      </c>
      <c r="BQ21">
        <v>0.25650293935977508</v>
      </c>
      <c r="BR21">
        <v>0.25931379674302912</v>
      </c>
      <c r="BS21">
        <v>0.25839614786312731</v>
      </c>
      <c r="BT21">
        <v>0.25719061424650258</v>
      </c>
      <c r="BU21">
        <v>0.25779228850826069</v>
      </c>
      <c r="BV21">
        <v>0.25630043281432091</v>
      </c>
      <c r="BW21">
        <v>0.25638352879223658</v>
      </c>
      <c r="BX21">
        <v>0.25481249719868609</v>
      </c>
      <c r="BY21">
        <v>0.25420034174358441</v>
      </c>
      <c r="BZ21">
        <v>0.25339810136336471</v>
      </c>
      <c r="CA21">
        <v>0.25706622457140532</v>
      </c>
      <c r="CB21" s="7">
        <v>0.25510591881345729</v>
      </c>
      <c r="CC21">
        <v>0.25858253396143338</v>
      </c>
    </row>
    <row r="23" spans="1:81" x14ac:dyDescent="0.35">
      <c r="A23" t="s">
        <v>91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6</v>
      </c>
      <c r="H23" t="s">
        <v>7</v>
      </c>
      <c r="I23" t="s">
        <v>8</v>
      </c>
      <c r="J23" t="s">
        <v>9</v>
      </c>
      <c r="K23" t="s">
        <v>10</v>
      </c>
      <c r="L23" t="s">
        <v>11</v>
      </c>
      <c r="M23" t="s">
        <v>12</v>
      </c>
      <c r="N23" t="s">
        <v>13</v>
      </c>
      <c r="O23" t="s">
        <v>14</v>
      </c>
      <c r="P23" t="s">
        <v>15</v>
      </c>
      <c r="Q23" t="s">
        <v>16</v>
      </c>
      <c r="R23" t="s">
        <v>17</v>
      </c>
      <c r="S23" t="s">
        <v>18</v>
      </c>
      <c r="T23" t="s">
        <v>19</v>
      </c>
      <c r="U23" t="s">
        <v>20</v>
      </c>
      <c r="V23" t="s">
        <v>21</v>
      </c>
      <c r="W23" t="s">
        <v>22</v>
      </c>
      <c r="X23" t="s">
        <v>23</v>
      </c>
      <c r="Y23" t="s">
        <v>24</v>
      </c>
      <c r="Z23" t="s">
        <v>25</v>
      </c>
      <c r="AA23" t="s">
        <v>26</v>
      </c>
      <c r="AB23" t="s">
        <v>27</v>
      </c>
      <c r="AC23" t="s">
        <v>28</v>
      </c>
      <c r="AD23" t="s">
        <v>29</v>
      </c>
      <c r="AE23" t="s">
        <v>30</v>
      </c>
      <c r="AF23" t="s">
        <v>31</v>
      </c>
      <c r="AG23" t="s">
        <v>32</v>
      </c>
      <c r="AH23" t="s">
        <v>33</v>
      </c>
      <c r="AI23" t="s">
        <v>34</v>
      </c>
      <c r="AJ23" t="s">
        <v>35</v>
      </c>
      <c r="AK23" t="s">
        <v>36</v>
      </c>
      <c r="AL23" t="s">
        <v>37</v>
      </c>
      <c r="AM23" t="s">
        <v>38</v>
      </c>
      <c r="AN23" t="s">
        <v>39</v>
      </c>
      <c r="AO23" t="s">
        <v>40</v>
      </c>
      <c r="AP23" t="s">
        <v>41</v>
      </c>
      <c r="AQ23" t="s">
        <v>42</v>
      </c>
      <c r="AR23" t="s">
        <v>43</v>
      </c>
      <c r="AS23" t="s">
        <v>44</v>
      </c>
      <c r="AT23" t="s">
        <v>45</v>
      </c>
      <c r="AU23" t="s">
        <v>46</v>
      </c>
      <c r="AV23" t="s">
        <v>47</v>
      </c>
      <c r="AW23" t="s">
        <v>48</v>
      </c>
      <c r="AX23" t="s">
        <v>49</v>
      </c>
      <c r="AY23" t="s">
        <v>50</v>
      </c>
      <c r="AZ23" t="s">
        <v>51</v>
      </c>
      <c r="BA23" t="s">
        <v>52</v>
      </c>
      <c r="BB23" t="s">
        <v>53</v>
      </c>
      <c r="BC23" t="s">
        <v>54</v>
      </c>
      <c r="BD23" t="s">
        <v>55</v>
      </c>
      <c r="BE23" t="s">
        <v>56</v>
      </c>
      <c r="BF23" t="s">
        <v>57</v>
      </c>
      <c r="BG23" t="s">
        <v>58</v>
      </c>
      <c r="BH23" t="s">
        <v>59</v>
      </c>
      <c r="BI23" t="s">
        <v>60</v>
      </c>
      <c r="BJ23" t="s">
        <v>61</v>
      </c>
      <c r="BK23" t="s">
        <v>62</v>
      </c>
      <c r="BL23" t="s">
        <v>63</v>
      </c>
      <c r="BM23" t="s">
        <v>64</v>
      </c>
      <c r="BN23" t="s">
        <v>65</v>
      </c>
      <c r="BO23" t="s">
        <v>66</v>
      </c>
      <c r="BP23" t="s">
        <v>67</v>
      </c>
      <c r="BQ23" t="s">
        <v>68</v>
      </c>
      <c r="BR23" t="s">
        <v>69</v>
      </c>
      <c r="BS23" t="s">
        <v>70</v>
      </c>
      <c r="BT23" t="s">
        <v>71</v>
      </c>
      <c r="BU23" t="s">
        <v>72</v>
      </c>
      <c r="BV23" t="s">
        <v>73</v>
      </c>
      <c r="BW23" t="s">
        <v>74</v>
      </c>
      <c r="BX23" t="s">
        <v>75</v>
      </c>
      <c r="BY23" t="s">
        <v>76</v>
      </c>
      <c r="BZ23" t="s">
        <v>77</v>
      </c>
      <c r="CA23" t="s">
        <v>78</v>
      </c>
      <c r="CB23" s="7" t="s">
        <v>79</v>
      </c>
      <c r="CC23" t="s">
        <v>80</v>
      </c>
    </row>
    <row r="24" spans="1:81" x14ac:dyDescent="0.35">
      <c r="A24" t="s">
        <v>81</v>
      </c>
      <c r="B24">
        <v>129.83140403918981</v>
      </c>
      <c r="C24">
        <v>130.3157375899475</v>
      </c>
      <c r="D24">
        <v>130.03047901073009</v>
      </c>
      <c r="E24">
        <v>130.2815640343004</v>
      </c>
      <c r="F24">
        <v>133.55317768253309</v>
      </c>
      <c r="G24">
        <v>134.87712461979629</v>
      </c>
      <c r="H24">
        <v>135.16856131173199</v>
      </c>
      <c r="I24">
        <v>135.86423233731509</v>
      </c>
      <c r="J24">
        <v>135.54432905310361</v>
      </c>
      <c r="K24">
        <v>135.705080889643</v>
      </c>
      <c r="L24">
        <v>135.20261691205221</v>
      </c>
      <c r="M24">
        <v>134.91205493534551</v>
      </c>
      <c r="N24">
        <v>135.53685537614629</v>
      </c>
      <c r="O24">
        <v>135.02472999559191</v>
      </c>
      <c r="P24">
        <v>135.2294025410512</v>
      </c>
      <c r="Q24">
        <v>135.44395453169531</v>
      </c>
      <c r="R24">
        <v>135.33220640512431</v>
      </c>
      <c r="S24">
        <v>135.55206444844481</v>
      </c>
      <c r="T24">
        <v>134.96993185454221</v>
      </c>
      <c r="U24">
        <v>135.76099702107899</v>
      </c>
      <c r="V24">
        <v>134.28820406616259</v>
      </c>
      <c r="W24">
        <v>134.60031662831159</v>
      </c>
      <c r="X24">
        <v>132.94629798355601</v>
      </c>
      <c r="Y24">
        <v>133.37899113376699</v>
      </c>
      <c r="Z24">
        <v>134.13569016735619</v>
      </c>
      <c r="AA24">
        <v>134.4907335832323</v>
      </c>
      <c r="AB24">
        <v>134.45068442609801</v>
      </c>
      <c r="AC24">
        <v>136.22130666514229</v>
      </c>
      <c r="AD24">
        <v>136.67797110258749</v>
      </c>
      <c r="AE24">
        <v>137.11006336831599</v>
      </c>
      <c r="AF24">
        <v>136.96546859633369</v>
      </c>
      <c r="AG24">
        <v>137.2812118592708</v>
      </c>
      <c r="AH24">
        <v>137.1152263415037</v>
      </c>
      <c r="AI24">
        <v>137.4620080883644</v>
      </c>
      <c r="AJ24">
        <v>139.16554355198861</v>
      </c>
      <c r="AK24">
        <v>138.46586194151431</v>
      </c>
      <c r="AL24">
        <v>140.00479271053459</v>
      </c>
      <c r="AM24">
        <v>138.7537581368567</v>
      </c>
      <c r="AN24">
        <v>139.00865117305759</v>
      </c>
      <c r="AO24">
        <v>137.4622913129387</v>
      </c>
      <c r="AP24">
        <v>138.13396357220799</v>
      </c>
      <c r="AQ24">
        <v>137.43433270946969</v>
      </c>
      <c r="AR24">
        <v>137.29598293233531</v>
      </c>
      <c r="AS24">
        <v>138.2766799017586</v>
      </c>
      <c r="AT24">
        <v>139.02750514591131</v>
      </c>
      <c r="AU24">
        <v>138.2771898686272</v>
      </c>
      <c r="AV24">
        <v>137.2373916244014</v>
      </c>
      <c r="AW24">
        <v>136.77430271251609</v>
      </c>
      <c r="AX24">
        <v>137.16669864244369</v>
      </c>
      <c r="AY24">
        <v>136.6679213979746</v>
      </c>
      <c r="AZ24">
        <v>136.41287152794621</v>
      </c>
      <c r="BA24">
        <v>137.13338060457011</v>
      </c>
      <c r="BB24">
        <v>137.38457198263339</v>
      </c>
      <c r="BC24">
        <v>137.7858505819332</v>
      </c>
      <c r="BD24">
        <v>138.08212818323369</v>
      </c>
      <c r="BE24">
        <v>138.90735032961851</v>
      </c>
      <c r="BF24">
        <v>138.6662278813119</v>
      </c>
      <c r="BG24">
        <v>137.8772209511836</v>
      </c>
      <c r="BH24">
        <v>136.7639148966895</v>
      </c>
      <c r="BI24">
        <v>136.669508622048</v>
      </c>
      <c r="BJ24">
        <v>136.7783940423528</v>
      </c>
      <c r="BK24">
        <v>136.4320387822132</v>
      </c>
      <c r="BL24">
        <v>136.5761604248373</v>
      </c>
      <c r="BM24">
        <v>137.41776773884439</v>
      </c>
      <c r="BN24">
        <v>137.90174098803479</v>
      </c>
      <c r="BO24">
        <v>138.3418886485349</v>
      </c>
      <c r="BP24">
        <v>138.43376906526629</v>
      </c>
      <c r="BQ24">
        <v>138.11371634968319</v>
      </c>
      <c r="BR24">
        <v>138.9340232579473</v>
      </c>
      <c r="BS24">
        <v>139.0737222366684</v>
      </c>
      <c r="BT24">
        <v>139.47106181039331</v>
      </c>
      <c r="BU24">
        <v>141.3706357958124</v>
      </c>
      <c r="BV24">
        <v>141.5596841373316</v>
      </c>
      <c r="BW24">
        <v>140.859793416272</v>
      </c>
      <c r="BX24">
        <v>140.78143313853511</v>
      </c>
      <c r="BY24">
        <v>141.0305928382173</v>
      </c>
      <c r="BZ24">
        <v>141.2806729953945</v>
      </c>
      <c r="CA24">
        <v>141.15557474694569</v>
      </c>
      <c r="CB24" s="7">
        <v>141.2307175724647</v>
      </c>
      <c r="CC24">
        <v>141.23760106298189</v>
      </c>
    </row>
    <row r="25" spans="1:81" x14ac:dyDescent="0.35">
      <c r="A25" t="s">
        <v>82</v>
      </c>
      <c r="B25">
        <v>0.65425879559649047</v>
      </c>
      <c r="C25">
        <v>0.39451168451569169</v>
      </c>
      <c r="D25">
        <v>0.77134192848836847</v>
      </c>
      <c r="E25">
        <v>0.39640737872682053</v>
      </c>
      <c r="F25">
        <v>0.56215030301356705</v>
      </c>
      <c r="G25">
        <v>0.70209246685072912</v>
      </c>
      <c r="H25">
        <v>0.81789897914640619</v>
      </c>
      <c r="I25">
        <v>0.92100024818282122</v>
      </c>
      <c r="J25">
        <v>0.97714916724376621</v>
      </c>
      <c r="K25">
        <v>0.92882302715591436</v>
      </c>
      <c r="L25">
        <v>0.75357459877210431</v>
      </c>
      <c r="M25">
        <v>0.83309736936124068</v>
      </c>
      <c r="N25">
        <v>1.6053132300027639</v>
      </c>
      <c r="O25">
        <v>1.725004330511638</v>
      </c>
      <c r="P25">
        <v>1.650898290435634</v>
      </c>
      <c r="Q25">
        <v>1.824265873153166</v>
      </c>
      <c r="R25">
        <v>1.8890512885615749</v>
      </c>
      <c r="S25">
        <v>1.7083132727918551</v>
      </c>
      <c r="T25">
        <v>1.4460266664463011</v>
      </c>
      <c r="U25">
        <v>1.461405332452159</v>
      </c>
      <c r="V25">
        <v>1.223690842707839</v>
      </c>
      <c r="W25">
        <v>0.80184815005836185</v>
      </c>
      <c r="X25">
        <v>1.014972859786212</v>
      </c>
      <c r="Y25">
        <v>0.92982063736462806</v>
      </c>
      <c r="Z25">
        <v>0.23915064273768391</v>
      </c>
      <c r="AA25">
        <v>0.16084525846221709</v>
      </c>
      <c r="AB25">
        <v>0.37297688633603338</v>
      </c>
      <c r="AC25">
        <v>0.60665187189960079</v>
      </c>
      <c r="AD25">
        <v>0.53916569866379405</v>
      </c>
      <c r="AE25">
        <v>0.56527686592104942</v>
      </c>
      <c r="AF25">
        <v>0.30467111886090947</v>
      </c>
      <c r="AG25">
        <v>4.177720660990758E-2</v>
      </c>
      <c r="AH25">
        <v>-6.143350929198732E-2</v>
      </c>
      <c r="AI25">
        <v>0.69963191036060834</v>
      </c>
      <c r="AJ25">
        <v>0.72533271516647346</v>
      </c>
      <c r="AK25">
        <v>0.87550160826597789</v>
      </c>
      <c r="AL25">
        <v>0.21112063916396551</v>
      </c>
      <c r="AM25">
        <v>6.7254240260439246E-2</v>
      </c>
      <c r="AN25">
        <v>0.74489278572255557</v>
      </c>
      <c r="AO25">
        <v>-0.43394351010167043</v>
      </c>
      <c r="AP25">
        <v>0.47236533998676578</v>
      </c>
      <c r="AQ25">
        <v>0.21829919334416559</v>
      </c>
      <c r="AR25">
        <v>1.037597688970237</v>
      </c>
      <c r="AS25">
        <v>1.577725792224157</v>
      </c>
      <c r="AT25">
        <v>1.6330850854579071</v>
      </c>
      <c r="AU25">
        <v>1.081755364275637</v>
      </c>
      <c r="AV25">
        <v>1.1486264955913159</v>
      </c>
      <c r="AW25">
        <v>1.1516218979994901</v>
      </c>
      <c r="AX25">
        <v>0.89659002989318992</v>
      </c>
      <c r="AY25">
        <v>0.80769566076935462</v>
      </c>
      <c r="AZ25">
        <v>0.99732094546209282</v>
      </c>
      <c r="BA25">
        <v>1.6947924522277451</v>
      </c>
      <c r="BB25">
        <v>1.963458347646565</v>
      </c>
      <c r="BC25">
        <v>2.1408366244996841</v>
      </c>
      <c r="BD25">
        <v>2.2083311485235129</v>
      </c>
      <c r="BE25">
        <v>2.0143060428718802</v>
      </c>
      <c r="BF25">
        <v>2.3327381363257018</v>
      </c>
      <c r="BG25">
        <v>1.8613163991943511</v>
      </c>
      <c r="BH25">
        <v>1.8439504128806159</v>
      </c>
      <c r="BI25">
        <v>2.0983706879844992</v>
      </c>
      <c r="BJ25">
        <v>2.091150010490026</v>
      </c>
      <c r="BK25">
        <v>1.833904938349235</v>
      </c>
      <c r="BL25">
        <v>1.457935150201791</v>
      </c>
      <c r="BM25">
        <v>1.810215250507639</v>
      </c>
      <c r="BN25">
        <v>1.9838212498991941</v>
      </c>
      <c r="BO25">
        <v>2.28890642127817</v>
      </c>
      <c r="BP25">
        <v>2.1392108904874481</v>
      </c>
      <c r="BQ25">
        <v>2.040138004141113</v>
      </c>
      <c r="BR25">
        <v>2.3954776589776259</v>
      </c>
      <c r="BS25">
        <v>2.4830210240907888</v>
      </c>
      <c r="BT25">
        <v>2.745278452822816</v>
      </c>
      <c r="BU25">
        <v>2.9814380955021988</v>
      </c>
      <c r="BV25">
        <v>3.3170787198965002</v>
      </c>
      <c r="BW25">
        <v>3.084081798361296</v>
      </c>
      <c r="BX25">
        <v>2.7804562280207392</v>
      </c>
      <c r="BY25">
        <v>3.1263831230094472</v>
      </c>
      <c r="BZ25">
        <v>3.273217401821114</v>
      </c>
      <c r="CA25">
        <v>3.1065720101881031</v>
      </c>
      <c r="CB25" s="7">
        <v>3.0253333167852361</v>
      </c>
      <c r="CC25">
        <v>2.844758037712467</v>
      </c>
    </row>
    <row r="26" spans="1:81" x14ac:dyDescent="0.35">
      <c r="A26" t="s">
        <v>83</v>
      </c>
      <c r="B26">
        <v>-1.0805592986970081</v>
      </c>
      <c r="C26">
        <v>-0.95664566100409809</v>
      </c>
      <c r="D26">
        <v>-1.2633688716561611</v>
      </c>
      <c r="E26">
        <v>-1.128523817354298</v>
      </c>
      <c r="F26">
        <v>-1.198619029174099</v>
      </c>
      <c r="G26">
        <v>-0.99693938506977975</v>
      </c>
      <c r="H26">
        <v>-0.98789696902109037</v>
      </c>
      <c r="I26">
        <v>-0.80860389256628817</v>
      </c>
      <c r="J26">
        <v>-0.44302356237921331</v>
      </c>
      <c r="K26">
        <v>-5.1189659608570588E-2</v>
      </c>
      <c r="L26">
        <v>-0.63579541566480513</v>
      </c>
      <c r="M26">
        <v>-0.35503469187201148</v>
      </c>
      <c r="N26">
        <v>-0.53065636156328355</v>
      </c>
      <c r="O26">
        <v>-0.41058060178079792</v>
      </c>
      <c r="P26">
        <v>-0.60542441941649106</v>
      </c>
      <c r="Q26">
        <v>-0.56082848789774598</v>
      </c>
      <c r="R26">
        <v>-0.25413797661675619</v>
      </c>
      <c r="S26">
        <v>-0.39999147107094712</v>
      </c>
      <c r="T26">
        <v>-0.46436044046705433</v>
      </c>
      <c r="U26">
        <v>-0.84646913443064054</v>
      </c>
      <c r="V26">
        <v>-0.53065229854675555</v>
      </c>
      <c r="W26">
        <v>-0.75744533386437929</v>
      </c>
      <c r="X26">
        <v>-1.051596170881798</v>
      </c>
      <c r="Y26">
        <v>-0.57012626297006097</v>
      </c>
      <c r="Z26">
        <v>-0.2223577031914859</v>
      </c>
      <c r="AA26">
        <v>-1.08754433063454</v>
      </c>
      <c r="AB26">
        <v>-1.783670160956828</v>
      </c>
      <c r="AC26">
        <v>-1.3289727028013489</v>
      </c>
      <c r="AD26">
        <v>-1.1572750631307069</v>
      </c>
      <c r="AE26">
        <v>-1.3049562826537029</v>
      </c>
      <c r="AF26">
        <v>-1.112350095223718</v>
      </c>
      <c r="AG26">
        <v>-1.3994565176195239</v>
      </c>
      <c r="AH26">
        <v>-1.8950393661940099</v>
      </c>
      <c r="AI26">
        <v>-1.5239079213359881</v>
      </c>
      <c r="AJ26">
        <v>-1.022288323431489</v>
      </c>
      <c r="AK26">
        <v>-1.014057256998246</v>
      </c>
      <c r="AL26">
        <v>-1.026161072862503</v>
      </c>
      <c r="AM26">
        <v>-1.039244082448068</v>
      </c>
      <c r="AN26">
        <v>-1.369570895526147</v>
      </c>
      <c r="AO26">
        <v>-2.456452860111884</v>
      </c>
      <c r="AP26">
        <v>-0.97388250220889572</v>
      </c>
      <c r="AQ26">
        <v>-1.059717341441992</v>
      </c>
      <c r="AR26">
        <v>-1.327284535232248</v>
      </c>
      <c r="AS26">
        <v>-1.519423279295538</v>
      </c>
      <c r="AT26">
        <v>-0.78446209195386774</v>
      </c>
      <c r="AU26">
        <v>-1.202193981733416</v>
      </c>
      <c r="AV26">
        <v>-0.74648249801969158</v>
      </c>
      <c r="AW26">
        <v>7.3035777383093484E-2</v>
      </c>
      <c r="AX26">
        <v>-0.68766522704177491</v>
      </c>
      <c r="AY26">
        <v>-0.65263940066432491</v>
      </c>
      <c r="AZ26">
        <v>-1.1063383179207811</v>
      </c>
      <c r="BA26">
        <v>-0.25585367935011583</v>
      </c>
      <c r="BB26">
        <v>0.63581408362337444</v>
      </c>
      <c r="BC26">
        <v>0.61732503955914086</v>
      </c>
      <c r="BD26">
        <v>1.511288651602658</v>
      </c>
      <c r="BE26">
        <v>1.289605188151703</v>
      </c>
      <c r="BF26">
        <v>0.69785893542640387</v>
      </c>
      <c r="BG26">
        <v>1.6521239137253509</v>
      </c>
      <c r="BH26">
        <v>2.3601522818529341</v>
      </c>
      <c r="BI26">
        <v>3.228321795930857</v>
      </c>
      <c r="BJ26">
        <v>2.660077265771458</v>
      </c>
      <c r="BK26">
        <v>2.0441247142744809</v>
      </c>
      <c r="BL26">
        <v>1.7538900994516951</v>
      </c>
      <c r="BM26">
        <v>2.3749083913363198</v>
      </c>
      <c r="BN26">
        <v>2.810987516802359</v>
      </c>
      <c r="BO26">
        <v>2.9961309386582058</v>
      </c>
      <c r="BP26">
        <v>3.0879663212303252</v>
      </c>
      <c r="BQ26">
        <v>2.364850426676218</v>
      </c>
      <c r="BR26">
        <v>3.1125377778925039</v>
      </c>
      <c r="BS26">
        <v>3.9060697988382982</v>
      </c>
      <c r="BT26">
        <v>4.0295996416779749</v>
      </c>
      <c r="BU26">
        <v>4.1292436989973869</v>
      </c>
      <c r="BV26">
        <v>4.2796506875236009</v>
      </c>
      <c r="BW26">
        <v>2.9794342811201182</v>
      </c>
      <c r="BX26">
        <v>3.0582996875378901</v>
      </c>
      <c r="BY26">
        <v>3.5207213018146581</v>
      </c>
      <c r="BZ26">
        <v>4.6445547827512224</v>
      </c>
      <c r="CA26">
        <v>4.2514205578395643</v>
      </c>
      <c r="CB26" s="7">
        <v>3.9778585345418032</v>
      </c>
      <c r="CC26">
        <v>3.8349534709720761</v>
      </c>
    </row>
    <row r="27" spans="1:81" x14ac:dyDescent="0.35">
      <c r="A27" t="s">
        <v>84</v>
      </c>
      <c r="B27">
        <v>-1.078700402027436</v>
      </c>
      <c r="C27">
        <v>-1.403722320958936</v>
      </c>
      <c r="D27">
        <v>-0.94297291068229028</v>
      </c>
      <c r="E27">
        <v>-1.293412549180138</v>
      </c>
      <c r="F27">
        <v>-1.694482498382647</v>
      </c>
      <c r="G27">
        <v>-1.001923873357629</v>
      </c>
      <c r="H27">
        <v>0.6042393596676261</v>
      </c>
      <c r="I27">
        <v>1.319712030153023</v>
      </c>
      <c r="J27">
        <v>1.7449555662142779</v>
      </c>
      <c r="K27">
        <v>1.9455443925532081</v>
      </c>
      <c r="L27">
        <v>0.9705117088115407</v>
      </c>
      <c r="M27">
        <v>1.28092254052053</v>
      </c>
      <c r="N27">
        <v>1.35130152915821</v>
      </c>
      <c r="O27">
        <v>2.3989134472578759</v>
      </c>
      <c r="P27">
        <v>3.097682664319565</v>
      </c>
      <c r="Q27">
        <v>3.6813410841636691</v>
      </c>
      <c r="R27">
        <v>4.5050108557292443</v>
      </c>
      <c r="S27">
        <v>4.426758800703289</v>
      </c>
      <c r="T27">
        <v>4.5211965565828587</v>
      </c>
      <c r="U27">
        <v>3.7205804351675762</v>
      </c>
      <c r="V27">
        <v>3.4196072759044092</v>
      </c>
      <c r="W27">
        <v>4.0258920706264707</v>
      </c>
      <c r="X27">
        <v>2.9433046135776961</v>
      </c>
      <c r="Y27">
        <v>3.7140732089931658</v>
      </c>
      <c r="Z27">
        <v>3.77062503394338</v>
      </c>
      <c r="AA27">
        <v>4.4096767470445819</v>
      </c>
      <c r="AB27">
        <v>4.0480373711153117</v>
      </c>
      <c r="AC27">
        <v>4.5681561488627871</v>
      </c>
      <c r="AD27">
        <v>4.057819754451943</v>
      </c>
      <c r="AE27">
        <v>5.1258542993476794</v>
      </c>
      <c r="AF27">
        <v>5.1150577649521516</v>
      </c>
      <c r="AG27">
        <v>3.83363883737906</v>
      </c>
      <c r="AH27">
        <v>3.9945682442526338</v>
      </c>
      <c r="AI27">
        <v>5.2213634036460634</v>
      </c>
      <c r="AJ27">
        <v>5.13708631045664</v>
      </c>
      <c r="AK27">
        <v>5.8502459385572827</v>
      </c>
      <c r="AL27">
        <v>5.4192597257012682</v>
      </c>
      <c r="AM27">
        <v>7.0647048978869789</v>
      </c>
      <c r="AN27">
        <v>3.1137195928195789</v>
      </c>
      <c r="AO27">
        <v>-0.82317062941027352</v>
      </c>
      <c r="AP27">
        <v>4.8133017578465029</v>
      </c>
      <c r="AQ27">
        <v>6.7798585815493411</v>
      </c>
      <c r="AR27">
        <v>7.1135301735345804</v>
      </c>
      <c r="AS27">
        <v>5.9142619947432484</v>
      </c>
      <c r="AT27">
        <v>4.987412334275092</v>
      </c>
      <c r="AU27">
        <v>6.0135334383422627</v>
      </c>
      <c r="AV27">
        <v>6.6033945088792469</v>
      </c>
      <c r="AW27">
        <v>5.2942671254691884</v>
      </c>
      <c r="AX27">
        <v>4.6445890285308353</v>
      </c>
      <c r="AY27">
        <v>4.4793856260010907</v>
      </c>
      <c r="AZ27">
        <v>4.4146980993179952</v>
      </c>
      <c r="BA27">
        <v>4.5928497039270173</v>
      </c>
      <c r="BB27">
        <v>4.954622994861186</v>
      </c>
      <c r="BC27">
        <v>5.7017616587017148</v>
      </c>
      <c r="BD27">
        <v>5.8988073323360792</v>
      </c>
      <c r="BE27">
        <v>5.7040873521353577</v>
      </c>
      <c r="BF27">
        <v>5.0789025059944084</v>
      </c>
      <c r="BG27">
        <v>5.261872622345118</v>
      </c>
      <c r="BH27">
        <v>5.6033676461154336</v>
      </c>
      <c r="BI27">
        <v>5.6162062021572856</v>
      </c>
      <c r="BJ27">
        <v>5.2801325855253278</v>
      </c>
      <c r="BK27">
        <v>4.808640832896141</v>
      </c>
      <c r="BL27">
        <v>5.3222448140877532</v>
      </c>
      <c r="BM27">
        <v>5.5366492726931646</v>
      </c>
      <c r="BN27">
        <v>6.2101227442972204</v>
      </c>
      <c r="BO27">
        <v>6.5395114128118514</v>
      </c>
      <c r="BP27">
        <v>5.7309216648869583</v>
      </c>
      <c r="BQ27">
        <v>5.9983856575802514</v>
      </c>
      <c r="BR27">
        <v>6.1992883465132209</v>
      </c>
      <c r="BS27">
        <v>6.7613964214529796</v>
      </c>
      <c r="BT27">
        <v>5.9714661188038818</v>
      </c>
      <c r="BU27">
        <v>5.7502808194443551</v>
      </c>
      <c r="BV27">
        <v>5.0910294416440474</v>
      </c>
      <c r="BW27">
        <v>5.3618103033642219</v>
      </c>
      <c r="BX27">
        <v>5.2311627038620356</v>
      </c>
      <c r="BY27">
        <v>5.3939307665501426</v>
      </c>
      <c r="BZ27">
        <v>5.7781771322921891</v>
      </c>
      <c r="CA27">
        <v>5.1683993416613312</v>
      </c>
      <c r="CB27" s="7">
        <v>5.1585567209935652</v>
      </c>
      <c r="CC27">
        <v>4.872908864938382</v>
      </c>
    </row>
    <row r="28" spans="1:81" x14ac:dyDescent="0.35">
      <c r="A28" t="s">
        <v>85</v>
      </c>
      <c r="B28">
        <v>0.2257497429845734</v>
      </c>
      <c r="C28">
        <v>3.4048070813738618E-3</v>
      </c>
      <c r="D28">
        <v>-0.1220245261359193</v>
      </c>
      <c r="E28">
        <v>-0.25665716158617963</v>
      </c>
      <c r="F28">
        <v>-0.38792842707246811</v>
      </c>
      <c r="G28">
        <v>-0.34306704593594251</v>
      </c>
      <c r="H28">
        <v>-0.56404501874462942</v>
      </c>
      <c r="I28">
        <v>-0.36773829112794032</v>
      </c>
      <c r="J28">
        <v>-0.35448656608903117</v>
      </c>
      <c r="K28">
        <v>-0.23936632833245089</v>
      </c>
      <c r="L28">
        <v>-0.49329637629703987</v>
      </c>
      <c r="M28">
        <v>-0.42875264140767638</v>
      </c>
      <c r="N28">
        <v>-0.33478319280844709</v>
      </c>
      <c r="O28">
        <v>-0.44610320196915898</v>
      </c>
      <c r="P28">
        <v>-0.50690383979281162</v>
      </c>
      <c r="Q28">
        <v>-0.18862801722969891</v>
      </c>
      <c r="R28">
        <v>-0.30808684438121181</v>
      </c>
      <c r="S28">
        <v>-0.25373647262839311</v>
      </c>
      <c r="T28">
        <v>-0.17729600895881489</v>
      </c>
      <c r="U28">
        <v>-0.1770755999356238</v>
      </c>
      <c r="V28">
        <v>-0.52241645648758883</v>
      </c>
      <c r="W28">
        <v>-0.26926797554773779</v>
      </c>
      <c r="X28">
        <v>-0.16147702488364829</v>
      </c>
      <c r="Y28">
        <v>-2.540409398159749E-2</v>
      </c>
      <c r="Z28">
        <v>-6.7083180242263341E-2</v>
      </c>
      <c r="AA28">
        <v>-0.29889671573953452</v>
      </c>
      <c r="AB28">
        <v>-0.49669871312384201</v>
      </c>
      <c r="AC28">
        <v>1.907236722541478E-2</v>
      </c>
      <c r="AD28">
        <v>9.4337413257058744E-2</v>
      </c>
      <c r="AE28">
        <v>-0.4341683695539722</v>
      </c>
      <c r="AF28">
        <v>-0.20626801889836399</v>
      </c>
      <c r="AG28">
        <v>-0.35808452971739291</v>
      </c>
      <c r="AH28">
        <v>-0.3602068398122954</v>
      </c>
      <c r="AI28">
        <v>-0.1991479186315798</v>
      </c>
      <c r="AJ28">
        <v>0.1680545225058111</v>
      </c>
      <c r="AK28">
        <v>2.9156645250573709E-2</v>
      </c>
      <c r="AL28">
        <v>-0.54684245264710996</v>
      </c>
      <c r="AM28">
        <v>-0.52105959288723747</v>
      </c>
      <c r="AN28">
        <v>-0.78913097461589643</v>
      </c>
      <c r="AO28">
        <v>-0.74215718033901368</v>
      </c>
      <c r="AP28">
        <v>-0.81966957848805477</v>
      </c>
      <c r="AQ28">
        <v>-0.70866789534019925</v>
      </c>
      <c r="AR28">
        <v>-0.55838685875476912</v>
      </c>
      <c r="AS28">
        <v>-0.31570739266468861</v>
      </c>
      <c r="AT28">
        <v>-6.0089723470139737E-2</v>
      </c>
      <c r="AU28">
        <v>-0.28253887741465872</v>
      </c>
      <c r="AV28">
        <v>0.21776154049413021</v>
      </c>
      <c r="AW28">
        <v>-0.1816242813988955</v>
      </c>
      <c r="AX28">
        <v>-0.19150121915789239</v>
      </c>
      <c r="AY28">
        <v>-0.44857758572341311</v>
      </c>
      <c r="AZ28">
        <v>-0.23053364545606969</v>
      </c>
      <c r="BA28">
        <v>-0.13802868230095741</v>
      </c>
      <c r="BB28">
        <v>8.9908905046199861E-2</v>
      </c>
      <c r="BC28">
        <v>0.51756187035889711</v>
      </c>
      <c r="BD28">
        <v>0.63728000998170387</v>
      </c>
      <c r="BE28">
        <v>-0.1165733204934877</v>
      </c>
      <c r="BF28">
        <v>-0.1892039444729687</v>
      </c>
      <c r="BG28">
        <v>-0.25674975602130451</v>
      </c>
      <c r="BH28">
        <v>-4.7213072476742779E-3</v>
      </c>
      <c r="BI28">
        <v>0.37976836785735052</v>
      </c>
      <c r="BJ28">
        <v>5.8914845993774112E-2</v>
      </c>
      <c r="BK28">
        <v>-0.1228043321235667</v>
      </c>
      <c r="BL28">
        <v>3.4213891357654791E-2</v>
      </c>
      <c r="BM28">
        <v>0.24659436319536321</v>
      </c>
      <c r="BN28">
        <v>0.29488001791551749</v>
      </c>
      <c r="BO28">
        <v>0.4067577628828678</v>
      </c>
      <c r="BP28">
        <v>0.3044411072055267</v>
      </c>
      <c r="BQ28">
        <v>0.1165039630236239</v>
      </c>
      <c r="BR28">
        <v>0.33420422093078722</v>
      </c>
      <c r="BS28">
        <v>0.42638390395056958</v>
      </c>
      <c r="BT28">
        <v>0.33334888252103839</v>
      </c>
      <c r="BU28">
        <v>0.61338047040401189</v>
      </c>
      <c r="BV28">
        <v>0.85471732145959667</v>
      </c>
      <c r="BW28">
        <v>0.53934693233332276</v>
      </c>
      <c r="BX28">
        <v>0.75785952451769845</v>
      </c>
      <c r="BY28">
        <v>0.76926166598644596</v>
      </c>
      <c r="BZ28">
        <v>1.0975091700408679</v>
      </c>
      <c r="CA28">
        <v>0.9463993325111979</v>
      </c>
      <c r="CB28" s="7">
        <v>1.0247001432003939</v>
      </c>
      <c r="CC28">
        <v>0.90292747620225444</v>
      </c>
    </row>
    <row r="29" spans="1:81" x14ac:dyDescent="0.35">
      <c r="A29" t="s">
        <v>86</v>
      </c>
      <c r="B29">
        <v>128.55215287704641</v>
      </c>
      <c r="C29">
        <v>128.3532860995816</v>
      </c>
      <c r="D29">
        <v>128.47345463074399</v>
      </c>
      <c r="E29">
        <v>127.99937788490659</v>
      </c>
      <c r="F29">
        <v>130.83429803091749</v>
      </c>
      <c r="G29">
        <v>133.23728678228369</v>
      </c>
      <c r="H29">
        <v>135.03875766278031</v>
      </c>
      <c r="I29">
        <v>136.92860243195679</v>
      </c>
      <c r="J29">
        <v>137.46892365809339</v>
      </c>
      <c r="K29">
        <v>138.28889232141111</v>
      </c>
      <c r="L29">
        <v>135.7976114276739</v>
      </c>
      <c r="M29">
        <v>136.24228751194761</v>
      </c>
      <c r="N29">
        <v>137.6280305809355</v>
      </c>
      <c r="O29">
        <v>138.2919639696114</v>
      </c>
      <c r="P29">
        <v>138.86565523659709</v>
      </c>
      <c r="Q29">
        <v>140.2001049838847</v>
      </c>
      <c r="R29">
        <v>141.16404372841711</v>
      </c>
      <c r="S29">
        <v>141.0334085782406</v>
      </c>
      <c r="T29">
        <v>140.29549862814551</v>
      </c>
      <c r="U29">
        <v>139.91943805433249</v>
      </c>
      <c r="V29">
        <v>137.87843342974051</v>
      </c>
      <c r="W29">
        <v>138.4013435395843</v>
      </c>
      <c r="X29">
        <v>135.6915022611544</v>
      </c>
      <c r="Y29">
        <v>137.4273546231731</v>
      </c>
      <c r="Z29">
        <v>137.85602496060349</v>
      </c>
      <c r="AA29">
        <v>137.674814542365</v>
      </c>
      <c r="AB29">
        <v>136.5913298094687</v>
      </c>
      <c r="AC29">
        <v>140.08621435032879</v>
      </c>
      <c r="AD29">
        <v>140.21201890582961</v>
      </c>
      <c r="AE29">
        <v>141.06206988137711</v>
      </c>
      <c r="AF29">
        <v>141.06657936602471</v>
      </c>
      <c r="AG29">
        <v>139.39908685592289</v>
      </c>
      <c r="AH29">
        <v>138.79311487045811</v>
      </c>
      <c r="AI29">
        <v>141.65994756240349</v>
      </c>
      <c r="AJ29">
        <v>144.17372877668609</v>
      </c>
      <c r="AK29">
        <v>144.20670887658989</v>
      </c>
      <c r="AL29">
        <v>144.06216954989031</v>
      </c>
      <c r="AM29">
        <v>144.32541359966879</v>
      </c>
      <c r="AN29">
        <v>140.7085616814577</v>
      </c>
      <c r="AO29">
        <v>133.0065671329759</v>
      </c>
      <c r="AP29">
        <v>141.6260785893443</v>
      </c>
      <c r="AQ29">
        <v>142.66410524758109</v>
      </c>
      <c r="AR29">
        <v>143.56143940085309</v>
      </c>
      <c r="AS29">
        <v>143.9335370167658</v>
      </c>
      <c r="AT29">
        <v>144.80345075022029</v>
      </c>
      <c r="AU29">
        <v>143.88774581209699</v>
      </c>
      <c r="AV29">
        <v>144.46069167134641</v>
      </c>
      <c r="AW29">
        <v>143.11160323196901</v>
      </c>
      <c r="AX29">
        <v>141.82871125466809</v>
      </c>
      <c r="AY29">
        <v>140.85378569835731</v>
      </c>
      <c r="AZ29">
        <v>140.4880186093495</v>
      </c>
      <c r="BA29">
        <v>143.0271403990738</v>
      </c>
      <c r="BB29">
        <v>145.0283763138107</v>
      </c>
      <c r="BC29">
        <v>146.76333577505261</v>
      </c>
      <c r="BD29">
        <v>148.33783532567759</v>
      </c>
      <c r="BE29">
        <v>147.7987755922839</v>
      </c>
      <c r="BF29">
        <v>146.58652351458539</v>
      </c>
      <c r="BG29">
        <v>146.3957841304271</v>
      </c>
      <c r="BH29">
        <v>146.56666393029079</v>
      </c>
      <c r="BI29">
        <v>147.99217567597799</v>
      </c>
      <c r="BJ29">
        <v>146.86866875013339</v>
      </c>
      <c r="BK29">
        <v>144.9959049356095</v>
      </c>
      <c r="BL29">
        <v>145.1444443799362</v>
      </c>
      <c r="BM29">
        <v>147.38613501657679</v>
      </c>
      <c r="BN29">
        <v>149.20155251694911</v>
      </c>
      <c r="BO29">
        <v>150.573195184166</v>
      </c>
      <c r="BP29">
        <v>149.69630904907649</v>
      </c>
      <c r="BQ29">
        <v>148.63359440110449</v>
      </c>
      <c r="BR29">
        <v>150.9755312622614</v>
      </c>
      <c r="BS29">
        <v>152.65059338500109</v>
      </c>
      <c r="BT29">
        <v>152.550754906219</v>
      </c>
      <c r="BU29">
        <v>154.84497888016031</v>
      </c>
      <c r="BV29">
        <v>155.10216030785531</v>
      </c>
      <c r="BW29">
        <v>152.824466731451</v>
      </c>
      <c r="BX29">
        <v>152.6092112824735</v>
      </c>
      <c r="BY29">
        <v>153.840889695578</v>
      </c>
      <c r="BZ29">
        <v>156.07413148229989</v>
      </c>
      <c r="CA29">
        <v>154.628365989146</v>
      </c>
      <c r="CB29" s="7">
        <v>154.41716628798571</v>
      </c>
      <c r="CC29">
        <v>153.693148912807</v>
      </c>
    </row>
    <row r="30" spans="1:81" x14ac:dyDescent="0.35">
      <c r="A30" t="s">
        <v>87</v>
      </c>
      <c r="B30">
        <v>22592233.629999999</v>
      </c>
      <c r="C30">
        <v>20599870.539999999</v>
      </c>
      <c r="D30">
        <v>29712398.329999998</v>
      </c>
      <c r="E30">
        <v>16856969.309999999</v>
      </c>
      <c r="F30">
        <v>19516023.98</v>
      </c>
      <c r="G30">
        <v>22654094.52</v>
      </c>
      <c r="H30">
        <v>22197172.050000001</v>
      </c>
      <c r="I30">
        <v>19905652.640000001</v>
      </c>
      <c r="J30">
        <v>16346801.800000001</v>
      </c>
      <c r="K30">
        <v>15859735.939999999</v>
      </c>
      <c r="L30">
        <v>14270955.58</v>
      </c>
      <c r="M30">
        <v>13426344.720000001</v>
      </c>
      <c r="N30">
        <v>15565452.529999999</v>
      </c>
      <c r="O30">
        <v>15284474.83</v>
      </c>
      <c r="P30">
        <v>31521530.460000001</v>
      </c>
      <c r="Q30">
        <v>29777364.609999999</v>
      </c>
      <c r="R30">
        <v>24956404.199999999</v>
      </c>
      <c r="S30">
        <v>26703049.050000001</v>
      </c>
      <c r="T30">
        <v>23201629.530000001</v>
      </c>
      <c r="U30">
        <v>21950888.93</v>
      </c>
      <c r="V30">
        <v>20433404.649999999</v>
      </c>
      <c r="W30">
        <v>18919822.359999999</v>
      </c>
      <c r="X30">
        <v>18403854.350000001</v>
      </c>
      <c r="Y30">
        <v>20708996.350000001</v>
      </c>
      <c r="Z30">
        <v>14992878.65</v>
      </c>
      <c r="AA30">
        <v>16857339.989999998</v>
      </c>
      <c r="AB30">
        <v>21585603.77</v>
      </c>
      <c r="AC30">
        <v>18470228.510000002</v>
      </c>
      <c r="AD30">
        <v>18262178</v>
      </c>
      <c r="AE30">
        <v>16025462.539999999</v>
      </c>
      <c r="AF30">
        <v>13154894.529999999</v>
      </c>
      <c r="AG30">
        <v>11964699.529999999</v>
      </c>
      <c r="AH30">
        <v>11719794.43</v>
      </c>
      <c r="AI30">
        <v>8712954.5899999999</v>
      </c>
      <c r="AJ30">
        <v>5766370.1500000004</v>
      </c>
      <c r="AK30">
        <v>5504346.0099999998</v>
      </c>
      <c r="AL30">
        <v>4068037.82</v>
      </c>
      <c r="AM30">
        <v>4319500.0600000015</v>
      </c>
      <c r="AN30">
        <v>3819978.83</v>
      </c>
      <c r="AO30">
        <v>1627426.57</v>
      </c>
      <c r="AP30">
        <v>6934929.71</v>
      </c>
      <c r="AQ30">
        <v>7367609.3900000006</v>
      </c>
      <c r="AR30">
        <v>7434106</v>
      </c>
      <c r="AS30">
        <v>9425579.5300000012</v>
      </c>
      <c r="AT30">
        <v>10691741.619999999</v>
      </c>
      <c r="AU30">
        <v>12653586.26</v>
      </c>
      <c r="AV30">
        <v>16467993.949999999</v>
      </c>
      <c r="AW30">
        <v>14733396.52</v>
      </c>
      <c r="AX30">
        <v>15050973.57</v>
      </c>
      <c r="AY30">
        <v>19196432.879999999</v>
      </c>
      <c r="AZ30">
        <v>33505825.649999999</v>
      </c>
      <c r="BA30">
        <v>31030266.059999999</v>
      </c>
      <c r="BB30">
        <v>34320176.25</v>
      </c>
      <c r="BC30">
        <v>28230756.149999999</v>
      </c>
      <c r="BD30">
        <v>27262522.120000001</v>
      </c>
      <c r="BE30">
        <v>20082033.82</v>
      </c>
      <c r="BF30">
        <v>20666051.859999999</v>
      </c>
      <c r="BG30">
        <v>25192527.32</v>
      </c>
      <c r="BH30">
        <v>20427329.579999998</v>
      </c>
      <c r="BI30">
        <v>24362466.260000002</v>
      </c>
      <c r="BJ30">
        <v>29155105.32</v>
      </c>
      <c r="BK30">
        <v>28704211.25</v>
      </c>
      <c r="BL30">
        <v>50862934.760000013</v>
      </c>
      <c r="BM30">
        <v>43623722.989999987</v>
      </c>
      <c r="BN30">
        <v>37502657.079999998</v>
      </c>
      <c r="BO30">
        <v>34119060.479999997</v>
      </c>
      <c r="BP30">
        <v>33248040.739999998</v>
      </c>
      <c r="BQ30">
        <v>29007287.850000001</v>
      </c>
      <c r="BR30">
        <v>27004751.27</v>
      </c>
      <c r="BS30">
        <v>28829122.449999999</v>
      </c>
      <c r="BT30">
        <v>19064750.879999999</v>
      </c>
      <c r="BU30">
        <v>22836357.199999999</v>
      </c>
      <c r="BV30">
        <v>23324873.16</v>
      </c>
      <c r="BW30">
        <v>30295980.399999999</v>
      </c>
      <c r="BX30">
        <v>49983704.450000003</v>
      </c>
      <c r="BY30">
        <v>41555672.770000003</v>
      </c>
      <c r="BZ30">
        <v>38774211.060000002</v>
      </c>
      <c r="CA30">
        <v>38016709.469999999</v>
      </c>
      <c r="CB30" s="7">
        <v>39889590.950000003</v>
      </c>
      <c r="CC30">
        <v>16889008.41</v>
      </c>
    </row>
    <row r="31" spans="1:81" x14ac:dyDescent="0.35">
      <c r="A31" t="s">
        <v>88</v>
      </c>
      <c r="B31">
        <v>2.0714389423461199</v>
      </c>
      <c r="C31">
        <v>2.114607131182328</v>
      </c>
      <c r="D31">
        <v>2.0539293990442768</v>
      </c>
      <c r="E31">
        <v>2.0997559210914711</v>
      </c>
      <c r="F31">
        <v>2.1547784971344459</v>
      </c>
      <c r="G31">
        <v>2.0614978788028648</v>
      </c>
      <c r="H31">
        <v>1.873412382449148</v>
      </c>
      <c r="I31">
        <v>1.800246638468832</v>
      </c>
      <c r="J31">
        <v>1.7594066778927351</v>
      </c>
      <c r="K31">
        <v>1.7407786926916291</v>
      </c>
      <c r="L31">
        <v>1.8352287644557621</v>
      </c>
      <c r="M31">
        <v>1.804066503038797</v>
      </c>
      <c r="N31">
        <v>1.7971477362299559</v>
      </c>
      <c r="O31">
        <v>1.700095218717617</v>
      </c>
      <c r="P31">
        <v>1.640985209630714</v>
      </c>
      <c r="Q31">
        <v>1.5946741493110319</v>
      </c>
      <c r="R31">
        <v>1.533596063784997</v>
      </c>
      <c r="S31">
        <v>1.5391968662529349</v>
      </c>
      <c r="T31">
        <v>1.532442674053462</v>
      </c>
      <c r="U31">
        <v>1.5916542542420951</v>
      </c>
      <c r="V31">
        <v>1.615114314118917</v>
      </c>
      <c r="W31">
        <v>1.5685422473024879</v>
      </c>
      <c r="X31">
        <v>1.653687823508784</v>
      </c>
      <c r="Y31">
        <v>1.592154264747963</v>
      </c>
      <c r="Z31">
        <v>1.587819333607152</v>
      </c>
      <c r="AA31">
        <v>1.5404249391365801</v>
      </c>
      <c r="AB31">
        <v>1.566891934791943</v>
      </c>
      <c r="AC31">
        <v>1.529106140199143</v>
      </c>
      <c r="AD31">
        <v>1.566164037140052</v>
      </c>
      <c r="AE31">
        <v>1.490563914676611</v>
      </c>
      <c r="AF31">
        <v>1.4912916054990619</v>
      </c>
      <c r="AG31">
        <v>1.5830167863344311</v>
      </c>
      <c r="AH31">
        <v>1.570882507146983</v>
      </c>
      <c r="AI31">
        <v>1.484157357985904</v>
      </c>
      <c r="AJ31">
        <v>1.4898076258762929</v>
      </c>
      <c r="AK31">
        <v>1.4433105047832271</v>
      </c>
      <c r="AL31">
        <v>1.471056600597386</v>
      </c>
      <c r="AM31">
        <v>1.370471823358858</v>
      </c>
      <c r="AN31">
        <v>1.639676830921595</v>
      </c>
      <c r="AO31">
        <v>2.0387184190716181</v>
      </c>
      <c r="AP31">
        <v>1.511921503957405</v>
      </c>
      <c r="AQ31">
        <v>1.386887978618552</v>
      </c>
      <c r="AR31">
        <v>1.367696880658174</v>
      </c>
      <c r="AS31">
        <v>1.439278297837649</v>
      </c>
      <c r="AT31">
        <v>1.499949129920537</v>
      </c>
      <c r="AU31">
        <v>1.433069810351367</v>
      </c>
      <c r="AV31">
        <v>1.397256652537558</v>
      </c>
      <c r="AW31">
        <v>1.479304065677195</v>
      </c>
      <c r="AX31">
        <v>1.523706454140912</v>
      </c>
      <c r="AY31">
        <v>1.5354256669277011</v>
      </c>
      <c r="AZ31">
        <v>1.5400637378609749</v>
      </c>
      <c r="BA31">
        <v>1.527357456389929</v>
      </c>
      <c r="BB31">
        <v>1.5021893114593441</v>
      </c>
      <c r="BC31">
        <v>1.4527506937929009</v>
      </c>
      <c r="BD31">
        <v>1.4402496829355811</v>
      </c>
      <c r="BE31">
        <v>1.4526018812598589</v>
      </c>
      <c r="BF31">
        <v>1.4937336668362911</v>
      </c>
      <c r="BG31">
        <v>1.4814566842367369</v>
      </c>
      <c r="BH31">
        <v>1.459074617390824</v>
      </c>
      <c r="BI31">
        <v>1.458246343582335</v>
      </c>
      <c r="BJ31">
        <v>1.480242537758776</v>
      </c>
      <c r="BK31">
        <v>1.5122446305894031</v>
      </c>
      <c r="BL31">
        <v>1.477449973095271</v>
      </c>
      <c r="BM31">
        <v>1.463394118661671</v>
      </c>
      <c r="BN31">
        <v>1.420931735835101</v>
      </c>
      <c r="BO31">
        <v>1.401048620832885</v>
      </c>
      <c r="BP31">
        <v>1.4508870553605859</v>
      </c>
      <c r="BQ31">
        <v>1.43401369517994</v>
      </c>
      <c r="BR31">
        <v>1.4215953311756131</v>
      </c>
      <c r="BS31">
        <v>1.387965564608989</v>
      </c>
      <c r="BT31">
        <v>1.4356941707348569</v>
      </c>
      <c r="BU31">
        <v>1.4496524355783971</v>
      </c>
      <c r="BV31">
        <v>1.4929136773422169</v>
      </c>
      <c r="BW31">
        <v>1.474835872077777</v>
      </c>
      <c r="BX31">
        <v>1.483503154527795</v>
      </c>
      <c r="BY31">
        <v>1.4727204591193199</v>
      </c>
      <c r="BZ31">
        <v>1.447877053921268</v>
      </c>
      <c r="CA31">
        <v>1.4877032613726111</v>
      </c>
      <c r="CB31" s="7">
        <v>1.488364085046836</v>
      </c>
      <c r="CC31">
        <v>1.507801280737102</v>
      </c>
    </row>
    <row r="32" spans="1:81" x14ac:dyDescent="0.35">
      <c r="A32" t="s">
        <v>89</v>
      </c>
      <c r="B32">
        <v>0.24677500367164901</v>
      </c>
      <c r="C32">
        <v>0.24995135989883749</v>
      </c>
      <c r="D32">
        <v>0.25174320751622742</v>
      </c>
      <c r="E32">
        <v>0.25366653087980262</v>
      </c>
      <c r="F32">
        <v>0.25554183467246377</v>
      </c>
      <c r="G32">
        <v>0.25490095779908489</v>
      </c>
      <c r="H32">
        <v>0.25805778598206608</v>
      </c>
      <c r="I32">
        <v>0.25525340415897058</v>
      </c>
      <c r="J32">
        <v>0.25506409380127187</v>
      </c>
      <c r="K32">
        <v>0.25341951897617793</v>
      </c>
      <c r="L32">
        <v>0.25704709108995771</v>
      </c>
      <c r="M32">
        <v>0.25612503773439538</v>
      </c>
      <c r="N32">
        <v>0.25478261704012067</v>
      </c>
      <c r="O32">
        <v>0.2563729028852737</v>
      </c>
      <c r="P32">
        <v>0.25724148342561159</v>
      </c>
      <c r="Q32">
        <v>0.25269468596042433</v>
      </c>
      <c r="R32">
        <v>0.25440124063401731</v>
      </c>
      <c r="S32">
        <v>0.25362480675183419</v>
      </c>
      <c r="T32">
        <v>0.25253280012798313</v>
      </c>
      <c r="U32">
        <v>0.25252965142765182</v>
      </c>
      <c r="V32">
        <v>0.25746309223553698</v>
      </c>
      <c r="W32">
        <v>0.25384668536496768</v>
      </c>
      <c r="X32">
        <v>0.25230681464119498</v>
      </c>
      <c r="Y32">
        <v>0.25036291562830848</v>
      </c>
      <c r="Z32">
        <v>0.25095833114631799</v>
      </c>
      <c r="AA32">
        <v>0.25426995308199329</v>
      </c>
      <c r="AB32">
        <v>0.25709569590176917</v>
      </c>
      <c r="AC32">
        <v>0.2497275376110655</v>
      </c>
      <c r="AD32">
        <v>0.2486523226677563</v>
      </c>
      <c r="AE32">
        <v>0.25620240527934252</v>
      </c>
      <c r="AF32">
        <v>0.25294668598426229</v>
      </c>
      <c r="AG32">
        <v>0.25511549328167699</v>
      </c>
      <c r="AH32">
        <v>0.25514581199731851</v>
      </c>
      <c r="AI32">
        <v>0.25284497026616543</v>
      </c>
      <c r="AJ32">
        <v>0.24759922110705981</v>
      </c>
      <c r="AK32">
        <v>0.2495834764964204</v>
      </c>
      <c r="AL32">
        <v>0.25781203503781591</v>
      </c>
      <c r="AM32">
        <v>0.25744370846981768</v>
      </c>
      <c r="AN32">
        <v>0.26127329963736989</v>
      </c>
      <c r="AO32">
        <v>0.26060224543341448</v>
      </c>
      <c r="AP32">
        <v>0.26170956540697221</v>
      </c>
      <c r="AQ32">
        <v>0.26012382707628862</v>
      </c>
      <c r="AR32">
        <v>0.25797695512506807</v>
      </c>
      <c r="AS32">
        <v>0.25451010560949561</v>
      </c>
      <c r="AT32">
        <v>0.250858424621002</v>
      </c>
      <c r="AU32">
        <v>0.25403626967735232</v>
      </c>
      <c r="AV32">
        <v>0.24688912085008391</v>
      </c>
      <c r="AW32">
        <v>0.25259463259141279</v>
      </c>
      <c r="AX32">
        <v>0.25273573170225561</v>
      </c>
      <c r="AY32">
        <v>0.25640825122462019</v>
      </c>
      <c r="AZ32">
        <v>0.25329333779222962</v>
      </c>
      <c r="BA32">
        <v>0.25197183831858511</v>
      </c>
      <c r="BB32">
        <v>0.2487155870707686</v>
      </c>
      <c r="BC32">
        <v>0.2426062589948729</v>
      </c>
      <c r="BD32">
        <v>0.2408959998574042</v>
      </c>
      <c r="BE32">
        <v>0.25166533314990702</v>
      </c>
      <c r="BF32">
        <v>0.25270291349247098</v>
      </c>
      <c r="BG32">
        <v>0.25366785365744721</v>
      </c>
      <c r="BH32">
        <v>0.25006744724639529</v>
      </c>
      <c r="BI32">
        <v>0.24457473760203791</v>
      </c>
      <c r="BJ32">
        <v>0.24915835934294611</v>
      </c>
      <c r="BK32">
        <v>0.25175434760176518</v>
      </c>
      <c r="BL32">
        <v>0.2495112301234621</v>
      </c>
      <c r="BM32">
        <v>0.24647722338292341</v>
      </c>
      <c r="BN32">
        <v>0.24578742831549261</v>
      </c>
      <c r="BO32">
        <v>0.244189174815959</v>
      </c>
      <c r="BP32">
        <v>0.24565084132563531</v>
      </c>
      <c r="BQ32">
        <v>0.24833565767109109</v>
      </c>
      <c r="BR32">
        <v>0.24522565398670301</v>
      </c>
      <c r="BS32">
        <v>0.24390880137213469</v>
      </c>
      <c r="BT32">
        <v>0.24523787310684231</v>
      </c>
      <c r="BU32">
        <v>0.24123742185137129</v>
      </c>
      <c r="BV32">
        <v>0.23778975255057719</v>
      </c>
      <c r="BW32">
        <v>0.2422950438238097</v>
      </c>
      <c r="BX32">
        <v>0.2391734353640329</v>
      </c>
      <c r="BY32">
        <v>0.23901054762876511</v>
      </c>
      <c r="BZ32">
        <v>0.23432129757084469</v>
      </c>
      <c r="CA32">
        <v>0.23648000953555429</v>
      </c>
      <c r="CB32" s="7">
        <v>0.23536142652570871</v>
      </c>
      <c r="CC32">
        <v>0.23710103605425351</v>
      </c>
    </row>
    <row r="34" spans="1:81" x14ac:dyDescent="0.35">
      <c r="A34" t="s">
        <v>92</v>
      </c>
      <c r="B34" t="s">
        <v>1</v>
      </c>
      <c r="C34" t="s">
        <v>2</v>
      </c>
      <c r="D34" t="s">
        <v>3</v>
      </c>
      <c r="E34" t="s">
        <v>4</v>
      </c>
      <c r="F34" t="s">
        <v>5</v>
      </c>
      <c r="G34" t="s">
        <v>6</v>
      </c>
      <c r="H34" t="s">
        <v>7</v>
      </c>
      <c r="I34" t="s">
        <v>8</v>
      </c>
      <c r="J34" t="s">
        <v>9</v>
      </c>
      <c r="K34" t="s">
        <v>10</v>
      </c>
      <c r="L34" t="s">
        <v>11</v>
      </c>
      <c r="M34" t="s">
        <v>12</v>
      </c>
      <c r="N34" t="s">
        <v>13</v>
      </c>
      <c r="O34" t="s">
        <v>14</v>
      </c>
      <c r="P34" t="s">
        <v>15</v>
      </c>
      <c r="Q34" t="s">
        <v>16</v>
      </c>
      <c r="R34" t="s">
        <v>17</v>
      </c>
      <c r="S34" t="s">
        <v>18</v>
      </c>
      <c r="T34" t="s">
        <v>19</v>
      </c>
      <c r="U34" t="s">
        <v>20</v>
      </c>
      <c r="V34" t="s">
        <v>21</v>
      </c>
      <c r="W34" t="s">
        <v>22</v>
      </c>
      <c r="X34" t="s">
        <v>23</v>
      </c>
      <c r="Y34" t="s">
        <v>24</v>
      </c>
      <c r="Z34" t="s">
        <v>25</v>
      </c>
      <c r="AA34" t="s">
        <v>26</v>
      </c>
      <c r="AB34" t="s">
        <v>27</v>
      </c>
      <c r="AC34" t="s">
        <v>28</v>
      </c>
      <c r="AD34" t="s">
        <v>29</v>
      </c>
      <c r="AE34" t="s">
        <v>30</v>
      </c>
      <c r="AF34" t="s">
        <v>31</v>
      </c>
      <c r="AG34" t="s">
        <v>32</v>
      </c>
      <c r="AH34" t="s">
        <v>33</v>
      </c>
      <c r="AI34" t="s">
        <v>34</v>
      </c>
      <c r="AJ34" t="s">
        <v>35</v>
      </c>
      <c r="AK34" t="s">
        <v>36</v>
      </c>
      <c r="AL34" t="s">
        <v>37</v>
      </c>
      <c r="AM34" t="s">
        <v>38</v>
      </c>
      <c r="AN34" t="s">
        <v>39</v>
      </c>
      <c r="AO34" t="s">
        <v>40</v>
      </c>
      <c r="AP34" t="s">
        <v>41</v>
      </c>
      <c r="AQ34" t="s">
        <v>42</v>
      </c>
      <c r="AR34" t="s">
        <v>43</v>
      </c>
      <c r="AS34" t="s">
        <v>44</v>
      </c>
      <c r="AT34" t="s">
        <v>45</v>
      </c>
      <c r="AU34" t="s">
        <v>46</v>
      </c>
      <c r="AV34" t="s">
        <v>47</v>
      </c>
      <c r="AW34" t="s">
        <v>48</v>
      </c>
      <c r="AX34" t="s">
        <v>49</v>
      </c>
      <c r="AY34" t="s">
        <v>50</v>
      </c>
      <c r="AZ34" t="s">
        <v>51</v>
      </c>
      <c r="BA34" t="s">
        <v>52</v>
      </c>
      <c r="BB34" t="s">
        <v>53</v>
      </c>
      <c r="BC34" t="s">
        <v>54</v>
      </c>
      <c r="BD34" t="s">
        <v>55</v>
      </c>
      <c r="BE34" t="s">
        <v>56</v>
      </c>
      <c r="BF34" t="s">
        <v>57</v>
      </c>
      <c r="BG34" t="s">
        <v>58</v>
      </c>
      <c r="BH34" t="s">
        <v>59</v>
      </c>
      <c r="BI34" t="s">
        <v>60</v>
      </c>
      <c r="BJ34" t="s">
        <v>61</v>
      </c>
      <c r="BK34" t="s">
        <v>62</v>
      </c>
      <c r="BL34" t="s">
        <v>63</v>
      </c>
      <c r="BM34" t="s">
        <v>64</v>
      </c>
      <c r="BN34" t="s">
        <v>65</v>
      </c>
      <c r="BO34" t="s">
        <v>66</v>
      </c>
      <c r="BP34" t="s">
        <v>67</v>
      </c>
      <c r="BQ34" t="s">
        <v>68</v>
      </c>
      <c r="BR34" t="s">
        <v>69</v>
      </c>
      <c r="BS34" t="s">
        <v>70</v>
      </c>
      <c r="BT34" t="s">
        <v>71</v>
      </c>
      <c r="BU34" t="s">
        <v>72</v>
      </c>
      <c r="BV34" t="s">
        <v>73</v>
      </c>
      <c r="BW34" t="s">
        <v>74</v>
      </c>
      <c r="BX34" t="s">
        <v>75</v>
      </c>
      <c r="BY34" t="s">
        <v>76</v>
      </c>
      <c r="BZ34" t="s">
        <v>77</v>
      </c>
      <c r="CA34" t="s">
        <v>78</v>
      </c>
      <c r="CB34" s="7" t="s">
        <v>79</v>
      </c>
      <c r="CC34" t="s">
        <v>80</v>
      </c>
    </row>
    <row r="35" spans="1:81" x14ac:dyDescent="0.35">
      <c r="A35" t="s">
        <v>81</v>
      </c>
      <c r="B35">
        <v>131.63861116829889</v>
      </c>
      <c r="C35">
        <v>132.97627446066181</v>
      </c>
      <c r="D35">
        <v>131.49560424509869</v>
      </c>
      <c r="E35">
        <v>132.4729585791427</v>
      </c>
      <c r="F35">
        <v>135.7453563519245</v>
      </c>
      <c r="G35">
        <v>137.69784507539339</v>
      </c>
      <c r="H35">
        <v>137.61410728375631</v>
      </c>
      <c r="I35">
        <v>137.36684601638399</v>
      </c>
      <c r="J35">
        <v>138.5627590094262</v>
      </c>
      <c r="K35">
        <v>138.33720310761009</v>
      </c>
      <c r="L35">
        <v>141.0485168643655</v>
      </c>
      <c r="M35">
        <v>142.7450380850328</v>
      </c>
      <c r="N35">
        <v>139.59655705452161</v>
      </c>
      <c r="O35">
        <v>137.1927091457776</v>
      </c>
      <c r="P35">
        <v>135.91286768434321</v>
      </c>
      <c r="Q35">
        <v>136.13864773940551</v>
      </c>
      <c r="R35">
        <v>136.45175136561559</v>
      </c>
      <c r="S35">
        <v>135.40690013276969</v>
      </c>
      <c r="T35">
        <v>134.79963061608819</v>
      </c>
      <c r="U35">
        <v>136.91505854804089</v>
      </c>
      <c r="V35">
        <v>135.18726966497209</v>
      </c>
      <c r="W35">
        <v>135.37302346810989</v>
      </c>
      <c r="X35">
        <v>134.034867317307</v>
      </c>
      <c r="Y35">
        <v>134.19726153443619</v>
      </c>
      <c r="Z35">
        <v>134.06042828618021</v>
      </c>
      <c r="AA35">
        <v>133.43668676642639</v>
      </c>
      <c r="AB35">
        <v>133.9432814469433</v>
      </c>
      <c r="AC35">
        <v>135.53340999054771</v>
      </c>
      <c r="AD35">
        <v>135.53629265690401</v>
      </c>
      <c r="AE35">
        <v>136.2548480249107</v>
      </c>
      <c r="AF35">
        <v>136.88263488272801</v>
      </c>
      <c r="AG35">
        <v>136.9333137682703</v>
      </c>
      <c r="AH35">
        <v>136.66799177951191</v>
      </c>
      <c r="AI35">
        <v>136.69605586677281</v>
      </c>
      <c r="AJ35">
        <v>139.1657653881328</v>
      </c>
      <c r="AK35">
        <v>140.6243044717398</v>
      </c>
      <c r="AL35">
        <v>141.52760227878869</v>
      </c>
      <c r="AM35">
        <v>141.70252894215119</v>
      </c>
      <c r="AN35">
        <v>140.09264997054891</v>
      </c>
      <c r="AO35">
        <v>139.72135410625251</v>
      </c>
      <c r="AP35">
        <v>139.36609534562959</v>
      </c>
      <c r="AQ35">
        <v>137.95597912870369</v>
      </c>
      <c r="AR35">
        <v>137.44815153723641</v>
      </c>
      <c r="AS35">
        <v>137.8688547526919</v>
      </c>
      <c r="AT35">
        <v>138.48361019501249</v>
      </c>
      <c r="AU35">
        <v>139.62186703982249</v>
      </c>
      <c r="AV35">
        <v>139.64809031070061</v>
      </c>
      <c r="AW35">
        <v>139.59928998223279</v>
      </c>
      <c r="AX35">
        <v>138.9571212337147</v>
      </c>
      <c r="AY35">
        <v>138.72471484042649</v>
      </c>
      <c r="AZ35">
        <v>138.16008408622051</v>
      </c>
      <c r="BA35">
        <v>138.35871777807671</v>
      </c>
      <c r="BB35">
        <v>137.94264034580129</v>
      </c>
      <c r="BC35">
        <v>138.58448297847411</v>
      </c>
      <c r="BD35">
        <v>139.01875851964181</v>
      </c>
      <c r="BE35">
        <v>140.88417024922839</v>
      </c>
      <c r="BF35">
        <v>141.86051612375701</v>
      </c>
      <c r="BG35">
        <v>140.5118147937583</v>
      </c>
      <c r="BH35">
        <v>137.65564504443961</v>
      </c>
      <c r="BI35">
        <v>137.3186772892829</v>
      </c>
      <c r="BJ35">
        <v>136.26569071207419</v>
      </c>
      <c r="BK35">
        <v>136.48872354272811</v>
      </c>
      <c r="BL35">
        <v>136.9531968149355</v>
      </c>
      <c r="BM35">
        <v>138.1642423304113</v>
      </c>
      <c r="BN35">
        <v>138.6371388773598</v>
      </c>
      <c r="BO35">
        <v>138.05825950554959</v>
      </c>
      <c r="BP35">
        <v>138.4584776949761</v>
      </c>
      <c r="BQ35">
        <v>137.67607533271479</v>
      </c>
      <c r="BR35">
        <v>138.0554837482286</v>
      </c>
      <c r="BS35">
        <v>137.84899125217211</v>
      </c>
      <c r="BT35">
        <v>138.56244551514291</v>
      </c>
      <c r="BU35">
        <v>140.24499775421609</v>
      </c>
      <c r="BV35">
        <v>140.92924313416759</v>
      </c>
      <c r="BW35">
        <v>140.81148333983481</v>
      </c>
      <c r="BX35">
        <v>141.08755478416299</v>
      </c>
      <c r="BY35">
        <v>141.54083393714191</v>
      </c>
      <c r="BZ35">
        <v>141.70634236777059</v>
      </c>
      <c r="CA35">
        <v>142.34249659097529</v>
      </c>
      <c r="CB35" s="7">
        <v>142.27061346957851</v>
      </c>
      <c r="CC35">
        <v>142.2582351417395</v>
      </c>
    </row>
    <row r="36" spans="1:81" x14ac:dyDescent="0.35">
      <c r="A36" t="s">
        <v>82</v>
      </c>
      <c r="B36">
        <v>-1.776349085789491</v>
      </c>
      <c r="C36">
        <v>-1.768855779617581</v>
      </c>
      <c r="D36">
        <v>-1.622510135328042</v>
      </c>
      <c r="E36">
        <v>-1.2370463578288591</v>
      </c>
      <c r="F36">
        <v>-1.136925606645093</v>
      </c>
      <c r="G36">
        <v>-1.6448558160845721</v>
      </c>
      <c r="H36">
        <v>-0.76146674139246784</v>
      </c>
      <c r="I36">
        <v>-0.8469352693218184</v>
      </c>
      <c r="J36">
        <v>-0.88701387715491364</v>
      </c>
      <c r="K36">
        <v>-6.4289061538090664E-2</v>
      </c>
      <c r="L36">
        <v>1.1566592969134599</v>
      </c>
      <c r="M36">
        <v>1.4524508627357591</v>
      </c>
      <c r="N36">
        <v>1.720823889959632</v>
      </c>
      <c r="O36">
        <v>1.6779572021960689</v>
      </c>
      <c r="P36">
        <v>1.9260546457278449</v>
      </c>
      <c r="Q36">
        <v>2.7247275233435179E-2</v>
      </c>
      <c r="R36">
        <v>0.12502000738032851</v>
      </c>
      <c r="S36">
        <v>-1.0085075289896679</v>
      </c>
      <c r="T36">
        <v>-0.83839171823976244</v>
      </c>
      <c r="U36">
        <v>-9.4335547187824886E-3</v>
      </c>
      <c r="V36">
        <v>-0.64448477290108031</v>
      </c>
      <c r="W36">
        <v>0.74653247776021203</v>
      </c>
      <c r="X36">
        <v>0.57972348123090001</v>
      </c>
      <c r="Y36">
        <v>0.1091834645131939</v>
      </c>
      <c r="Z36">
        <v>-0.61060722600041117</v>
      </c>
      <c r="AA36">
        <v>0.64363533168079812</v>
      </c>
      <c r="AB36">
        <v>-1.494825420556367E-2</v>
      </c>
      <c r="AC36">
        <v>0.39343735181662959</v>
      </c>
      <c r="AD36">
        <v>0.46961233088609328</v>
      </c>
      <c r="AE36">
        <v>0.90514739569431413</v>
      </c>
      <c r="AF36">
        <v>0.90819796640550976</v>
      </c>
      <c r="AG36">
        <v>1.2661537794004689</v>
      </c>
      <c r="AH36">
        <v>0.47506636415192821</v>
      </c>
      <c r="AI36">
        <v>0.75136951476886793</v>
      </c>
      <c r="AJ36">
        <v>1.3552503290996749</v>
      </c>
      <c r="AK36">
        <v>1.7605042835572251</v>
      </c>
      <c r="AL36">
        <v>1.084546142902155</v>
      </c>
      <c r="AM36">
        <v>1.904173227625932</v>
      </c>
      <c r="AN36">
        <v>2.169519933432269</v>
      </c>
      <c r="AO36">
        <v>0.33263229093981289</v>
      </c>
      <c r="AP36">
        <v>1.985855042929217</v>
      </c>
      <c r="AQ36">
        <v>0.47014305027025222</v>
      </c>
      <c r="AR36">
        <v>1.8570969721584449</v>
      </c>
      <c r="AS36">
        <v>1.8240578256347819</v>
      </c>
      <c r="AT36">
        <v>1.5334726762827979</v>
      </c>
      <c r="AU36">
        <v>1.9569857524633389</v>
      </c>
      <c r="AV36">
        <v>2.1947899651847251</v>
      </c>
      <c r="AW36">
        <v>1.7007138541282809</v>
      </c>
      <c r="AX36">
        <v>1.33600665297871</v>
      </c>
      <c r="AY36">
        <v>1.395583216727204</v>
      </c>
      <c r="AZ36">
        <v>1.823080275703546</v>
      </c>
      <c r="BA36">
        <v>2.4216051559940581</v>
      </c>
      <c r="BB36">
        <v>2.5708559941925841</v>
      </c>
      <c r="BC36">
        <v>2.7856974765313112</v>
      </c>
      <c r="BD36">
        <v>3.0836232340547838</v>
      </c>
      <c r="BE36">
        <v>3.4217198661611121</v>
      </c>
      <c r="BF36">
        <v>3.5277578259717188</v>
      </c>
      <c r="BG36">
        <v>3.246631057419449</v>
      </c>
      <c r="BH36">
        <v>3.0248430301400622</v>
      </c>
      <c r="BI36">
        <v>2.5989034284141042</v>
      </c>
      <c r="BJ36">
        <v>2.632324618334962</v>
      </c>
      <c r="BK36">
        <v>2.6709662468128101</v>
      </c>
      <c r="BL36">
        <v>1.924523108344744</v>
      </c>
      <c r="BM36">
        <v>1.868562556485557</v>
      </c>
      <c r="BN36">
        <v>2.625746772135471</v>
      </c>
      <c r="BO36">
        <v>2.9105351212556911</v>
      </c>
      <c r="BP36">
        <v>2.90761191762553</v>
      </c>
      <c r="BQ36">
        <v>2.8531247843485521</v>
      </c>
      <c r="BR36">
        <v>3.1099016021275929</v>
      </c>
      <c r="BS36">
        <v>1.7785328805832421</v>
      </c>
      <c r="BT36">
        <v>1.497845047362659</v>
      </c>
      <c r="BU36">
        <v>2.187829658487459</v>
      </c>
      <c r="BV36">
        <v>2.588636015966443</v>
      </c>
      <c r="BW36">
        <v>2.3763405996539011</v>
      </c>
      <c r="BX36">
        <v>2.1139268243257452</v>
      </c>
      <c r="BY36">
        <v>2.365514549063704</v>
      </c>
      <c r="BZ36">
        <v>2.3146196907972012</v>
      </c>
      <c r="CA36">
        <v>2.7329208294048328</v>
      </c>
      <c r="CB36" s="7">
        <v>2.2580590581739561</v>
      </c>
      <c r="CC36">
        <v>3.07934538162695</v>
      </c>
    </row>
    <row r="37" spans="1:81" x14ac:dyDescent="0.35">
      <c r="A37" t="s">
        <v>83</v>
      </c>
      <c r="B37">
        <v>-0.52778836373647198</v>
      </c>
      <c r="C37">
        <v>-0.35570873714471579</v>
      </c>
      <c r="D37">
        <v>-0.79903154115520714</v>
      </c>
      <c r="E37">
        <v>-0.87103858704173021</v>
      </c>
      <c r="F37">
        <v>-0.63561278152622513</v>
      </c>
      <c r="G37">
        <v>-0.76085077180893801</v>
      </c>
      <c r="H37">
        <v>-0.30218449243804257</v>
      </c>
      <c r="I37">
        <v>-0.16719479848962371</v>
      </c>
      <c r="J37">
        <v>3.1228343540762059E-2</v>
      </c>
      <c r="K37">
        <v>-5.8619184156840788E-2</v>
      </c>
      <c r="L37">
        <v>1.067755901559567</v>
      </c>
      <c r="M37">
        <v>0.64779741626318355</v>
      </c>
      <c r="N37">
        <v>1.277060416615476</v>
      </c>
      <c r="O37">
        <v>0.4860380268235342</v>
      </c>
      <c r="P37">
        <v>0.47922976591362287</v>
      </c>
      <c r="Q37">
        <v>-0.16512771606649709</v>
      </c>
      <c r="R37">
        <v>0.1046852823700998</v>
      </c>
      <c r="S37">
        <v>0.63737763877156894</v>
      </c>
      <c r="T37">
        <v>-0.1116856187176436</v>
      </c>
      <c r="U37">
        <v>0.22230197501062141</v>
      </c>
      <c r="V37">
        <v>2.262838644961521E-2</v>
      </c>
      <c r="W37">
        <v>1.5395911054412381E-2</v>
      </c>
      <c r="X37">
        <v>-5.9558992192160543E-2</v>
      </c>
      <c r="Y37">
        <v>-0.20016125675787641</v>
      </c>
      <c r="Z37">
        <v>-0.15523056316409201</v>
      </c>
      <c r="AA37">
        <v>-0.95475745264436329</v>
      </c>
      <c r="AB37">
        <v>-0.86181541916818816</v>
      </c>
      <c r="AC37">
        <v>-1.436559770639585</v>
      </c>
      <c r="AD37">
        <v>-1.606046805015352</v>
      </c>
      <c r="AE37">
        <v>-2.0848621733069388</v>
      </c>
      <c r="AF37">
        <v>-1.694932887954737</v>
      </c>
      <c r="AG37">
        <v>-1.372849410697687</v>
      </c>
      <c r="AH37">
        <v>-0.94341136802619774</v>
      </c>
      <c r="AI37">
        <v>-1.360176048342626</v>
      </c>
      <c r="AJ37">
        <v>-0.79541101386897795</v>
      </c>
      <c r="AK37">
        <v>-0.30755299782417761</v>
      </c>
      <c r="AL37">
        <v>-0.27927071288278582</v>
      </c>
      <c r="AM37">
        <v>-0.26292552765026161</v>
      </c>
      <c r="AN37">
        <v>-1.002696043612094</v>
      </c>
      <c r="AO37">
        <v>-2.0471466756118768</v>
      </c>
      <c r="AP37">
        <v>-0.35966708921727941</v>
      </c>
      <c r="AQ37">
        <v>-0.77914698468324961</v>
      </c>
      <c r="AR37">
        <v>0.22052846479137059</v>
      </c>
      <c r="AS37">
        <v>-0.40206953902155129</v>
      </c>
      <c r="AT37">
        <v>-0.74484970868047806</v>
      </c>
      <c r="AU37">
        <v>7.3964801169280045E-2</v>
      </c>
      <c r="AV37">
        <v>0.72157638984269767</v>
      </c>
      <c r="AW37">
        <v>0.4571279008882026</v>
      </c>
      <c r="AX37">
        <v>0.49558531271425788</v>
      </c>
      <c r="AY37">
        <v>0.16028274293464881</v>
      </c>
      <c r="AZ37">
        <v>-0.69287400138015698</v>
      </c>
      <c r="BA37">
        <v>-0.38272372915363911</v>
      </c>
      <c r="BB37">
        <v>-0.39471943288870259</v>
      </c>
      <c r="BC37">
        <v>0.36345890621220639</v>
      </c>
      <c r="BD37">
        <v>0.2486579958320225</v>
      </c>
      <c r="BE37">
        <v>-0.1438609838706065</v>
      </c>
      <c r="BF37">
        <v>-0.1729951012514328</v>
      </c>
      <c r="BG37">
        <v>0.74315269453651056</v>
      </c>
      <c r="BH37">
        <v>2.6070913958405511</v>
      </c>
      <c r="BI37">
        <v>2.879637117290335</v>
      </c>
      <c r="BJ37">
        <v>3.5256408202437362</v>
      </c>
      <c r="BK37">
        <v>3.3458738177317442</v>
      </c>
      <c r="BL37">
        <v>1.409167141793197</v>
      </c>
      <c r="BM37">
        <v>1.365319456811416</v>
      </c>
      <c r="BN37">
        <v>1.386252438105658</v>
      </c>
      <c r="BO37">
        <v>2.387605491209686</v>
      </c>
      <c r="BP37">
        <v>2.8350962843225158</v>
      </c>
      <c r="BQ37">
        <v>1.782832395611702</v>
      </c>
      <c r="BR37">
        <v>2.559279330297751</v>
      </c>
      <c r="BS37">
        <v>2.6529860781109829</v>
      </c>
      <c r="BT37">
        <v>2.6637099489160172</v>
      </c>
      <c r="BU37">
        <v>3.0636857907456818</v>
      </c>
      <c r="BV37">
        <v>1.5635900621977279</v>
      </c>
      <c r="BW37">
        <v>1.260846419431578</v>
      </c>
      <c r="BX37">
        <v>0.8419195253662537</v>
      </c>
      <c r="BY37">
        <v>0.53192533036473044</v>
      </c>
      <c r="BZ37">
        <v>0.53878681911917869</v>
      </c>
      <c r="CA37">
        <v>0.1041362043475169</v>
      </c>
      <c r="CB37" s="7">
        <v>-0.27261930675868268</v>
      </c>
      <c r="CC37">
        <v>0.62439515610186824</v>
      </c>
    </row>
    <row r="38" spans="1:81" x14ac:dyDescent="0.35">
      <c r="A38" t="s">
        <v>84</v>
      </c>
      <c r="B38">
        <v>-0.20434968928927541</v>
      </c>
      <c r="C38">
        <v>0.20324133470478539</v>
      </c>
      <c r="D38">
        <v>0.80013913077380883</v>
      </c>
      <c r="E38">
        <v>0.62190077589201764</v>
      </c>
      <c r="F38">
        <v>0.91057056787301405</v>
      </c>
      <c r="G38">
        <v>1.204136848433792</v>
      </c>
      <c r="H38">
        <v>2.6898438991337121</v>
      </c>
      <c r="I38">
        <v>3.3855367226263469</v>
      </c>
      <c r="J38">
        <v>3.602894295382959</v>
      </c>
      <c r="K38">
        <v>2.5791060034423379</v>
      </c>
      <c r="L38">
        <v>1.6877252440530299</v>
      </c>
      <c r="M38">
        <v>2.745272124827296</v>
      </c>
      <c r="N38">
        <v>0.87427498671110793</v>
      </c>
      <c r="O38">
        <v>1.9729127216110001</v>
      </c>
      <c r="P38">
        <v>1.476948914259038</v>
      </c>
      <c r="Q38">
        <v>2.9489672389027808</v>
      </c>
      <c r="R38">
        <v>3.313698900687875</v>
      </c>
      <c r="S38">
        <v>2.6570290492748132</v>
      </c>
      <c r="T38">
        <v>2.680416893791314</v>
      </c>
      <c r="U38">
        <v>2.0052278441842941</v>
      </c>
      <c r="V38">
        <v>1.9444472873622749</v>
      </c>
      <c r="W38">
        <v>1.031047977781496</v>
      </c>
      <c r="X38">
        <v>1.5944766091370159</v>
      </c>
      <c r="Y38">
        <v>1.707162905019999</v>
      </c>
      <c r="Z38">
        <v>0.62085124714403173</v>
      </c>
      <c r="AA38">
        <v>1.2646810332927061</v>
      </c>
      <c r="AB38">
        <v>1.568059740153579</v>
      </c>
      <c r="AC38">
        <v>1.297416951238457</v>
      </c>
      <c r="AD38">
        <v>1.272712706355811</v>
      </c>
      <c r="AE38">
        <v>0.94900082577847145</v>
      </c>
      <c r="AF38">
        <v>1.3246337946023441</v>
      </c>
      <c r="AG38">
        <v>2.4249026488532168</v>
      </c>
      <c r="AH38">
        <v>1.1265323358999471</v>
      </c>
      <c r="AI38">
        <v>0.33576213787556419</v>
      </c>
      <c r="AJ38">
        <v>1.885664521191986</v>
      </c>
      <c r="AK38">
        <v>2.7704058547656198</v>
      </c>
      <c r="AL38">
        <v>3.3790274472679771</v>
      </c>
      <c r="AM38">
        <v>2.1997595466152871</v>
      </c>
      <c r="AN38">
        <v>0.84692330642644187</v>
      </c>
      <c r="AO38">
        <v>-1.8611117303060269</v>
      </c>
      <c r="AP38">
        <v>1.750957407296464</v>
      </c>
      <c r="AQ38">
        <v>2.5252041087191279</v>
      </c>
      <c r="AR38">
        <v>2.4946161038044159</v>
      </c>
      <c r="AS38">
        <v>2.6274634871620148</v>
      </c>
      <c r="AT38">
        <v>1.809709482811853</v>
      </c>
      <c r="AU38">
        <v>1.8089952912853191</v>
      </c>
      <c r="AV38">
        <v>2.3397719853303611</v>
      </c>
      <c r="AW38">
        <v>1.699215900797471</v>
      </c>
      <c r="AX38">
        <v>0.92431541125183192</v>
      </c>
      <c r="AY38">
        <v>0.83226664163171837</v>
      </c>
      <c r="AZ38">
        <v>0.62906933123856512</v>
      </c>
      <c r="BA38">
        <v>0.49260657587914158</v>
      </c>
      <c r="BB38">
        <v>1.1926993615242729</v>
      </c>
      <c r="BC38">
        <v>1.3409637020220331</v>
      </c>
      <c r="BD38">
        <v>1.426923910791313</v>
      </c>
      <c r="BE38">
        <v>0.90913707088877183</v>
      </c>
      <c r="BF38">
        <v>1.3505676716781849</v>
      </c>
      <c r="BG38">
        <v>1.515985401114726</v>
      </c>
      <c r="BH38">
        <v>1.0126413064715469</v>
      </c>
      <c r="BI38">
        <v>1.4799317672960599</v>
      </c>
      <c r="BJ38">
        <v>1.073304244667403</v>
      </c>
      <c r="BK38">
        <v>0.70133516125605899</v>
      </c>
      <c r="BL38">
        <v>0.79236077935325544</v>
      </c>
      <c r="BM38">
        <v>0.30489201686274958</v>
      </c>
      <c r="BN38">
        <v>0.35643345775364171</v>
      </c>
      <c r="BO38">
        <v>0.53270378289661657</v>
      </c>
      <c r="BP38">
        <v>0.35435961232553992</v>
      </c>
      <c r="BQ38">
        <v>0.39579276588410939</v>
      </c>
      <c r="BR38">
        <v>0.46410220597917617</v>
      </c>
      <c r="BS38">
        <v>0.57721970087810481</v>
      </c>
      <c r="BT38">
        <v>0.62207714336214881</v>
      </c>
      <c r="BU38">
        <v>9.2666218524990684E-2</v>
      </c>
      <c r="BV38">
        <v>-0.45664255006251031</v>
      </c>
      <c r="BW38">
        <v>-7.8337049681279636E-3</v>
      </c>
      <c r="BX38">
        <v>-0.28554417279676259</v>
      </c>
      <c r="BY38">
        <v>-0.5403195552050164</v>
      </c>
      <c r="BZ38">
        <v>-0.28875864469415252</v>
      </c>
      <c r="CA38">
        <v>-0.2732309826284639</v>
      </c>
      <c r="CB38" s="7">
        <v>-0.78884759560841544</v>
      </c>
      <c r="CC38">
        <v>-0.67596554489691363</v>
      </c>
    </row>
    <row r="39" spans="1:81" x14ac:dyDescent="0.35">
      <c r="A39" t="s">
        <v>85</v>
      </c>
      <c r="B39">
        <v>1.1967029703940659</v>
      </c>
      <c r="C39">
        <v>0.32952191256358732</v>
      </c>
      <c r="D39">
        <v>0.35004306695191689</v>
      </c>
      <c r="E39">
        <v>-0.1526306890515591</v>
      </c>
      <c r="F39">
        <v>3.549614833491116E-2</v>
      </c>
      <c r="G39">
        <v>-6.9581215674705543E-2</v>
      </c>
      <c r="H39">
        <v>-0.22927552045683969</v>
      </c>
      <c r="I39">
        <v>-0.44277286532644872</v>
      </c>
      <c r="J39">
        <v>-0.45727081300107381</v>
      </c>
      <c r="K39">
        <v>-0.18436198891937761</v>
      </c>
      <c r="L39">
        <v>0.74466207958538089</v>
      </c>
      <c r="M39">
        <v>1.1918328738474431</v>
      </c>
      <c r="N39">
        <v>0.13296608948788649</v>
      </c>
      <c r="O39">
        <v>-8.1479286455797273E-2</v>
      </c>
      <c r="P39">
        <v>2.648492398372726E-2</v>
      </c>
      <c r="Q39">
        <v>6.2805499901497641E-2</v>
      </c>
      <c r="R39">
        <v>0.25426011015710293</v>
      </c>
      <c r="S39">
        <v>0.1137424997517192</v>
      </c>
      <c r="T39">
        <v>0.25056524506300581</v>
      </c>
      <c r="U39">
        <v>0.46878512603865191</v>
      </c>
      <c r="V39">
        <v>0.25953812676224619</v>
      </c>
      <c r="W39">
        <v>0.21434788593057391</v>
      </c>
      <c r="X39">
        <v>0.32859187056249378</v>
      </c>
      <c r="Y39">
        <v>4.5692729517359247E-2</v>
      </c>
      <c r="Z39">
        <v>-0.78656923948266178</v>
      </c>
      <c r="AA39">
        <v>-0.70421954011648635</v>
      </c>
      <c r="AB39">
        <v>-0.74343528218780153</v>
      </c>
      <c r="AC39">
        <v>-0.54195723851664268</v>
      </c>
      <c r="AD39">
        <v>-0.61443362811356894</v>
      </c>
      <c r="AE39">
        <v>-0.41325222720153709</v>
      </c>
      <c r="AF39">
        <v>-0.24938273098894231</v>
      </c>
      <c r="AG39">
        <v>-0.13639498102813419</v>
      </c>
      <c r="AH39">
        <v>-0.34219233142795319</v>
      </c>
      <c r="AI39">
        <v>-0.28745642644622071</v>
      </c>
      <c r="AJ39">
        <v>0.1347082856413562</v>
      </c>
      <c r="AK39">
        <v>-0.1189276040321052</v>
      </c>
      <c r="AL39">
        <v>-0.49740441623761089</v>
      </c>
      <c r="AM39">
        <v>-0.5615438340859954</v>
      </c>
      <c r="AN39">
        <v>-0.32264404192297808</v>
      </c>
      <c r="AO39">
        <v>1.393512786237727E-3</v>
      </c>
      <c r="AP39">
        <v>-0.90530157183673121</v>
      </c>
      <c r="AQ39">
        <v>-0.24405502344217811</v>
      </c>
      <c r="AR39">
        <v>-9.1861107485627091E-2</v>
      </c>
      <c r="AS39">
        <v>0.30275382516633342</v>
      </c>
      <c r="AT39">
        <v>0.36282351876899849</v>
      </c>
      <c r="AU39">
        <v>0.4216694919516914</v>
      </c>
      <c r="AV39">
        <v>5.118961097481417E-2</v>
      </c>
      <c r="AW39">
        <v>0.15438664801854629</v>
      </c>
      <c r="AX39">
        <v>-9.2109088540340278E-3</v>
      </c>
      <c r="AY39">
        <v>-0.1502171512512526</v>
      </c>
      <c r="AZ39">
        <v>3.1075160793475051E-2</v>
      </c>
      <c r="BA39">
        <v>9.6446982652076685E-2</v>
      </c>
      <c r="BB39">
        <v>0.1238244260189988</v>
      </c>
      <c r="BC39">
        <v>0.33578019288769939</v>
      </c>
      <c r="BD39">
        <v>0.30417299239976547</v>
      </c>
      <c r="BE39">
        <v>-7.9868673229232245E-2</v>
      </c>
      <c r="BF39">
        <v>5.7019699213756152E-2</v>
      </c>
      <c r="BG39">
        <v>-0.3628162325135309</v>
      </c>
      <c r="BH39">
        <v>-0.25547354020479751</v>
      </c>
      <c r="BI39">
        <v>-0.1695739543513963</v>
      </c>
      <c r="BJ39">
        <v>-0.46572001518278999</v>
      </c>
      <c r="BK39">
        <v>-0.3007441008732617</v>
      </c>
      <c r="BL39">
        <v>-0.51036508209646614</v>
      </c>
      <c r="BM39">
        <v>-0.47089861333617972</v>
      </c>
      <c r="BN39">
        <v>-0.5126977758964274</v>
      </c>
      <c r="BO39">
        <v>-0.56290353167152807</v>
      </c>
      <c r="BP39">
        <v>-0.65552912577760025</v>
      </c>
      <c r="BQ39">
        <v>-0.45399754123740887</v>
      </c>
      <c r="BR39">
        <v>-0.46232863930665191</v>
      </c>
      <c r="BS39">
        <v>-0.50882924884749126</v>
      </c>
      <c r="BT39">
        <v>-0.39948752989919373</v>
      </c>
      <c r="BU39">
        <v>-0.54753879871231481</v>
      </c>
      <c r="BV39">
        <v>-0.5837750072869291</v>
      </c>
      <c r="BW39">
        <v>-0.48232709439872867</v>
      </c>
      <c r="BX39">
        <v>-0.31862872237076351</v>
      </c>
      <c r="BY39">
        <v>-0.2031308563190759</v>
      </c>
      <c r="BZ39">
        <v>-0.44047773754926822</v>
      </c>
      <c r="CA39">
        <v>-0.29349783849776773</v>
      </c>
      <c r="CB39" s="7">
        <v>-0.5019929368126208</v>
      </c>
      <c r="CC39">
        <v>-0.51455201937728368</v>
      </c>
    </row>
    <row r="40" spans="1:81" x14ac:dyDescent="0.35">
      <c r="A40" t="s">
        <v>86</v>
      </c>
      <c r="B40">
        <v>130.32682699987771</v>
      </c>
      <c r="C40">
        <v>131.3844731911679</v>
      </c>
      <c r="D40">
        <v>130.22424476634109</v>
      </c>
      <c r="E40">
        <v>130.83414372111261</v>
      </c>
      <c r="F40">
        <v>134.91888467996111</v>
      </c>
      <c r="G40">
        <v>136.42669412025899</v>
      </c>
      <c r="H40">
        <v>139.01102442860261</v>
      </c>
      <c r="I40">
        <v>139.2954798058725</v>
      </c>
      <c r="J40">
        <v>140.852596958194</v>
      </c>
      <c r="K40">
        <v>140.60903887643809</v>
      </c>
      <c r="L40">
        <v>145.7053193864769</v>
      </c>
      <c r="M40">
        <v>148.78239136270639</v>
      </c>
      <c r="N40">
        <v>143.60168243729569</v>
      </c>
      <c r="O40">
        <v>141.2481378099524</v>
      </c>
      <c r="P40">
        <v>139.8215859342275</v>
      </c>
      <c r="Q40">
        <v>139.01254003737671</v>
      </c>
      <c r="R40">
        <v>140.24941566621101</v>
      </c>
      <c r="S40">
        <v>137.8065417915781</v>
      </c>
      <c r="T40">
        <v>136.78053541798511</v>
      </c>
      <c r="U40">
        <v>139.60193993855569</v>
      </c>
      <c r="V40">
        <v>136.76939869264521</v>
      </c>
      <c r="W40">
        <v>137.38034772063659</v>
      </c>
      <c r="X40">
        <v>136.4781002860453</v>
      </c>
      <c r="Y40">
        <v>135.8591393767289</v>
      </c>
      <c r="Z40">
        <v>133.12887250467699</v>
      </c>
      <c r="AA40">
        <v>133.68602613863911</v>
      </c>
      <c r="AB40">
        <v>133.8911422315353</v>
      </c>
      <c r="AC40">
        <v>135.24574728444659</v>
      </c>
      <c r="AD40">
        <v>135.05813726101701</v>
      </c>
      <c r="AE40">
        <v>135.61088184587501</v>
      </c>
      <c r="AF40">
        <v>137.1711510247921</v>
      </c>
      <c r="AG40">
        <v>139.1151258047982</v>
      </c>
      <c r="AH40">
        <v>136.98398678010969</v>
      </c>
      <c r="AI40">
        <v>136.1355550446284</v>
      </c>
      <c r="AJ40">
        <v>141.74597751019689</v>
      </c>
      <c r="AK40">
        <v>144.72873400820629</v>
      </c>
      <c r="AL40">
        <v>145.21450073983851</v>
      </c>
      <c r="AM40">
        <v>144.98199235465609</v>
      </c>
      <c r="AN40">
        <v>141.78375312487259</v>
      </c>
      <c r="AO40">
        <v>136.14712150406069</v>
      </c>
      <c r="AP40">
        <v>141.8379391348013</v>
      </c>
      <c r="AQ40">
        <v>139.92812427956761</v>
      </c>
      <c r="AR40">
        <v>141.92853197050499</v>
      </c>
      <c r="AS40">
        <v>142.2210603516335</v>
      </c>
      <c r="AT40">
        <v>141.4447661641957</v>
      </c>
      <c r="AU40">
        <v>143.88348237669209</v>
      </c>
      <c r="AV40">
        <v>144.95541826203319</v>
      </c>
      <c r="AW40">
        <v>143.61073428606531</v>
      </c>
      <c r="AX40">
        <v>141.70381770180541</v>
      </c>
      <c r="AY40">
        <v>140.96263029046889</v>
      </c>
      <c r="AZ40">
        <v>139.95043485257591</v>
      </c>
      <c r="BA40">
        <v>140.98665276344829</v>
      </c>
      <c r="BB40">
        <v>141.43530069464839</v>
      </c>
      <c r="BC40">
        <v>143.4103832561274</v>
      </c>
      <c r="BD40">
        <v>144.0821366527197</v>
      </c>
      <c r="BE40">
        <v>144.99129752917841</v>
      </c>
      <c r="BF40">
        <v>146.62286621936931</v>
      </c>
      <c r="BG40">
        <v>145.65476771431551</v>
      </c>
      <c r="BH40">
        <v>144.0447472366869</v>
      </c>
      <c r="BI40">
        <v>144.10757564793201</v>
      </c>
      <c r="BJ40">
        <v>143.03124038013749</v>
      </c>
      <c r="BK40">
        <v>142.9061546676555</v>
      </c>
      <c r="BL40">
        <v>140.56888276233019</v>
      </c>
      <c r="BM40">
        <v>141.23211774723489</v>
      </c>
      <c r="BN40">
        <v>142.4928737694581</v>
      </c>
      <c r="BO40">
        <v>143.3262003692401</v>
      </c>
      <c r="BP40">
        <v>143.90001638347209</v>
      </c>
      <c r="BQ40">
        <v>142.2538277373217</v>
      </c>
      <c r="BR40">
        <v>143.72643824732651</v>
      </c>
      <c r="BS40">
        <v>142.34890066289691</v>
      </c>
      <c r="BT40">
        <v>142.94659012488449</v>
      </c>
      <c r="BU40">
        <v>145.04164062326191</v>
      </c>
      <c r="BV40">
        <v>144.04105165498231</v>
      </c>
      <c r="BW40">
        <v>143.95850955955339</v>
      </c>
      <c r="BX40">
        <v>143.43922823868749</v>
      </c>
      <c r="BY40">
        <v>143.69482340504629</v>
      </c>
      <c r="BZ40">
        <v>143.8305124954436</v>
      </c>
      <c r="CA40">
        <v>144.6128248036014</v>
      </c>
      <c r="CB40" s="7">
        <v>142.96521268857271</v>
      </c>
      <c r="CC40">
        <v>144.77145811519409</v>
      </c>
    </row>
    <row r="41" spans="1:81" x14ac:dyDescent="0.35">
      <c r="A41" t="s">
        <v>87</v>
      </c>
      <c r="B41">
        <v>8741110.2400000002</v>
      </c>
      <c r="C41">
        <v>7863154.8199999994</v>
      </c>
      <c r="D41">
        <v>12655385.76</v>
      </c>
      <c r="E41">
        <v>5485471.25</v>
      </c>
      <c r="F41">
        <v>6422335.3899999997</v>
      </c>
      <c r="G41">
        <v>8197454.1499999994</v>
      </c>
      <c r="H41">
        <v>7766343.8300000001</v>
      </c>
      <c r="I41">
        <v>6029154.9000000004</v>
      </c>
      <c r="J41">
        <v>4716723.92</v>
      </c>
      <c r="K41">
        <v>4058618.21</v>
      </c>
      <c r="L41">
        <v>2171798.59</v>
      </c>
      <c r="M41">
        <v>2640084.71</v>
      </c>
      <c r="N41">
        <v>2445132.64</v>
      </c>
      <c r="O41">
        <v>2795827.91</v>
      </c>
      <c r="P41">
        <v>9756905.7600000016</v>
      </c>
      <c r="Q41">
        <v>11177905.65</v>
      </c>
      <c r="R41">
        <v>9912432.0200000014</v>
      </c>
      <c r="S41">
        <v>9288557.1799999997</v>
      </c>
      <c r="T41">
        <v>8582924.5800000001</v>
      </c>
      <c r="U41">
        <v>8241012.540000001</v>
      </c>
      <c r="V41">
        <v>8576896.0099999998</v>
      </c>
      <c r="W41">
        <v>6417785.2100000009</v>
      </c>
      <c r="X41">
        <v>6025928.1100000003</v>
      </c>
      <c r="Y41">
        <v>6069796.6299999999</v>
      </c>
      <c r="Z41">
        <v>5073512.8499999996</v>
      </c>
      <c r="AA41">
        <v>5559700.0199999996</v>
      </c>
      <c r="AB41">
        <v>8232461.3100000015</v>
      </c>
      <c r="AC41">
        <v>5947998.7599999998</v>
      </c>
      <c r="AD41">
        <v>6027597.7000000002</v>
      </c>
      <c r="AE41">
        <v>5239119.5</v>
      </c>
      <c r="AF41">
        <v>4930650.7300000004</v>
      </c>
      <c r="AG41">
        <v>5525138.3599999994</v>
      </c>
      <c r="AH41">
        <v>4958203.66</v>
      </c>
      <c r="AI41">
        <v>3666418.53</v>
      </c>
      <c r="AJ41">
        <v>3063513.24</v>
      </c>
      <c r="AK41">
        <v>2355143.87</v>
      </c>
      <c r="AL41">
        <v>1903075.59</v>
      </c>
      <c r="AM41">
        <v>2098759.9700000002</v>
      </c>
      <c r="AN41">
        <v>2103109.94</v>
      </c>
      <c r="AO41">
        <v>910438.32000000007</v>
      </c>
      <c r="AP41">
        <v>3439832.45</v>
      </c>
      <c r="AQ41">
        <v>4486914.49</v>
      </c>
      <c r="AR41">
        <v>4623214.3100000015</v>
      </c>
      <c r="AS41">
        <v>5409186.3500000006</v>
      </c>
      <c r="AT41">
        <v>4363858.67</v>
      </c>
      <c r="AU41">
        <v>4505953.629999999</v>
      </c>
      <c r="AV41">
        <v>5212394.91</v>
      </c>
      <c r="AW41">
        <v>4336766.3599999994</v>
      </c>
      <c r="AX41">
        <v>5560463.6200000001</v>
      </c>
      <c r="AY41">
        <v>7359094.6899999985</v>
      </c>
      <c r="AZ41">
        <v>13973656.23</v>
      </c>
      <c r="BA41">
        <v>13443294.75</v>
      </c>
      <c r="BB41">
        <v>11587384.01</v>
      </c>
      <c r="BC41">
        <v>9829555.8200000003</v>
      </c>
      <c r="BD41">
        <v>9470462.5299999993</v>
      </c>
      <c r="BE41">
        <v>6276242.8799999999</v>
      </c>
      <c r="BF41">
        <v>5799571.0600000015</v>
      </c>
      <c r="BG41">
        <v>6249537.129999999</v>
      </c>
      <c r="BH41">
        <v>6432681.2699999996</v>
      </c>
      <c r="BI41">
        <v>8384948.8000000007</v>
      </c>
      <c r="BJ41">
        <v>10338839.33</v>
      </c>
      <c r="BK41">
        <v>11557613.609999999</v>
      </c>
      <c r="BL41">
        <v>21544150.359999999</v>
      </c>
      <c r="BM41">
        <v>14690857.789999999</v>
      </c>
      <c r="BN41">
        <v>13097759.619999999</v>
      </c>
      <c r="BO41">
        <v>12174617.5</v>
      </c>
      <c r="BP41">
        <v>12341720.619999999</v>
      </c>
      <c r="BQ41">
        <v>14023960.710000001</v>
      </c>
      <c r="BR41">
        <v>16268241.57</v>
      </c>
      <c r="BS41">
        <v>16171908.59</v>
      </c>
      <c r="BT41">
        <v>13413464.140000001</v>
      </c>
      <c r="BU41">
        <v>13394315.92</v>
      </c>
      <c r="BV41">
        <v>12218964.75</v>
      </c>
      <c r="BW41">
        <v>19125484.43</v>
      </c>
      <c r="BX41">
        <v>29276332.41</v>
      </c>
      <c r="BY41">
        <v>20688803.789999999</v>
      </c>
      <c r="BZ41">
        <v>17281542.120000001</v>
      </c>
      <c r="CA41">
        <v>14943408.119999999</v>
      </c>
      <c r="CB41" s="7">
        <v>14633499.640000001</v>
      </c>
      <c r="CC41">
        <v>4449940.6199999992</v>
      </c>
    </row>
    <row r="42" spans="1:81" x14ac:dyDescent="0.35">
      <c r="A42" t="s">
        <v>88</v>
      </c>
      <c r="B42">
        <v>1.4676418920368031</v>
      </c>
      <c r="C42">
        <v>1.4328695110654861</v>
      </c>
      <c r="D42">
        <v>1.3848206364513069</v>
      </c>
      <c r="E42">
        <v>1.3988275336178779</v>
      </c>
      <c r="F42">
        <v>1.3762822299037081</v>
      </c>
      <c r="G42">
        <v>1.354087821094401</v>
      </c>
      <c r="H42">
        <v>1.251914445146237</v>
      </c>
      <c r="I42">
        <v>1.2091906303668929</v>
      </c>
      <c r="J42">
        <v>1.196433843060777</v>
      </c>
      <c r="K42">
        <v>1.258995175554293</v>
      </c>
      <c r="L42">
        <v>1.3190476464140191</v>
      </c>
      <c r="M42">
        <v>1.2484001154385509</v>
      </c>
      <c r="N42">
        <v>1.379076914634378</v>
      </c>
      <c r="O42">
        <v>1.2992206500756489</v>
      </c>
      <c r="P42">
        <v>1.3340947206374041</v>
      </c>
      <c r="Q42">
        <v>1.2356529390619111</v>
      </c>
      <c r="R42">
        <v>1.213466839324141</v>
      </c>
      <c r="S42">
        <v>1.2540043532626</v>
      </c>
      <c r="T42">
        <v>1.252514117613863</v>
      </c>
      <c r="U42">
        <v>1.2970115487220031</v>
      </c>
      <c r="V42">
        <v>1.3011728252660011</v>
      </c>
      <c r="W42">
        <v>1.3670863740351979</v>
      </c>
      <c r="X42">
        <v>1.325662481292289</v>
      </c>
      <c r="Y42">
        <v>1.317677091130973</v>
      </c>
      <c r="Z42">
        <v>1.398910850234619</v>
      </c>
      <c r="AA42">
        <v>1.3495992596349311</v>
      </c>
      <c r="AB42">
        <v>1.327548507757877</v>
      </c>
      <c r="AC42">
        <v>1.3471846909151599</v>
      </c>
      <c r="AD42">
        <v>1.3490060505042569</v>
      </c>
      <c r="AE42">
        <v>1.373335498686785</v>
      </c>
      <c r="AF42">
        <v>1.3451837715447741</v>
      </c>
      <c r="AG42">
        <v>1.2689896287050511</v>
      </c>
      <c r="AH42">
        <v>1.3598850316880631</v>
      </c>
      <c r="AI42">
        <v>1.421916140977969</v>
      </c>
      <c r="AJ42">
        <v>1.305222803907151</v>
      </c>
      <c r="AK42">
        <v>1.246813048810435</v>
      </c>
      <c r="AL42">
        <v>1.209576858551441</v>
      </c>
      <c r="AM42">
        <v>1.2838702453617721</v>
      </c>
      <c r="AN42">
        <v>1.3811904481667081</v>
      </c>
      <c r="AO42">
        <v>1.628256947331199</v>
      </c>
      <c r="AP42">
        <v>1.3145995409497371</v>
      </c>
      <c r="AQ42">
        <v>1.2624707973727329</v>
      </c>
      <c r="AR42">
        <v>1.2644516757213551</v>
      </c>
      <c r="AS42">
        <v>1.255893305628776</v>
      </c>
      <c r="AT42">
        <v>1.310493392921616</v>
      </c>
      <c r="AU42">
        <v>1.310543153329458</v>
      </c>
      <c r="AV42">
        <v>1.274575523366954</v>
      </c>
      <c r="AW42">
        <v>1.3182370924413329</v>
      </c>
      <c r="AX42">
        <v>1.375226859962873</v>
      </c>
      <c r="AY42">
        <v>1.382325673756549</v>
      </c>
      <c r="AZ42">
        <v>1.3982587246577109</v>
      </c>
      <c r="BA42">
        <v>1.409166775292958</v>
      </c>
      <c r="BB42">
        <v>1.354939116519029</v>
      </c>
      <c r="BC42">
        <v>1.3439860849450569</v>
      </c>
      <c r="BD42">
        <v>1.337716491332787</v>
      </c>
      <c r="BE42">
        <v>1.3763923913491329</v>
      </c>
      <c r="BF42">
        <v>1.3432826951748309</v>
      </c>
      <c r="BG42">
        <v>1.3312821038688001</v>
      </c>
      <c r="BH42">
        <v>1.368483365687396</v>
      </c>
      <c r="BI42">
        <v>1.3338793838851239</v>
      </c>
      <c r="BJ42">
        <v>1.3638900594103081</v>
      </c>
      <c r="BK42">
        <v>1.392550323206855</v>
      </c>
      <c r="BL42">
        <v>1.3854260435526089</v>
      </c>
      <c r="BM42">
        <v>1.4244526909488839</v>
      </c>
      <c r="BN42">
        <v>1.4202226546138781</v>
      </c>
      <c r="BO42">
        <v>1.4059440178329139</v>
      </c>
      <c r="BP42">
        <v>1.4203923711764559</v>
      </c>
      <c r="BQ42">
        <v>1.4170092925194271</v>
      </c>
      <c r="BR42">
        <v>1.4114667739152711</v>
      </c>
      <c r="BS42">
        <v>1.4023833359020119</v>
      </c>
      <c r="BT42">
        <v>1.398813533697707</v>
      </c>
      <c r="BU42">
        <v>1.442138966785907</v>
      </c>
      <c r="BV42">
        <v>1.49002402170142</v>
      </c>
      <c r="BW42">
        <v>1.450668476991489</v>
      </c>
      <c r="BX42">
        <v>1.4747713150123289</v>
      </c>
      <c r="BY42">
        <v>1.4975989407980901</v>
      </c>
      <c r="BZ42">
        <v>1.475054992977741</v>
      </c>
      <c r="CA42">
        <v>1.4736856815802151</v>
      </c>
      <c r="CB42" s="7">
        <v>1.520558155589379</v>
      </c>
      <c r="CC42">
        <v>1.5100433699644711</v>
      </c>
    </row>
    <row r="43" spans="1:81" x14ac:dyDescent="0.35">
      <c r="A43" t="s">
        <v>89</v>
      </c>
      <c r="B43">
        <v>0.21790424328008479</v>
      </c>
      <c r="C43">
        <v>0.23029254410623451</v>
      </c>
      <c r="D43">
        <v>0.22999938475782969</v>
      </c>
      <c r="E43">
        <v>0.23718043841502229</v>
      </c>
      <c r="F43">
        <v>0.23449291216664411</v>
      </c>
      <c r="G43">
        <v>0.23599401736678149</v>
      </c>
      <c r="H43">
        <v>0.23827536457795481</v>
      </c>
      <c r="I43">
        <v>0.24132532664752071</v>
      </c>
      <c r="J43">
        <v>0.24153244018572961</v>
      </c>
      <c r="K43">
        <v>0.23763374269884821</v>
      </c>
      <c r="L43">
        <v>0.2243619702916374</v>
      </c>
      <c r="M43">
        <v>0.21797381608789371</v>
      </c>
      <c r="N43">
        <v>0.2331004844358873</v>
      </c>
      <c r="O43">
        <v>0.2361639898065114</v>
      </c>
      <c r="P43">
        <v>0.2346216439430896</v>
      </c>
      <c r="Q43">
        <v>0.23410277857283571</v>
      </c>
      <c r="R43">
        <v>0.2313677127120414</v>
      </c>
      <c r="S43">
        <v>0.233375107146404</v>
      </c>
      <c r="T43">
        <v>0.2314204964990999</v>
      </c>
      <c r="U43">
        <v>0.22830306962801919</v>
      </c>
      <c r="V43">
        <v>0.23129231247482501</v>
      </c>
      <c r="W43">
        <v>0.2319378873438489</v>
      </c>
      <c r="X43">
        <v>0.23030583042053579</v>
      </c>
      <c r="Y43">
        <v>0.2343472467211806</v>
      </c>
      <c r="Z43">
        <v>0.2462367034211809</v>
      </c>
      <c r="AA43">
        <v>0.24506027914452119</v>
      </c>
      <c r="AB43">
        <v>0.24562050403125429</v>
      </c>
      <c r="AC43">
        <v>0.24274224626452351</v>
      </c>
      <c r="AD43">
        <v>0.24377762325876531</v>
      </c>
      <c r="AE43">
        <v>0.2409036032457362</v>
      </c>
      <c r="AF43">
        <v>0.23856261044269919</v>
      </c>
      <c r="AG43">
        <v>0.23694849972897331</v>
      </c>
      <c r="AH43">
        <v>0.2398884618775422</v>
      </c>
      <c r="AI43">
        <v>0.23910652037780311</v>
      </c>
      <c r="AJ43">
        <v>0.23307559591940921</v>
      </c>
      <c r="AK43">
        <v>0.2366989657718872</v>
      </c>
      <c r="AL43">
        <v>0.242105777374823</v>
      </c>
      <c r="AM43">
        <v>0.24302205477265709</v>
      </c>
      <c r="AN43">
        <v>0.2396092005988997</v>
      </c>
      <c r="AO43">
        <v>0.2349800926744823</v>
      </c>
      <c r="AP43">
        <v>0.2479328795976676</v>
      </c>
      <c r="AQ43">
        <v>0.23848650033488819</v>
      </c>
      <c r="AR43">
        <v>0.23631230153550889</v>
      </c>
      <c r="AS43">
        <v>0.23067494535476671</v>
      </c>
      <c r="AT43">
        <v>0.22981680687472861</v>
      </c>
      <c r="AU43">
        <v>0.2289761501149758</v>
      </c>
      <c r="AV43">
        <v>0.2342687198432169</v>
      </c>
      <c r="AW43">
        <v>0.2327944764568779</v>
      </c>
      <c r="AX43">
        <v>0.2351315844122005</v>
      </c>
      <c r="AY43">
        <v>0.23714595930358931</v>
      </c>
      <c r="AZ43">
        <v>0.2345560691315218</v>
      </c>
      <c r="BA43">
        <v>0.2336221859621132</v>
      </c>
      <c r="BB43">
        <v>0.2332310796283</v>
      </c>
      <c r="BC43">
        <v>0.23020314010160431</v>
      </c>
      <c r="BD43">
        <v>0.23065467153714619</v>
      </c>
      <c r="BE43">
        <v>0.2361409810461319</v>
      </c>
      <c r="BF43">
        <v>0.2341854328683749</v>
      </c>
      <c r="BG43">
        <v>0.2401830890359076</v>
      </c>
      <c r="BH43">
        <v>0.23864962200292569</v>
      </c>
      <c r="BI43">
        <v>0.23742248506216279</v>
      </c>
      <c r="BJ43">
        <v>0.24165314307403979</v>
      </c>
      <c r="BK43">
        <v>0.23929634429818941</v>
      </c>
      <c r="BL43">
        <v>0.24229092974423519</v>
      </c>
      <c r="BM43">
        <v>0.2417271230476597</v>
      </c>
      <c r="BN43">
        <v>0.24232425394137749</v>
      </c>
      <c r="BO43">
        <v>0.24304147902387899</v>
      </c>
      <c r="BP43">
        <v>0.24436470179682279</v>
      </c>
      <c r="BQ43">
        <v>0.2414856791605344</v>
      </c>
      <c r="BR43">
        <v>0.2416046948472379</v>
      </c>
      <c r="BS43">
        <v>0.24226898926924989</v>
      </c>
      <c r="BT43">
        <v>0.24070696471284561</v>
      </c>
      <c r="BU43">
        <v>0.24282198283874731</v>
      </c>
      <c r="BV43">
        <v>0.2433396429612418</v>
      </c>
      <c r="BW43">
        <v>0.241890387062839</v>
      </c>
      <c r="BX43">
        <v>0.23955183889101089</v>
      </c>
      <c r="BY43">
        <v>0.23790186937598681</v>
      </c>
      <c r="BZ43">
        <v>0.2412925391078467</v>
      </c>
      <c r="CA43">
        <v>0.23919282626425381</v>
      </c>
      <c r="CB43" s="7">
        <v>0.24217132766875171</v>
      </c>
      <c r="CC43">
        <v>0.24235074313396121</v>
      </c>
    </row>
    <row r="45" spans="1:81" x14ac:dyDescent="0.35">
      <c r="A45" t="s">
        <v>93</v>
      </c>
      <c r="B45" t="s">
        <v>1</v>
      </c>
      <c r="C45" t="s">
        <v>2</v>
      </c>
      <c r="D45" t="s">
        <v>3</v>
      </c>
      <c r="E45" t="s">
        <v>4</v>
      </c>
      <c r="F45" t="s">
        <v>5</v>
      </c>
      <c r="G45" t="s">
        <v>6</v>
      </c>
      <c r="H45" t="s">
        <v>7</v>
      </c>
      <c r="I45" t="s">
        <v>8</v>
      </c>
      <c r="J45" t="s">
        <v>9</v>
      </c>
      <c r="K45" t="s">
        <v>10</v>
      </c>
      <c r="L45" t="s">
        <v>11</v>
      </c>
      <c r="M45" t="s">
        <v>12</v>
      </c>
      <c r="N45" t="s">
        <v>13</v>
      </c>
      <c r="O45" t="s">
        <v>14</v>
      </c>
      <c r="P45" t="s">
        <v>15</v>
      </c>
      <c r="Q45" t="s">
        <v>16</v>
      </c>
      <c r="R45" t="s">
        <v>17</v>
      </c>
      <c r="S45" t="s">
        <v>18</v>
      </c>
      <c r="T45" t="s">
        <v>19</v>
      </c>
      <c r="U45" t="s">
        <v>20</v>
      </c>
      <c r="V45" t="s">
        <v>21</v>
      </c>
      <c r="W45" t="s">
        <v>22</v>
      </c>
      <c r="X45" t="s">
        <v>23</v>
      </c>
      <c r="Y45" t="s">
        <v>24</v>
      </c>
      <c r="Z45" t="s">
        <v>25</v>
      </c>
      <c r="AA45" t="s">
        <v>26</v>
      </c>
      <c r="AB45" t="s">
        <v>27</v>
      </c>
      <c r="AC45" t="s">
        <v>28</v>
      </c>
      <c r="AD45" t="s">
        <v>29</v>
      </c>
      <c r="AE45" t="s">
        <v>30</v>
      </c>
      <c r="AF45" t="s">
        <v>31</v>
      </c>
      <c r="AG45" t="s">
        <v>32</v>
      </c>
      <c r="AH45" t="s">
        <v>33</v>
      </c>
      <c r="AI45" t="s">
        <v>34</v>
      </c>
      <c r="AJ45" t="s">
        <v>35</v>
      </c>
      <c r="AK45" t="s">
        <v>36</v>
      </c>
      <c r="AL45" t="s">
        <v>37</v>
      </c>
      <c r="AM45" t="s">
        <v>38</v>
      </c>
      <c r="AN45" t="s">
        <v>39</v>
      </c>
      <c r="AO45" t="s">
        <v>40</v>
      </c>
      <c r="AP45" t="s">
        <v>41</v>
      </c>
      <c r="AQ45" t="s">
        <v>42</v>
      </c>
      <c r="AR45" t="s">
        <v>43</v>
      </c>
      <c r="AS45" t="s">
        <v>44</v>
      </c>
      <c r="AT45" t="s">
        <v>45</v>
      </c>
      <c r="AU45" t="s">
        <v>46</v>
      </c>
      <c r="AV45" t="s">
        <v>47</v>
      </c>
      <c r="AW45" t="s">
        <v>48</v>
      </c>
      <c r="AX45" t="s">
        <v>49</v>
      </c>
      <c r="AY45" t="s">
        <v>50</v>
      </c>
      <c r="AZ45" t="s">
        <v>51</v>
      </c>
      <c r="BA45" t="s">
        <v>52</v>
      </c>
      <c r="BB45" t="s">
        <v>53</v>
      </c>
      <c r="BC45" t="s">
        <v>54</v>
      </c>
      <c r="BD45" t="s">
        <v>55</v>
      </c>
      <c r="BE45" t="s">
        <v>56</v>
      </c>
      <c r="BF45" t="s">
        <v>57</v>
      </c>
      <c r="BG45" t="s">
        <v>58</v>
      </c>
      <c r="BH45" t="s">
        <v>59</v>
      </c>
      <c r="BI45" t="s">
        <v>60</v>
      </c>
      <c r="BJ45" t="s">
        <v>61</v>
      </c>
      <c r="BK45" t="s">
        <v>62</v>
      </c>
      <c r="BL45" t="s">
        <v>63</v>
      </c>
      <c r="BM45" t="s">
        <v>64</v>
      </c>
      <c r="BN45" t="s">
        <v>65</v>
      </c>
      <c r="BO45" t="s">
        <v>66</v>
      </c>
      <c r="BP45" t="s">
        <v>67</v>
      </c>
      <c r="BQ45" t="s">
        <v>68</v>
      </c>
      <c r="BR45" t="s">
        <v>69</v>
      </c>
      <c r="BS45" t="s">
        <v>70</v>
      </c>
      <c r="BT45" t="s">
        <v>71</v>
      </c>
      <c r="BU45" t="s">
        <v>72</v>
      </c>
      <c r="BV45" t="s">
        <v>73</v>
      </c>
      <c r="BW45" t="s">
        <v>74</v>
      </c>
      <c r="BX45" t="s">
        <v>75</v>
      </c>
      <c r="BY45" t="s">
        <v>76</v>
      </c>
      <c r="BZ45" t="s">
        <v>77</v>
      </c>
      <c r="CA45" t="s">
        <v>78</v>
      </c>
      <c r="CB45" s="7" t="s">
        <v>79</v>
      </c>
      <c r="CC45" t="s">
        <v>80</v>
      </c>
    </row>
    <row r="46" spans="1:81" x14ac:dyDescent="0.35">
      <c r="A46" t="s">
        <v>81</v>
      </c>
      <c r="B46">
        <v>129.50896574207951</v>
      </c>
      <c r="C46">
        <v>133.54080522686431</v>
      </c>
      <c r="D46">
        <v>133.15809205910679</v>
      </c>
      <c r="E46">
        <v>130.5821544513594</v>
      </c>
      <c r="F46">
        <v>133.63313200608499</v>
      </c>
      <c r="G46">
        <v>135.91160075831601</v>
      </c>
      <c r="H46">
        <v>136.50886546790491</v>
      </c>
      <c r="I46">
        <v>136.32075490627739</v>
      </c>
      <c r="J46">
        <v>136.1617216587853</v>
      </c>
      <c r="K46">
        <v>135.84763024625681</v>
      </c>
      <c r="L46">
        <v>135.80792530192389</v>
      </c>
      <c r="M46">
        <v>134.57902146641601</v>
      </c>
      <c r="N46">
        <v>134.65321931575821</v>
      </c>
      <c r="O46">
        <v>134.13136954259659</v>
      </c>
      <c r="P46">
        <v>133.38701226486921</v>
      </c>
      <c r="Q46">
        <v>132.19120302218431</v>
      </c>
      <c r="R46">
        <v>131.85768877296829</v>
      </c>
      <c r="S46">
        <v>131.46314719682849</v>
      </c>
      <c r="T46">
        <v>130.4329190396796</v>
      </c>
      <c r="U46">
        <v>132.16013807550411</v>
      </c>
      <c r="V46">
        <v>130.86696330641959</v>
      </c>
      <c r="W46">
        <v>129.98039310991371</v>
      </c>
      <c r="X46">
        <v>129.80978474257839</v>
      </c>
      <c r="Y46">
        <v>128.63716568475019</v>
      </c>
      <c r="Z46">
        <v>128.74015408953329</v>
      </c>
      <c r="AA46">
        <v>129.14211888729861</v>
      </c>
      <c r="AB46">
        <v>129.860220706821</v>
      </c>
      <c r="AC46">
        <v>130.64658420208801</v>
      </c>
      <c r="AD46">
        <v>131.73724619491881</v>
      </c>
      <c r="AE46">
        <v>132.02679572063431</v>
      </c>
      <c r="AF46">
        <v>132.27698549545019</v>
      </c>
      <c r="AG46">
        <v>131.79070254337901</v>
      </c>
      <c r="AH46">
        <v>131.17239876904861</v>
      </c>
      <c r="AI46">
        <v>130.56410185563101</v>
      </c>
      <c r="AJ46">
        <v>131.3226243725228</v>
      </c>
      <c r="AK46">
        <v>131.94604540729401</v>
      </c>
      <c r="AL46">
        <v>132.1000291223117</v>
      </c>
      <c r="AM46">
        <v>132.61410530369861</v>
      </c>
      <c r="AN46">
        <v>133.12916075839809</v>
      </c>
      <c r="AO46">
        <v>133.9007103571725</v>
      </c>
      <c r="AP46">
        <v>134.0931024757532</v>
      </c>
      <c r="AQ46">
        <v>132.52809175919339</v>
      </c>
      <c r="AR46">
        <v>132.38075358636169</v>
      </c>
      <c r="AS46">
        <v>134.18724078176481</v>
      </c>
      <c r="AT46">
        <v>135.02737166772451</v>
      </c>
      <c r="AU46">
        <v>135.0028726527822</v>
      </c>
      <c r="AV46">
        <v>135.0494805455387</v>
      </c>
      <c r="AW46">
        <v>135.92368527485871</v>
      </c>
      <c r="AX46">
        <v>136.1299152716972</v>
      </c>
      <c r="AY46">
        <v>136.1370407657798</v>
      </c>
      <c r="AZ46">
        <v>136.20047353296621</v>
      </c>
      <c r="BA46">
        <v>136.56576793604319</v>
      </c>
      <c r="BB46">
        <v>136.83518203409369</v>
      </c>
      <c r="BC46">
        <v>137.2268802870293</v>
      </c>
      <c r="BD46">
        <v>136.77277112137861</v>
      </c>
      <c r="BE46">
        <v>136.60186141074189</v>
      </c>
      <c r="BF46">
        <v>136.67643022975631</v>
      </c>
      <c r="BG46">
        <v>135.50214550040329</v>
      </c>
      <c r="BH46">
        <v>134.74418460240781</v>
      </c>
      <c r="BI46">
        <v>134.58053724836091</v>
      </c>
      <c r="BJ46">
        <v>134.34082471566001</v>
      </c>
      <c r="BK46">
        <v>133.99741836727529</v>
      </c>
      <c r="BL46">
        <v>134.99803428422979</v>
      </c>
      <c r="BM46">
        <v>136.07606571553319</v>
      </c>
      <c r="BN46">
        <v>136.36307177954589</v>
      </c>
      <c r="BO46">
        <v>136.8806260149297</v>
      </c>
      <c r="BP46">
        <v>137.16677495969029</v>
      </c>
      <c r="BQ46">
        <v>137.01824385104359</v>
      </c>
      <c r="BR46">
        <v>136.77667087771701</v>
      </c>
      <c r="BS46">
        <v>136.93121550787799</v>
      </c>
      <c r="BT46">
        <v>136.82224721792241</v>
      </c>
      <c r="BU46">
        <v>137.9247439790214</v>
      </c>
      <c r="BV46">
        <v>139.54543784807981</v>
      </c>
      <c r="BW46">
        <v>139.63853103630919</v>
      </c>
      <c r="BX46">
        <v>140.13310281101229</v>
      </c>
      <c r="BY46">
        <v>140.49329555747951</v>
      </c>
      <c r="BZ46">
        <v>141.8914668568255</v>
      </c>
      <c r="CA46">
        <v>144.07453003127259</v>
      </c>
      <c r="CB46" s="7">
        <v>144.7910778711163</v>
      </c>
      <c r="CC46">
        <v>145.3807452730556</v>
      </c>
    </row>
    <row r="47" spans="1:81" x14ac:dyDescent="0.35">
      <c r="A47" t="s">
        <v>82</v>
      </c>
      <c r="B47">
        <v>0.26133820586213119</v>
      </c>
      <c r="C47">
        <v>0.46386955366983779</v>
      </c>
      <c r="D47">
        <v>0.70652920973367372</v>
      </c>
      <c r="E47">
        <v>0.54583212214004106</v>
      </c>
      <c r="F47">
        <v>0.62911192517469772</v>
      </c>
      <c r="G47">
        <v>0.68688191175360203</v>
      </c>
      <c r="H47">
        <v>0.29771893782051961</v>
      </c>
      <c r="I47">
        <v>0.45561972752923913</v>
      </c>
      <c r="J47">
        <v>0.19866684152324859</v>
      </c>
      <c r="K47">
        <v>-0.77860847366923736</v>
      </c>
      <c r="L47">
        <v>-0.79097479722216235</v>
      </c>
      <c r="M47">
        <v>-1.0921380371593159</v>
      </c>
      <c r="N47">
        <v>-0.45318448047834181</v>
      </c>
      <c r="O47">
        <v>-0.51954057331553827</v>
      </c>
      <c r="P47">
        <v>-0.28814348404179668</v>
      </c>
      <c r="Q47">
        <v>-0.42935899078577222</v>
      </c>
      <c r="R47">
        <v>-0.55179295852616406</v>
      </c>
      <c r="S47">
        <v>-0.84826260101064577</v>
      </c>
      <c r="T47">
        <v>-0.88792298679044279</v>
      </c>
      <c r="U47">
        <v>-1.1651529245131369</v>
      </c>
      <c r="V47">
        <v>-1.3557009988458051</v>
      </c>
      <c r="W47">
        <v>-1.001104207215008</v>
      </c>
      <c r="X47">
        <v>-1.3694677472781791</v>
      </c>
      <c r="Y47">
        <v>-1.383795715959764</v>
      </c>
      <c r="Z47">
        <v>-1.1156253990253899</v>
      </c>
      <c r="AA47">
        <v>-0.96475996595219726</v>
      </c>
      <c r="AB47">
        <v>-0.89667029252734665</v>
      </c>
      <c r="AC47">
        <v>-0.93430995508859382</v>
      </c>
      <c r="AD47">
        <v>-0.87906304259144008</v>
      </c>
      <c r="AE47">
        <v>-1.082731091115505</v>
      </c>
      <c r="AF47">
        <v>-1.4930065903377849</v>
      </c>
      <c r="AG47">
        <v>-1.7457334225925649</v>
      </c>
      <c r="AH47">
        <v>-1.694927367669095</v>
      </c>
      <c r="AI47">
        <v>-1.5288490502405521</v>
      </c>
      <c r="AJ47">
        <v>-1.507444996326285</v>
      </c>
      <c r="AK47">
        <v>-1.451044248906896</v>
      </c>
      <c r="AL47">
        <v>-2.1877808180950349</v>
      </c>
      <c r="AM47">
        <v>-1.6124171702269621</v>
      </c>
      <c r="AN47">
        <v>-1.7467661090702511</v>
      </c>
      <c r="AO47">
        <v>-1.3143600402131601</v>
      </c>
      <c r="AP47">
        <v>-0.81997547562170325</v>
      </c>
      <c r="AQ47">
        <v>-1.349644168650713</v>
      </c>
      <c r="AR47">
        <v>-1.223623176215284</v>
      </c>
      <c r="AS47">
        <v>-0.75241872880775418</v>
      </c>
      <c r="AT47">
        <v>-0.34005976364815638</v>
      </c>
      <c r="AU47">
        <v>0.22308555829334861</v>
      </c>
      <c r="AV47">
        <v>0.51464385256605283</v>
      </c>
      <c r="AW47">
        <v>0.27578726090638378</v>
      </c>
      <c r="AX47">
        <v>-0.47946564070034009</v>
      </c>
      <c r="AY47">
        <v>-0.32116639033375799</v>
      </c>
      <c r="AZ47">
        <v>-1.0316512284183259</v>
      </c>
      <c r="BA47">
        <v>-0.6460919185969658</v>
      </c>
      <c r="BB47">
        <v>-0.30115437329857292</v>
      </c>
      <c r="BC47">
        <v>-0.29432798931318871</v>
      </c>
      <c r="BD47">
        <v>-0.87262959107124516</v>
      </c>
      <c r="BE47">
        <v>-0.62725870903724967</v>
      </c>
      <c r="BF47">
        <v>-0.44114673240093788</v>
      </c>
      <c r="BG47">
        <v>-0.28201619967461511</v>
      </c>
      <c r="BH47">
        <v>-0.37281336443757601</v>
      </c>
      <c r="BI47">
        <v>-0.65417566079463541</v>
      </c>
      <c r="BJ47">
        <v>-0.75674228349296868</v>
      </c>
      <c r="BK47">
        <v>-0.98210568180758173</v>
      </c>
      <c r="BL47">
        <v>-1.397193844786585</v>
      </c>
      <c r="BM47">
        <v>-0.44993497660053089</v>
      </c>
      <c r="BN47">
        <v>0.35770350549643132</v>
      </c>
      <c r="BO47">
        <v>0.80959841941151467</v>
      </c>
      <c r="BP47">
        <v>0.45307468747407142</v>
      </c>
      <c r="BQ47">
        <v>-0.18161025087968599</v>
      </c>
      <c r="BR47">
        <v>-0.10777826453659151</v>
      </c>
      <c r="BS47">
        <v>0.81986394151536501</v>
      </c>
      <c r="BT47">
        <v>0.96473178174139207</v>
      </c>
      <c r="BU47">
        <v>1.3562828587284339</v>
      </c>
      <c r="BV47">
        <v>1.467103160642949</v>
      </c>
      <c r="BW47">
        <v>1.233130597636688</v>
      </c>
      <c r="BX47">
        <v>0.56328066110327768</v>
      </c>
      <c r="BY47">
        <v>0.6030052903499552</v>
      </c>
      <c r="BZ47">
        <v>0.44774557167454532</v>
      </c>
      <c r="CA47">
        <v>0.41410929300525368</v>
      </c>
      <c r="CB47" s="7">
        <v>0.45414406432951182</v>
      </c>
      <c r="CC47">
        <v>0.4623368739960938</v>
      </c>
    </row>
    <row r="48" spans="1:81" x14ac:dyDescent="0.35">
      <c r="A48" t="s">
        <v>83</v>
      </c>
      <c r="B48">
        <v>-0.51026299741157044</v>
      </c>
      <c r="C48">
        <v>-0.94838425547812788</v>
      </c>
      <c r="D48">
        <v>-1.147269155369451</v>
      </c>
      <c r="E48">
        <v>-0.98899203720170148</v>
      </c>
      <c r="F48">
        <v>-0.7325660484507317</v>
      </c>
      <c r="G48">
        <v>-0.40610381938204099</v>
      </c>
      <c r="H48">
        <v>-0.67777622381527081</v>
      </c>
      <c r="I48">
        <v>-0.1805695499827501</v>
      </c>
      <c r="J48">
        <v>-0.19349817761759089</v>
      </c>
      <c r="K48">
        <v>-0.55509193515084321</v>
      </c>
      <c r="L48">
        <v>-0.50651501593633541</v>
      </c>
      <c r="M48">
        <v>-0.49482765699047598</v>
      </c>
      <c r="N48">
        <v>-0.67591844772089393</v>
      </c>
      <c r="O48">
        <v>-0.36329924713655898</v>
      </c>
      <c r="P48">
        <v>-0.45941210830713031</v>
      </c>
      <c r="Q48">
        <v>-3.3730290969822933E-2</v>
      </c>
      <c r="R48">
        <v>0.36258644825694758</v>
      </c>
      <c r="S48">
        <v>-0.23836932635151151</v>
      </c>
      <c r="T48">
        <v>-0.47377417279487699</v>
      </c>
      <c r="U48">
        <v>-0.73555775109455779</v>
      </c>
      <c r="V48">
        <v>-0.74225429585719049</v>
      </c>
      <c r="W48">
        <v>-0.44185490321811483</v>
      </c>
      <c r="X48">
        <v>-0.59318205406196878</v>
      </c>
      <c r="Y48">
        <v>-0.8268348560508586</v>
      </c>
      <c r="Z48">
        <v>-1.3572216990455099</v>
      </c>
      <c r="AA48">
        <v>-1.6553791035654279</v>
      </c>
      <c r="AB48">
        <v>-1.7092218115123761</v>
      </c>
      <c r="AC48">
        <v>-1.9236764911530799</v>
      </c>
      <c r="AD48">
        <v>-1.6784655344060011</v>
      </c>
      <c r="AE48">
        <v>-2.1312196942090038</v>
      </c>
      <c r="AF48">
        <v>-2.3775640049648268</v>
      </c>
      <c r="AG48">
        <v>-2.4980012022208018</v>
      </c>
      <c r="AH48">
        <v>-2.9146730286637341</v>
      </c>
      <c r="AI48">
        <v>-2.7451249661911739</v>
      </c>
      <c r="AJ48">
        <v>-2.7823950401426569</v>
      </c>
      <c r="AK48">
        <v>-2.8224103034442152</v>
      </c>
      <c r="AL48">
        <v>-2.880464769523194</v>
      </c>
      <c r="AM48">
        <v>-2.394639364069326</v>
      </c>
      <c r="AN48">
        <v>-2.2819670507592762</v>
      </c>
      <c r="AO48">
        <v>-2.2108273311456892</v>
      </c>
      <c r="AP48">
        <v>-2.06232766929935</v>
      </c>
      <c r="AQ48">
        <v>-1.9329524707487269</v>
      </c>
      <c r="AR48">
        <v>-1.865908226336352</v>
      </c>
      <c r="AS48">
        <v>-1.7524410034305999</v>
      </c>
      <c r="AT48">
        <v>-1.8312470962468279</v>
      </c>
      <c r="AU48">
        <v>-1.2004690671555389</v>
      </c>
      <c r="AV48">
        <v>-0.89521706608119134</v>
      </c>
      <c r="AW48">
        <v>-1.303045494438472</v>
      </c>
      <c r="AX48">
        <v>-1.825551172889039</v>
      </c>
      <c r="AY48">
        <v>-1.540882962108076</v>
      </c>
      <c r="AZ48">
        <v>-1.647364182261551</v>
      </c>
      <c r="BA48">
        <v>-1.473537286090457</v>
      </c>
      <c r="BB48">
        <v>-0.98432703366142171</v>
      </c>
      <c r="BC48">
        <v>-0.88192931208398273</v>
      </c>
      <c r="BD48">
        <v>-0.42910107285831328</v>
      </c>
      <c r="BE48">
        <v>-0.29223409846157472</v>
      </c>
      <c r="BF48">
        <v>0.1106384539775459</v>
      </c>
      <c r="BG48">
        <v>1.408687692103904</v>
      </c>
      <c r="BH48">
        <v>2.5089188747824869</v>
      </c>
      <c r="BI48">
        <v>3.4245118554553229</v>
      </c>
      <c r="BJ48">
        <v>3.8573617747877331</v>
      </c>
      <c r="BK48">
        <v>4.6129336034454447</v>
      </c>
      <c r="BL48">
        <v>3.4811788655855551</v>
      </c>
      <c r="BM48">
        <v>2.4576285035015379</v>
      </c>
      <c r="BN48">
        <v>2.9503452457903219</v>
      </c>
      <c r="BO48">
        <v>3.0882637870489962</v>
      </c>
      <c r="BP48">
        <v>3.031882797993676</v>
      </c>
      <c r="BQ48">
        <v>2.892614902375775</v>
      </c>
      <c r="BR48">
        <v>3.050194915218825</v>
      </c>
      <c r="BS48">
        <v>3.6419036440865691</v>
      </c>
      <c r="BT48">
        <v>3.954598707801102</v>
      </c>
      <c r="BU48">
        <v>4.5932711663930021</v>
      </c>
      <c r="BV48">
        <v>3.2262341643722121</v>
      </c>
      <c r="BW48">
        <v>3.2137654420683921</v>
      </c>
      <c r="BX48">
        <v>2.8616067535079659</v>
      </c>
      <c r="BY48">
        <v>2.2010829511944299</v>
      </c>
      <c r="BZ48">
        <v>1.139708091584434</v>
      </c>
      <c r="CA48">
        <v>0.54957422380212662</v>
      </c>
      <c r="CB48" s="7">
        <v>-0.32756820899010919</v>
      </c>
      <c r="CC48">
        <v>-1.303610939852206</v>
      </c>
    </row>
    <row r="49" spans="1:81" x14ac:dyDescent="0.35">
      <c r="A49" t="s">
        <v>84</v>
      </c>
      <c r="B49">
        <v>-1.1509762038785409</v>
      </c>
      <c r="C49">
        <v>-0.4156294927945573</v>
      </c>
      <c r="D49">
        <v>0.2821463250756806</v>
      </c>
      <c r="E49">
        <v>0.21538216044336009</v>
      </c>
      <c r="F49">
        <v>-0.37248141074613039</v>
      </c>
      <c r="G49">
        <v>0.31304246082882581</v>
      </c>
      <c r="H49">
        <v>2.176651226721396</v>
      </c>
      <c r="I49">
        <v>2.9731945236369488</v>
      </c>
      <c r="J49">
        <v>2.1396199539684848</v>
      </c>
      <c r="K49">
        <v>1.37512259265208</v>
      </c>
      <c r="L49">
        <v>0.88524227635556141</v>
      </c>
      <c r="M49">
        <v>0.81700564729402947</v>
      </c>
      <c r="N49">
        <v>0.6550063008387581</v>
      </c>
      <c r="O49">
        <v>0.47787418854549141</v>
      </c>
      <c r="P49">
        <v>1.7067368058641781</v>
      </c>
      <c r="Q49">
        <v>2.5250874402823351</v>
      </c>
      <c r="R49">
        <v>2.4579603201866682</v>
      </c>
      <c r="S49">
        <v>2.5876675358863088</v>
      </c>
      <c r="T49">
        <v>2.0191718202914388</v>
      </c>
      <c r="U49">
        <v>1.2517569729104649</v>
      </c>
      <c r="V49">
        <v>0.90803549227165115</v>
      </c>
      <c r="W49">
        <v>1.0015451942960181</v>
      </c>
      <c r="X49">
        <v>1.263160692013986</v>
      </c>
      <c r="Y49">
        <v>0.54527715193442128</v>
      </c>
      <c r="Z49">
        <v>0.75045302956948268</v>
      </c>
      <c r="AA49">
        <v>0.62536031750598386</v>
      </c>
      <c r="AB49">
        <v>0.71187052510576487</v>
      </c>
      <c r="AC49">
        <v>0.9266395392048774</v>
      </c>
      <c r="AD49">
        <v>0.99865769422480377</v>
      </c>
      <c r="AE49">
        <v>2.116505862094153</v>
      </c>
      <c r="AF49">
        <v>2.098775139893633</v>
      </c>
      <c r="AG49">
        <v>1.8666601920982391</v>
      </c>
      <c r="AH49">
        <v>2.2569296163943782</v>
      </c>
      <c r="AI49">
        <v>1.802512032007916</v>
      </c>
      <c r="AJ49">
        <v>1.08884799806065</v>
      </c>
      <c r="AK49">
        <v>0.97524482751617958</v>
      </c>
      <c r="AL49">
        <v>1.2697000945743711</v>
      </c>
      <c r="AM49">
        <v>1.746765044311648</v>
      </c>
      <c r="AN49">
        <v>-0.28077292497712741</v>
      </c>
      <c r="AO49">
        <v>-2.8007244276537788</v>
      </c>
      <c r="AP49">
        <v>2.1009655762897519</v>
      </c>
      <c r="AQ49">
        <v>2.549309242772261</v>
      </c>
      <c r="AR49">
        <v>2.7450876275004141</v>
      </c>
      <c r="AS49">
        <v>2.7818051765398222</v>
      </c>
      <c r="AT49">
        <v>2.2260579180488209</v>
      </c>
      <c r="AU49">
        <v>2.238094494505392</v>
      </c>
      <c r="AV49">
        <v>1.8490206801869249</v>
      </c>
      <c r="AW49">
        <v>1.4447812194733869</v>
      </c>
      <c r="AX49">
        <v>1.3276787642284249</v>
      </c>
      <c r="AY49">
        <v>1.549074262123846</v>
      </c>
      <c r="AZ49">
        <v>2.017521984478563</v>
      </c>
      <c r="BA49">
        <v>2.0435069307255742</v>
      </c>
      <c r="BB49">
        <v>1.8986531329537171</v>
      </c>
      <c r="BC49">
        <v>1.8981173371285991</v>
      </c>
      <c r="BD49">
        <v>1.6868738434300949</v>
      </c>
      <c r="BE49">
        <v>1.772217407132781</v>
      </c>
      <c r="BF49">
        <v>1.808232669657232</v>
      </c>
      <c r="BG49">
        <v>1.367762063080971</v>
      </c>
      <c r="BH49">
        <v>1.2626897875484739</v>
      </c>
      <c r="BI49">
        <v>1.341826146236025</v>
      </c>
      <c r="BJ49">
        <v>1.2191269726893781</v>
      </c>
      <c r="BK49">
        <v>1.4014523959737111</v>
      </c>
      <c r="BL49">
        <v>1.7506687776396721</v>
      </c>
      <c r="BM49">
        <v>1.7883099733647709</v>
      </c>
      <c r="BN49">
        <v>2.044045020093769</v>
      </c>
      <c r="BO49">
        <v>1.976355418793023</v>
      </c>
      <c r="BP49">
        <v>1.87795645333878</v>
      </c>
      <c r="BQ49">
        <v>1.8408939199190539</v>
      </c>
      <c r="BR49">
        <v>1.8329421968066031</v>
      </c>
      <c r="BS49">
        <v>1.9153516512810029</v>
      </c>
      <c r="BT49">
        <v>1.81304428792776</v>
      </c>
      <c r="BU49">
        <v>1.2781089946060831</v>
      </c>
      <c r="BV49">
        <v>1.2421859072929311</v>
      </c>
      <c r="BW49">
        <v>1.3585332187874619</v>
      </c>
      <c r="BX49">
        <v>1.7770670596057969</v>
      </c>
      <c r="BY49">
        <v>1.8706264725576041</v>
      </c>
      <c r="BZ49">
        <v>1.961077621487693</v>
      </c>
      <c r="CA49">
        <v>1.473554634892926</v>
      </c>
      <c r="CB49" s="7">
        <v>1.3475160918740201</v>
      </c>
      <c r="CC49">
        <v>1.6314299768414271</v>
      </c>
    </row>
    <row r="50" spans="1:81" x14ac:dyDescent="0.35">
      <c r="A50" t="s">
        <v>85</v>
      </c>
      <c r="B50">
        <v>1.830088237017266</v>
      </c>
      <c r="C50">
        <v>0.68885934040348484</v>
      </c>
      <c r="D50">
        <v>0.52671466793427379</v>
      </c>
      <c r="E50">
        <v>0.29993777540249339</v>
      </c>
      <c r="F50">
        <v>0.2452360562560118</v>
      </c>
      <c r="G50">
        <v>0.2197787445141422</v>
      </c>
      <c r="H50">
        <v>0.39550832699584543</v>
      </c>
      <c r="I50">
        <v>0.30067024861835101</v>
      </c>
      <c r="J50">
        <v>5.5020330255216569E-2</v>
      </c>
      <c r="K50">
        <v>5.772081385251953E-2</v>
      </c>
      <c r="L50">
        <v>6.8291175122845993E-2</v>
      </c>
      <c r="M50">
        <v>5.0340630661136483E-2</v>
      </c>
      <c r="N50">
        <v>-1.091248346912127E-2</v>
      </c>
      <c r="O50">
        <v>9.512993275798326E-2</v>
      </c>
      <c r="P50">
        <v>0.30964028450683551</v>
      </c>
      <c r="Q50">
        <v>0.36119569298650822</v>
      </c>
      <c r="R50">
        <v>0.36563136743090341</v>
      </c>
      <c r="S50">
        <v>0.38909589102556352</v>
      </c>
      <c r="T50">
        <v>0.17876717212273299</v>
      </c>
      <c r="U50">
        <v>0.35995163761056381</v>
      </c>
      <c r="V50">
        <v>0.5019935937487815</v>
      </c>
      <c r="W50">
        <v>0.35395196945941509</v>
      </c>
      <c r="X50">
        <v>0.46422056303001941</v>
      </c>
      <c r="Y50">
        <v>0.40529771193617808</v>
      </c>
      <c r="Z50">
        <v>3.2074455998950813E-2</v>
      </c>
      <c r="AA50">
        <v>4.1731919252026572E-2</v>
      </c>
      <c r="AB50">
        <v>-2.933992689854947E-2</v>
      </c>
      <c r="AC50">
        <v>-4.769584483826611E-2</v>
      </c>
      <c r="AD50">
        <v>-6.4657751243368811E-5</v>
      </c>
      <c r="AE50">
        <v>3.0554268417054269E-2</v>
      </c>
      <c r="AF50">
        <v>8.7738290864728952E-2</v>
      </c>
      <c r="AG50">
        <v>2.6468296768709931E-2</v>
      </c>
      <c r="AH50">
        <v>-9.2141428701243144E-2</v>
      </c>
      <c r="AI50">
        <v>-1.0369316593113751</v>
      </c>
      <c r="AJ50">
        <v>-1.0990380217486391</v>
      </c>
      <c r="AK50">
        <v>-0.28374873177806631</v>
      </c>
      <c r="AL50">
        <v>-0.19010019955077509</v>
      </c>
      <c r="AM50">
        <v>-0.21580778876663129</v>
      </c>
      <c r="AN50">
        <v>-0.1302982472883224</v>
      </c>
      <c r="AO50">
        <v>-0.2174016993104991</v>
      </c>
      <c r="AP50">
        <v>-0.22943349634487989</v>
      </c>
      <c r="AQ50">
        <v>9.731316237151233E-3</v>
      </c>
      <c r="AR50">
        <v>2.8177193893617059E-2</v>
      </c>
      <c r="AS50">
        <v>4.6474769578570267E-2</v>
      </c>
      <c r="AT50">
        <v>9.6615793231934755E-2</v>
      </c>
      <c r="AU50">
        <v>-3.0825556308648191E-2</v>
      </c>
      <c r="AV50">
        <v>-3.9255957009983189E-2</v>
      </c>
      <c r="AW50">
        <v>-0.10303541860198021</v>
      </c>
      <c r="AX50">
        <v>-0.17482588526291731</v>
      </c>
      <c r="AY50">
        <v>-0.30242677410225238</v>
      </c>
      <c r="AZ50">
        <v>-0.22423201810172511</v>
      </c>
      <c r="BA50">
        <v>-0.24407812851072769</v>
      </c>
      <c r="BB50">
        <v>-0.24730435871373629</v>
      </c>
      <c r="BC50">
        <v>-0.1503897880740232</v>
      </c>
      <c r="BD50">
        <v>-9.657823435196472E-2</v>
      </c>
      <c r="BE50">
        <v>-0.27496716862664777</v>
      </c>
      <c r="BF50">
        <v>-0.18584815368561081</v>
      </c>
      <c r="BG50">
        <v>-0.2533514254663366</v>
      </c>
      <c r="BH50">
        <v>-0.22126191120462321</v>
      </c>
      <c r="BI50">
        <v>-0.1964554990939554</v>
      </c>
      <c r="BJ50">
        <v>-0.19212612570981341</v>
      </c>
      <c r="BK50">
        <v>-0.21915980175881811</v>
      </c>
      <c r="BL50">
        <v>-0.2599554589941297</v>
      </c>
      <c r="BM50">
        <v>-0.1432872943581642</v>
      </c>
      <c r="BN50">
        <v>-0.17703763858216429</v>
      </c>
      <c r="BO50">
        <v>-0.2340729255051493</v>
      </c>
      <c r="BP50">
        <v>-0.2419084587770956</v>
      </c>
      <c r="BQ50">
        <v>-0.17073501170256361</v>
      </c>
      <c r="BR50">
        <v>-0.15981690816025659</v>
      </c>
      <c r="BS50">
        <v>-0.17358391233358361</v>
      </c>
      <c r="BT50">
        <v>-0.1081127515810634</v>
      </c>
      <c r="BU50">
        <v>-0.26644132432140838</v>
      </c>
      <c r="BV50">
        <v>-0.1032224392426645</v>
      </c>
      <c r="BW50">
        <v>-0.20228814841119239</v>
      </c>
      <c r="BX50">
        <v>-0.1697810776327027</v>
      </c>
      <c r="BY50">
        <v>-9.9333996440815475E-2</v>
      </c>
      <c r="BZ50">
        <v>-7.0917937077017434E-2</v>
      </c>
      <c r="CA50">
        <v>-0.1130727821776789</v>
      </c>
      <c r="CB50" s="7">
        <v>-0.36425744801673771</v>
      </c>
      <c r="CC50">
        <v>-0.37225225134074919</v>
      </c>
    </row>
    <row r="51" spans="1:81" x14ac:dyDescent="0.35">
      <c r="A51" t="s">
        <v>86</v>
      </c>
      <c r="B51">
        <v>129.93915298366881</v>
      </c>
      <c r="C51">
        <v>133.329520372665</v>
      </c>
      <c r="D51">
        <v>133.52621310648101</v>
      </c>
      <c r="E51">
        <v>130.6543144721436</v>
      </c>
      <c r="F51">
        <v>133.4024325283188</v>
      </c>
      <c r="G51">
        <v>136.7252000560305</v>
      </c>
      <c r="H51">
        <v>138.70096773562739</v>
      </c>
      <c r="I51">
        <v>139.86966985607921</v>
      </c>
      <c r="J51">
        <v>138.3615306069147</v>
      </c>
      <c r="K51">
        <v>135.94677324394129</v>
      </c>
      <c r="L51">
        <v>135.4639689402438</v>
      </c>
      <c r="M51">
        <v>133.85940205022129</v>
      </c>
      <c r="N51">
        <v>134.16821020492861</v>
      </c>
      <c r="O51">
        <v>133.82153384344801</v>
      </c>
      <c r="P51">
        <v>134.65583376289121</v>
      </c>
      <c r="Q51">
        <v>134.61439687369759</v>
      </c>
      <c r="R51">
        <v>134.49207395031669</v>
      </c>
      <c r="S51">
        <v>133.3532786963782</v>
      </c>
      <c r="T51">
        <v>131.26916087250851</v>
      </c>
      <c r="U51">
        <v>131.87113601041739</v>
      </c>
      <c r="V51">
        <v>130.17903709773711</v>
      </c>
      <c r="W51">
        <v>129.892931163236</v>
      </c>
      <c r="X51">
        <v>129.5745161962823</v>
      </c>
      <c r="Y51">
        <v>127.3771099766101</v>
      </c>
      <c r="Z51">
        <v>127.0498344770308</v>
      </c>
      <c r="AA51">
        <v>127.189072054539</v>
      </c>
      <c r="AB51">
        <v>127.93685920098849</v>
      </c>
      <c r="AC51">
        <v>128.66754145021301</v>
      </c>
      <c r="AD51">
        <v>130.17831065439501</v>
      </c>
      <c r="AE51">
        <v>130.959905065821</v>
      </c>
      <c r="AF51">
        <v>130.59292833090589</v>
      </c>
      <c r="AG51">
        <v>129.44009640743261</v>
      </c>
      <c r="AH51">
        <v>128.72758656040901</v>
      </c>
      <c r="AI51">
        <v>127.0557082118959</v>
      </c>
      <c r="AJ51">
        <v>127.0225943123658</v>
      </c>
      <c r="AK51">
        <v>128.36408695068101</v>
      </c>
      <c r="AL51">
        <v>128.11138342971711</v>
      </c>
      <c r="AM51">
        <v>130.13800602494729</v>
      </c>
      <c r="AN51">
        <v>128.68935642630319</v>
      </c>
      <c r="AO51">
        <v>127.3573968588494</v>
      </c>
      <c r="AP51">
        <v>133.08233141077699</v>
      </c>
      <c r="AQ51">
        <v>131.8045356788034</v>
      </c>
      <c r="AR51">
        <v>132.06448700520409</v>
      </c>
      <c r="AS51">
        <v>134.5106609956448</v>
      </c>
      <c r="AT51">
        <v>135.17873851911031</v>
      </c>
      <c r="AU51">
        <v>136.2327580821167</v>
      </c>
      <c r="AV51">
        <v>136.47867205520049</v>
      </c>
      <c r="AW51">
        <v>136.238172842198</v>
      </c>
      <c r="AX51">
        <v>134.9777513370733</v>
      </c>
      <c r="AY51">
        <v>135.52163890135961</v>
      </c>
      <c r="AZ51">
        <v>135.31474808866309</v>
      </c>
      <c r="BA51">
        <v>136.24556753357061</v>
      </c>
      <c r="BB51">
        <v>137.20104940137369</v>
      </c>
      <c r="BC51">
        <v>137.7983505346867</v>
      </c>
      <c r="BD51">
        <v>137.06133606652719</v>
      </c>
      <c r="BE51">
        <v>137.17961884174929</v>
      </c>
      <c r="BF51">
        <v>137.96830646730459</v>
      </c>
      <c r="BG51">
        <v>137.74322763044731</v>
      </c>
      <c r="BH51">
        <v>137.92171798909661</v>
      </c>
      <c r="BI51">
        <v>138.49624409016371</v>
      </c>
      <c r="BJ51">
        <v>138.46844505393429</v>
      </c>
      <c r="BK51">
        <v>138.81053888312809</v>
      </c>
      <c r="BL51">
        <v>138.57273262367431</v>
      </c>
      <c r="BM51">
        <v>139.72878192144091</v>
      </c>
      <c r="BN51">
        <v>141.53812791234429</v>
      </c>
      <c r="BO51">
        <v>142.52077071467809</v>
      </c>
      <c r="BP51">
        <v>142.2877804397198</v>
      </c>
      <c r="BQ51">
        <v>141.3994074107562</v>
      </c>
      <c r="BR51">
        <v>141.39221281704559</v>
      </c>
      <c r="BS51">
        <v>143.13475083242739</v>
      </c>
      <c r="BT51">
        <v>143.44650924381151</v>
      </c>
      <c r="BU51">
        <v>144.8859656744275</v>
      </c>
      <c r="BV51">
        <v>145.37773864114521</v>
      </c>
      <c r="BW51">
        <v>145.24167214639061</v>
      </c>
      <c r="BX51">
        <v>145.16527620759669</v>
      </c>
      <c r="BY51">
        <v>145.06867627514069</v>
      </c>
      <c r="BZ51">
        <v>145.36908020449519</v>
      </c>
      <c r="CA51">
        <v>146.39869540079519</v>
      </c>
      <c r="CB51" s="7">
        <v>145.90091237031299</v>
      </c>
      <c r="CC51">
        <v>145.7986489327001</v>
      </c>
    </row>
    <row r="52" spans="1:81" x14ac:dyDescent="0.35">
      <c r="A52" t="s">
        <v>87</v>
      </c>
      <c r="B52">
        <v>9943147.6400000006</v>
      </c>
      <c r="C52">
        <v>10997608.470000001</v>
      </c>
      <c r="D52">
        <v>21591290.640000001</v>
      </c>
      <c r="E52">
        <v>17071464.059999999</v>
      </c>
      <c r="F52">
        <v>15883928.32</v>
      </c>
      <c r="G52">
        <v>14076355.16</v>
      </c>
      <c r="H52">
        <v>15692415.66</v>
      </c>
      <c r="I52">
        <v>16583522.57</v>
      </c>
      <c r="J52">
        <v>15207176.529999999</v>
      </c>
      <c r="K52">
        <v>15753717.08</v>
      </c>
      <c r="L52">
        <v>15142274.92</v>
      </c>
      <c r="M52">
        <v>18765433.09</v>
      </c>
      <c r="N52">
        <v>19851849.16</v>
      </c>
      <c r="O52">
        <v>23262361.370000001</v>
      </c>
      <c r="P52">
        <v>47421532</v>
      </c>
      <c r="Q52">
        <v>50956937.689999998</v>
      </c>
      <c r="R52">
        <v>37989286.770000003</v>
      </c>
      <c r="S52">
        <v>39115690.240000002</v>
      </c>
      <c r="T52">
        <v>34373406.630000003</v>
      </c>
      <c r="U52">
        <v>31788703.329999998</v>
      </c>
      <c r="V52">
        <v>30389644.960000001</v>
      </c>
      <c r="W52">
        <v>26292461.309999999</v>
      </c>
      <c r="X52">
        <v>23826246.489999998</v>
      </c>
      <c r="Y52">
        <v>23526328.469999999</v>
      </c>
      <c r="Z52">
        <v>21418529.5</v>
      </c>
      <c r="AA52">
        <v>21494245.050000001</v>
      </c>
      <c r="AB52">
        <v>32898631.670000002</v>
      </c>
      <c r="AC52">
        <v>23991924.84</v>
      </c>
      <c r="AD52">
        <v>22121883.34</v>
      </c>
      <c r="AE52">
        <v>22360637.84</v>
      </c>
      <c r="AF52">
        <v>16148890.43</v>
      </c>
      <c r="AG52">
        <v>20202682.469999999</v>
      </c>
      <c r="AH52">
        <v>20971222.629999999</v>
      </c>
      <c r="AI52">
        <v>22854424.23</v>
      </c>
      <c r="AJ52">
        <v>20339328.350000001</v>
      </c>
      <c r="AK52">
        <v>21746923.219999999</v>
      </c>
      <c r="AL52">
        <v>23412252.57</v>
      </c>
      <c r="AM52">
        <v>21902328.84</v>
      </c>
      <c r="AN52">
        <v>23209037.469999999</v>
      </c>
      <c r="AO52">
        <v>7662053.5300000003</v>
      </c>
      <c r="AP52">
        <v>22423618.18</v>
      </c>
      <c r="AQ52">
        <v>30538738.75</v>
      </c>
      <c r="AR52">
        <v>26987044.77</v>
      </c>
      <c r="AS52">
        <v>26268887.02</v>
      </c>
      <c r="AT52">
        <v>21025892.57</v>
      </c>
      <c r="AU52">
        <v>25193003.059999999</v>
      </c>
      <c r="AV52">
        <v>27072441.190000001</v>
      </c>
      <c r="AW52">
        <v>25402381.789999999</v>
      </c>
      <c r="AX52">
        <v>28624233.039999999</v>
      </c>
      <c r="AY52">
        <v>30945596.02</v>
      </c>
      <c r="AZ52">
        <v>55980120.229999997</v>
      </c>
      <c r="BA52">
        <v>43143733.429999992</v>
      </c>
      <c r="BB52">
        <v>33170856.539999999</v>
      </c>
      <c r="BC52">
        <v>25556687.399999999</v>
      </c>
      <c r="BD52">
        <v>29642143.02</v>
      </c>
      <c r="BE52">
        <v>24877777.460000001</v>
      </c>
      <c r="BF52">
        <v>26538139.870000001</v>
      </c>
      <c r="BG52">
        <v>31780065.59</v>
      </c>
      <c r="BH52">
        <v>28146951.18</v>
      </c>
      <c r="BI52">
        <v>32172142.370000001</v>
      </c>
      <c r="BJ52">
        <v>38477597.130000003</v>
      </c>
      <c r="BK52">
        <v>41691974.539999999</v>
      </c>
      <c r="BL52">
        <v>70959286.360000014</v>
      </c>
      <c r="BM52">
        <v>53071976.030000001</v>
      </c>
      <c r="BN52">
        <v>39675697.229999997</v>
      </c>
      <c r="BO52">
        <v>37404344.810000002</v>
      </c>
      <c r="BP52">
        <v>39053427.369999997</v>
      </c>
      <c r="BQ52">
        <v>33437034.600000001</v>
      </c>
      <c r="BR52">
        <v>36171977.130000003</v>
      </c>
      <c r="BS52">
        <v>38482419.890000001</v>
      </c>
      <c r="BT52">
        <v>27220312.309999999</v>
      </c>
      <c r="BU52">
        <v>25710349.010000002</v>
      </c>
      <c r="BV52">
        <v>27067424.379999999</v>
      </c>
      <c r="BW52">
        <v>26545115.27</v>
      </c>
      <c r="BX52">
        <v>42027346.969999999</v>
      </c>
      <c r="BY52">
        <v>26254954.359999999</v>
      </c>
      <c r="BZ52">
        <v>17392589.59</v>
      </c>
      <c r="CA52">
        <v>16770443.52</v>
      </c>
      <c r="CB52" s="7">
        <v>15961965.34</v>
      </c>
      <c r="CC52">
        <v>5895324.8200000003</v>
      </c>
    </row>
    <row r="53" spans="1:81" x14ac:dyDescent="0.35">
      <c r="A53" t="s">
        <v>88</v>
      </c>
      <c r="B53">
        <v>1.5553008385306539</v>
      </c>
      <c r="C53">
        <v>1.4863392004713269</v>
      </c>
      <c r="D53">
        <v>1.4263274674531521</v>
      </c>
      <c r="E53">
        <v>1.431859006687608</v>
      </c>
      <c r="F53">
        <v>1.48248217962787</v>
      </c>
      <c r="G53">
        <v>1.423782102756995</v>
      </c>
      <c r="H53">
        <v>1.285417339480621</v>
      </c>
      <c r="I53">
        <v>1.2341541044337381</v>
      </c>
      <c r="J53">
        <v>1.2879043606552369</v>
      </c>
      <c r="K53">
        <v>1.341487648624295</v>
      </c>
      <c r="L53">
        <v>1.378231260114799</v>
      </c>
      <c r="M53">
        <v>1.3835096922553729</v>
      </c>
      <c r="N53">
        <v>1.396204542777701</v>
      </c>
      <c r="O53">
        <v>1.4103545851219661</v>
      </c>
      <c r="P53">
        <v>1.3177071049758251</v>
      </c>
      <c r="Q53">
        <v>1.2624783410262439</v>
      </c>
      <c r="R53">
        <v>1.26683370684166</v>
      </c>
      <c r="S53">
        <v>1.2584448839985189</v>
      </c>
      <c r="T53">
        <v>1.296060639911832</v>
      </c>
      <c r="U53">
        <v>1.3505549102251311</v>
      </c>
      <c r="V53">
        <v>1.3764770574995731</v>
      </c>
      <c r="W53">
        <v>1.3693268957717371</v>
      </c>
      <c r="X53">
        <v>1.349711608833339</v>
      </c>
      <c r="Y53">
        <v>1.404936484419242</v>
      </c>
      <c r="Z53">
        <v>1.388696950941869</v>
      </c>
      <c r="AA53">
        <v>1.3985529689011209</v>
      </c>
      <c r="AB53">
        <v>1.3917220072865679</v>
      </c>
      <c r="AC53">
        <v>1.3750485664695491</v>
      </c>
      <c r="AD53">
        <v>1.369546575015391</v>
      </c>
      <c r="AE53">
        <v>1.2894615876888951</v>
      </c>
      <c r="AF53">
        <v>1.2906586846248029</v>
      </c>
      <c r="AG53">
        <v>1.3065375508445289</v>
      </c>
      <c r="AH53">
        <v>1.280058684901368</v>
      </c>
      <c r="AI53">
        <v>1.310995039281867</v>
      </c>
      <c r="AJ53">
        <v>1.362718068206598</v>
      </c>
      <c r="AK53">
        <v>1.3713304178347669</v>
      </c>
      <c r="AL53">
        <v>1.3492284970414159</v>
      </c>
      <c r="AM53">
        <v>1.3148935265223041</v>
      </c>
      <c r="AN53">
        <v>1.474350452290049</v>
      </c>
      <c r="AO53">
        <v>1.7360040569961941</v>
      </c>
      <c r="AP53">
        <v>1.290510676098926</v>
      </c>
      <c r="AQ53">
        <v>1.260914116907407</v>
      </c>
      <c r="AR53">
        <v>1.2484117804404249</v>
      </c>
      <c r="AS53">
        <v>1.2460945692273619</v>
      </c>
      <c r="AT53">
        <v>1.282114102905066</v>
      </c>
      <c r="AU53">
        <v>1.2813119307133201</v>
      </c>
      <c r="AV53">
        <v>1.30776025016041</v>
      </c>
      <c r="AW53">
        <v>1.3364213815653909</v>
      </c>
      <c r="AX53">
        <v>1.3449602820468101</v>
      </c>
      <c r="AY53">
        <v>1.328907289477723</v>
      </c>
      <c r="AZ53">
        <v>1.2961730776553571</v>
      </c>
      <c r="BA53">
        <v>1.294404443975006</v>
      </c>
      <c r="BB53">
        <v>1.304325754146872</v>
      </c>
      <c r="BC53">
        <v>1.30436273414235</v>
      </c>
      <c r="BD53">
        <v>1.319107744105974</v>
      </c>
      <c r="BE53">
        <v>1.3131107245025759</v>
      </c>
      <c r="BF53">
        <v>1.3105962922166059</v>
      </c>
      <c r="BG53">
        <v>1.342025224158705</v>
      </c>
      <c r="BH53">
        <v>1.349746411221769</v>
      </c>
      <c r="BI53">
        <v>1.343922889873127</v>
      </c>
      <c r="BJ53">
        <v>1.3529737202529271</v>
      </c>
      <c r="BK53">
        <v>1.3395681748139341</v>
      </c>
      <c r="BL53">
        <v>1.314619776623398</v>
      </c>
      <c r="BM53">
        <v>1.3119860186970009</v>
      </c>
      <c r="BN53">
        <v>1.294367870585859</v>
      </c>
      <c r="BO53">
        <v>1.2989849450009849</v>
      </c>
      <c r="BP53">
        <v>1.305755740083846</v>
      </c>
      <c r="BQ53">
        <v>1.308324334544414</v>
      </c>
      <c r="BR53">
        <v>1.308876740681536</v>
      </c>
      <c r="BS53">
        <v>1.3031742922067551</v>
      </c>
      <c r="BT53">
        <v>1.310261094522474</v>
      </c>
      <c r="BU53">
        <v>1.348607780338452</v>
      </c>
      <c r="BV53">
        <v>1.351263501275104</v>
      </c>
      <c r="BW53">
        <v>1.342699860943906</v>
      </c>
      <c r="BX53">
        <v>1.3127715804471061</v>
      </c>
      <c r="BY53">
        <v>1.3062629391688181</v>
      </c>
      <c r="BZ53">
        <v>1.3000315958870039</v>
      </c>
      <c r="CA53">
        <v>1.334339843477713</v>
      </c>
      <c r="CB53" s="7">
        <v>1.3435061114848841</v>
      </c>
      <c r="CC53">
        <v>1.3230331773052071</v>
      </c>
    </row>
    <row r="54" spans="1:81" x14ac:dyDescent="0.35">
      <c r="A54" t="s">
        <v>89</v>
      </c>
      <c r="B54">
        <v>0.20885588232832469</v>
      </c>
      <c r="C54">
        <v>0.2251591522799502</v>
      </c>
      <c r="D54">
        <v>0.2274755047437961</v>
      </c>
      <c r="E54">
        <v>0.2307151746371072</v>
      </c>
      <c r="F54">
        <v>0.23149662776777119</v>
      </c>
      <c r="G54">
        <v>0.23186030364979801</v>
      </c>
      <c r="H54">
        <v>0.22934988104291651</v>
      </c>
      <c r="I54">
        <v>0.23070471073402349</v>
      </c>
      <c r="J54">
        <v>0.23421399528206829</v>
      </c>
      <c r="K54">
        <v>0.23417541694496399</v>
      </c>
      <c r="L54">
        <v>0.2340244117839593</v>
      </c>
      <c r="M54">
        <v>0.23428084813341229</v>
      </c>
      <c r="N54">
        <v>0.23515589262098741</v>
      </c>
      <c r="O54">
        <v>0.2336410009606002</v>
      </c>
      <c r="P54">
        <v>0.23057656736418811</v>
      </c>
      <c r="Q54">
        <v>0.22984006152876421</v>
      </c>
      <c r="R54">
        <v>0.22977669475098711</v>
      </c>
      <c r="S54">
        <v>0.22944148727106339</v>
      </c>
      <c r="T54">
        <v>0.23244618325538949</v>
      </c>
      <c r="U54">
        <v>0.2298578337484205</v>
      </c>
      <c r="V54">
        <v>0.22782866294644599</v>
      </c>
      <c r="W54">
        <v>0.22994354329343689</v>
      </c>
      <c r="X54">
        <v>0.22836827767099971</v>
      </c>
      <c r="Y54">
        <v>0.22921003268662599</v>
      </c>
      <c r="Z54">
        <v>0.23454179348572929</v>
      </c>
      <c r="AA54">
        <v>0.23440382972497101</v>
      </c>
      <c r="AB54">
        <v>0.23541914181283641</v>
      </c>
      <c r="AC54">
        <v>0.23568136921197519</v>
      </c>
      <c r="AD54">
        <v>0.23500092368216061</v>
      </c>
      <c r="AE54">
        <v>0.2345635104511849</v>
      </c>
      <c r="AF54">
        <v>0.2337465958447896</v>
      </c>
      <c r="AG54">
        <v>0.2346218814747327</v>
      </c>
      <c r="AH54">
        <v>0.23631630612430349</v>
      </c>
      <c r="AI54">
        <v>0.24981330941873389</v>
      </c>
      <c r="AJ54">
        <v>0.25070054316783769</v>
      </c>
      <c r="AK54">
        <v>0.23905355331111519</v>
      </c>
      <c r="AL54">
        <v>0.2377157171364396</v>
      </c>
      <c r="AM54">
        <v>0.23808296841095189</v>
      </c>
      <c r="AN54">
        <v>0.23686140353269031</v>
      </c>
      <c r="AO54">
        <v>0.23810573856157849</v>
      </c>
      <c r="AP54">
        <v>0.23827762137635539</v>
      </c>
      <c r="AQ54">
        <v>0.23486098119661211</v>
      </c>
      <c r="AR54">
        <v>0.2345974686586626</v>
      </c>
      <c r="AS54">
        <v>0.2343360747203061</v>
      </c>
      <c r="AT54">
        <v>0.23361977438240089</v>
      </c>
      <c r="AU54">
        <v>0.2354403650901235</v>
      </c>
      <c r="AV54">
        <v>0.23556079938585689</v>
      </c>
      <c r="AW54">
        <v>0.23647193455145679</v>
      </c>
      <c r="AX54">
        <v>0.23749751264661309</v>
      </c>
      <c r="AY54">
        <v>0.23932038248717499</v>
      </c>
      <c r="AZ54">
        <v>0.23820331454431029</v>
      </c>
      <c r="BA54">
        <v>0.2384868304072961</v>
      </c>
      <c r="BB54">
        <v>0.23853291941019619</v>
      </c>
      <c r="BC54">
        <v>0.2371484255439146</v>
      </c>
      <c r="BD54">
        <v>0.23637968906217091</v>
      </c>
      <c r="BE54">
        <v>0.2389281024089521</v>
      </c>
      <c r="BF54">
        <v>0.23765497362408011</v>
      </c>
      <c r="BG54">
        <v>0.23861930607809051</v>
      </c>
      <c r="BH54">
        <v>0.23816088444578029</v>
      </c>
      <c r="BI54">
        <v>0.23780650712991361</v>
      </c>
      <c r="BJ54">
        <v>0.23774465893871161</v>
      </c>
      <c r="BK54">
        <v>0.23813085431084019</v>
      </c>
      <c r="BL54">
        <v>0.23871364941420181</v>
      </c>
      <c r="BM54">
        <v>0.23704696134797379</v>
      </c>
      <c r="BN54">
        <v>0.23752910912260231</v>
      </c>
      <c r="BO54">
        <v>0.23834389893578781</v>
      </c>
      <c r="BP54">
        <v>0.23845583512538709</v>
      </c>
      <c r="BQ54">
        <v>0.23743907159575089</v>
      </c>
      <c r="BR54">
        <v>0.23728309868800371</v>
      </c>
      <c r="BS54">
        <v>0.23747977017619401</v>
      </c>
      <c r="BT54">
        <v>0.23654446787972949</v>
      </c>
      <c r="BU54">
        <v>0.23880630463316299</v>
      </c>
      <c r="BV54">
        <v>0.23647460627489519</v>
      </c>
      <c r="BW54">
        <v>0.23788983069158839</v>
      </c>
      <c r="BX54">
        <v>0.23742544396618151</v>
      </c>
      <c r="BY54">
        <v>0.23641905709201161</v>
      </c>
      <c r="BZ54">
        <v>0.23601311338681449</v>
      </c>
      <c r="CA54">
        <v>0.23661532545968109</v>
      </c>
      <c r="CB54" s="7">
        <v>0.2402036778288105</v>
      </c>
      <c r="CC54">
        <v>0.2403178893048678</v>
      </c>
    </row>
    <row r="56" spans="1:81" x14ac:dyDescent="0.35">
      <c r="A56" t="s">
        <v>94</v>
      </c>
      <c r="B56" t="s">
        <v>1</v>
      </c>
      <c r="C56" t="s">
        <v>2</v>
      </c>
      <c r="D56" t="s">
        <v>3</v>
      </c>
      <c r="E56" t="s">
        <v>4</v>
      </c>
      <c r="F56" t="s">
        <v>5</v>
      </c>
      <c r="G56" t="s">
        <v>6</v>
      </c>
      <c r="H56" t="s">
        <v>7</v>
      </c>
      <c r="I56" t="s">
        <v>8</v>
      </c>
      <c r="J56" t="s">
        <v>9</v>
      </c>
      <c r="K56" t="s">
        <v>10</v>
      </c>
      <c r="L56" t="s">
        <v>11</v>
      </c>
      <c r="M56" t="s">
        <v>12</v>
      </c>
      <c r="N56" t="s">
        <v>13</v>
      </c>
      <c r="O56" t="s">
        <v>14</v>
      </c>
      <c r="P56" t="s">
        <v>15</v>
      </c>
      <c r="Q56" t="s">
        <v>16</v>
      </c>
      <c r="R56" t="s">
        <v>17</v>
      </c>
      <c r="S56" t="s">
        <v>18</v>
      </c>
      <c r="T56" t="s">
        <v>19</v>
      </c>
      <c r="U56" t="s">
        <v>20</v>
      </c>
      <c r="V56" t="s">
        <v>21</v>
      </c>
      <c r="W56" t="s">
        <v>22</v>
      </c>
      <c r="X56" t="s">
        <v>23</v>
      </c>
      <c r="Y56" t="s">
        <v>24</v>
      </c>
      <c r="Z56" t="s">
        <v>25</v>
      </c>
      <c r="AA56" t="s">
        <v>26</v>
      </c>
      <c r="AB56" t="s">
        <v>27</v>
      </c>
      <c r="AC56" t="s">
        <v>28</v>
      </c>
      <c r="AD56" t="s">
        <v>29</v>
      </c>
      <c r="AE56" t="s">
        <v>30</v>
      </c>
      <c r="AF56" t="s">
        <v>31</v>
      </c>
      <c r="AG56" t="s">
        <v>32</v>
      </c>
      <c r="AH56" t="s">
        <v>33</v>
      </c>
      <c r="AI56" t="s">
        <v>34</v>
      </c>
      <c r="AJ56" t="s">
        <v>35</v>
      </c>
      <c r="AK56" t="s">
        <v>36</v>
      </c>
      <c r="AL56" t="s">
        <v>37</v>
      </c>
      <c r="AM56" t="s">
        <v>38</v>
      </c>
      <c r="AN56" t="s">
        <v>39</v>
      </c>
      <c r="AO56" t="s">
        <v>40</v>
      </c>
      <c r="AP56" t="s">
        <v>41</v>
      </c>
      <c r="AQ56" t="s">
        <v>42</v>
      </c>
      <c r="AR56" t="s">
        <v>43</v>
      </c>
      <c r="AS56" t="s">
        <v>44</v>
      </c>
      <c r="AT56" t="s">
        <v>45</v>
      </c>
      <c r="AU56" t="s">
        <v>46</v>
      </c>
      <c r="AV56" t="s">
        <v>47</v>
      </c>
      <c r="AW56" t="s">
        <v>48</v>
      </c>
      <c r="AX56" t="s">
        <v>49</v>
      </c>
      <c r="AY56" t="s">
        <v>50</v>
      </c>
      <c r="AZ56" t="s">
        <v>51</v>
      </c>
      <c r="BA56" t="s">
        <v>52</v>
      </c>
      <c r="BB56" t="s">
        <v>53</v>
      </c>
      <c r="BC56" t="s">
        <v>54</v>
      </c>
      <c r="BD56" t="s">
        <v>55</v>
      </c>
      <c r="BE56" t="s">
        <v>56</v>
      </c>
      <c r="BF56" t="s">
        <v>57</v>
      </c>
      <c r="BG56" t="s">
        <v>58</v>
      </c>
      <c r="BH56" t="s">
        <v>59</v>
      </c>
      <c r="BI56" t="s">
        <v>60</v>
      </c>
      <c r="BJ56" t="s">
        <v>61</v>
      </c>
      <c r="BK56" t="s">
        <v>62</v>
      </c>
      <c r="BL56" t="s">
        <v>63</v>
      </c>
      <c r="BM56" t="s">
        <v>64</v>
      </c>
      <c r="BN56" t="s">
        <v>65</v>
      </c>
      <c r="BO56" t="s">
        <v>66</v>
      </c>
      <c r="BP56" t="s">
        <v>67</v>
      </c>
      <c r="BQ56" t="s">
        <v>68</v>
      </c>
      <c r="BR56" t="s">
        <v>69</v>
      </c>
      <c r="BS56" t="s">
        <v>70</v>
      </c>
      <c r="BT56" t="s">
        <v>71</v>
      </c>
      <c r="BU56" t="s">
        <v>72</v>
      </c>
      <c r="BV56" t="s">
        <v>73</v>
      </c>
      <c r="BW56" t="s">
        <v>74</v>
      </c>
      <c r="BX56" t="s">
        <v>75</v>
      </c>
      <c r="BY56" t="s">
        <v>76</v>
      </c>
      <c r="BZ56" t="s">
        <v>77</v>
      </c>
      <c r="CA56" t="s">
        <v>78</v>
      </c>
      <c r="CB56" s="7" t="s">
        <v>79</v>
      </c>
      <c r="CC56" t="s">
        <v>80</v>
      </c>
    </row>
    <row r="57" spans="1:81" x14ac:dyDescent="0.35">
      <c r="A57" t="s">
        <v>81</v>
      </c>
      <c r="B57">
        <v>136.0708942400334</v>
      </c>
      <c r="C57">
        <v>136.0717702129958</v>
      </c>
      <c r="D57">
        <v>135.58402948497479</v>
      </c>
      <c r="E57">
        <v>136.45711056261709</v>
      </c>
      <c r="F57">
        <v>138.3985631473594</v>
      </c>
      <c r="G57">
        <v>139.2246442603859</v>
      </c>
      <c r="H57">
        <v>139.32141826250611</v>
      </c>
      <c r="I57">
        <v>138.63634050953041</v>
      </c>
      <c r="J57">
        <v>138.29049839883641</v>
      </c>
      <c r="K57">
        <v>137.41781088566611</v>
      </c>
      <c r="L57">
        <v>136.54367446029769</v>
      </c>
      <c r="M57">
        <v>136.92165173933549</v>
      </c>
      <c r="N57">
        <v>136.31498217147461</v>
      </c>
      <c r="O57">
        <v>135.27071944744381</v>
      </c>
      <c r="P57">
        <v>135.16572962095799</v>
      </c>
      <c r="Q57">
        <v>135.83368035558809</v>
      </c>
      <c r="R57">
        <v>135.81796176161211</v>
      </c>
      <c r="S57">
        <v>135.53010207937999</v>
      </c>
      <c r="T57">
        <v>133.76718360786771</v>
      </c>
      <c r="U57">
        <v>136.00608653750629</v>
      </c>
      <c r="V57">
        <v>133.71151080806919</v>
      </c>
      <c r="W57">
        <v>133.80574031330471</v>
      </c>
      <c r="X57">
        <v>133.04793501495971</v>
      </c>
      <c r="Y57">
        <v>132.60728040402381</v>
      </c>
      <c r="Z57">
        <v>132.07908000996471</v>
      </c>
      <c r="AA57">
        <v>133.43161162186709</v>
      </c>
      <c r="AB57">
        <v>133.82978415814731</v>
      </c>
      <c r="AC57">
        <v>134.73083165300341</v>
      </c>
      <c r="AD57">
        <v>134.32815858542619</v>
      </c>
      <c r="AE57">
        <v>135.10463312148701</v>
      </c>
      <c r="AF57">
        <v>135.80842841479489</v>
      </c>
      <c r="AG57">
        <v>136.29524377822699</v>
      </c>
      <c r="AH57">
        <v>136.06811943254249</v>
      </c>
      <c r="AI57">
        <v>137.28382467968271</v>
      </c>
      <c r="AJ57">
        <v>138.6338471717923</v>
      </c>
      <c r="AK57">
        <v>139.28453224403339</v>
      </c>
      <c r="AL57">
        <v>140.3736864373499</v>
      </c>
      <c r="AM57">
        <v>139.82757650304791</v>
      </c>
      <c r="AN57">
        <v>140.15690615231989</v>
      </c>
      <c r="AO57">
        <v>140.4390194777973</v>
      </c>
      <c r="AP57">
        <v>140.74135284998039</v>
      </c>
      <c r="AQ57">
        <v>140.77825405368159</v>
      </c>
      <c r="AR57">
        <v>140.66079117173879</v>
      </c>
      <c r="AS57">
        <v>140.62777803319679</v>
      </c>
      <c r="AT57">
        <v>140.19163100764919</v>
      </c>
      <c r="AU57">
        <v>140.05399519862749</v>
      </c>
      <c r="AV57">
        <v>140.96294347745771</v>
      </c>
      <c r="AW57">
        <v>140.86159437364509</v>
      </c>
      <c r="AX57">
        <v>140.35898612743091</v>
      </c>
      <c r="AY57">
        <v>138.53189748075209</v>
      </c>
      <c r="AZ57">
        <v>140.0723209889359</v>
      </c>
      <c r="BA57">
        <v>140.5631436539216</v>
      </c>
      <c r="BB57">
        <v>140.5746103216018</v>
      </c>
      <c r="BC57">
        <v>140.16196181414921</v>
      </c>
      <c r="BD57">
        <v>139.70411415220599</v>
      </c>
      <c r="BE57">
        <v>139.74482952016109</v>
      </c>
      <c r="BF57">
        <v>140.25780253004771</v>
      </c>
      <c r="BG57">
        <v>140.23299798667739</v>
      </c>
      <c r="BH57">
        <v>139.560453990214</v>
      </c>
      <c r="BI57">
        <v>139.61342902766731</v>
      </c>
      <c r="BJ57">
        <v>140.00187422513321</v>
      </c>
      <c r="BK57">
        <v>139.58231385995111</v>
      </c>
      <c r="BL57">
        <v>139.69243477931039</v>
      </c>
      <c r="BM57">
        <v>139.81185596064211</v>
      </c>
      <c r="BN57">
        <v>139.80736887266229</v>
      </c>
      <c r="BO57">
        <v>139.99039728109071</v>
      </c>
      <c r="BP57">
        <v>140.13812276144949</v>
      </c>
      <c r="BQ57">
        <v>139.74641615198391</v>
      </c>
      <c r="BR57">
        <v>139.852726401778</v>
      </c>
      <c r="BS57">
        <v>140.19002198155829</v>
      </c>
      <c r="BT57">
        <v>140.75184859632159</v>
      </c>
      <c r="BU57">
        <v>141.8630778429746</v>
      </c>
      <c r="BV57">
        <v>141.7466082625333</v>
      </c>
      <c r="BW57">
        <v>142.07628750630369</v>
      </c>
      <c r="BX57">
        <v>142.44616016064541</v>
      </c>
      <c r="BY57">
        <v>142.91282874882421</v>
      </c>
      <c r="BZ57">
        <v>142.98220859294011</v>
      </c>
      <c r="CA57">
        <v>142.94548344593511</v>
      </c>
      <c r="CB57" s="7">
        <v>143.29708378049179</v>
      </c>
      <c r="CC57">
        <v>144.0644750820185</v>
      </c>
    </row>
    <row r="58" spans="1:81" x14ac:dyDescent="0.35">
      <c r="A58" t="s">
        <v>82</v>
      </c>
      <c r="B58">
        <v>4.5529049272910243</v>
      </c>
      <c r="C58">
        <v>4.461128297127658</v>
      </c>
      <c r="D58">
        <v>4.4094759825547953</v>
      </c>
      <c r="E58">
        <v>4.3147771404956927</v>
      </c>
      <c r="F58">
        <v>4.5316055109843774</v>
      </c>
      <c r="G58">
        <v>4.6369956906410152</v>
      </c>
      <c r="H58">
        <v>4.4973282014899496</v>
      </c>
      <c r="I58">
        <v>4.2855121861326211</v>
      </c>
      <c r="J58">
        <v>4.381609916558233</v>
      </c>
      <c r="K58">
        <v>4.2765798798081107</v>
      </c>
      <c r="L58">
        <v>3.984504736665087</v>
      </c>
      <c r="M58">
        <v>3.9485567117617681</v>
      </c>
      <c r="N58">
        <v>3.860878393202142</v>
      </c>
      <c r="O58">
        <v>3.934778523625738</v>
      </c>
      <c r="P58">
        <v>3.8188716445557991</v>
      </c>
      <c r="Q58">
        <v>3.6593521668934561</v>
      </c>
      <c r="R58">
        <v>3.5480356504450299</v>
      </c>
      <c r="S58">
        <v>3.5968863072854731</v>
      </c>
      <c r="T58">
        <v>3.690552592732331</v>
      </c>
      <c r="U58">
        <v>2.8192168016902031</v>
      </c>
      <c r="V58">
        <v>2.5611574587784109</v>
      </c>
      <c r="W58">
        <v>2.566014287106043</v>
      </c>
      <c r="X58">
        <v>2.2867707963595478</v>
      </c>
      <c r="Y58">
        <v>2.315471777390997</v>
      </c>
      <c r="Z58">
        <v>2.0348180108007341</v>
      </c>
      <c r="AA58">
        <v>1.4198145003713021</v>
      </c>
      <c r="AB58">
        <v>1.3298727129845249</v>
      </c>
      <c r="AC58">
        <v>1.523533438553244</v>
      </c>
      <c r="AD58">
        <v>1.3938229683905941</v>
      </c>
      <c r="AE58">
        <v>1.2784986870964301</v>
      </c>
      <c r="AF58">
        <v>1.2378038067083139</v>
      </c>
      <c r="AG58">
        <v>1.2186704018330941</v>
      </c>
      <c r="AH58">
        <v>1.1218291627424151</v>
      </c>
      <c r="AI58">
        <v>1.5888176141944541</v>
      </c>
      <c r="AJ58">
        <v>1.2480622199265949</v>
      </c>
      <c r="AK58">
        <v>1.2490267203680501</v>
      </c>
      <c r="AL58">
        <v>1.6857072621788229</v>
      </c>
      <c r="AM58">
        <v>1.1028445119647761</v>
      </c>
      <c r="AN58">
        <v>0.69706580424585241</v>
      </c>
      <c r="AO58">
        <v>1.001792067755702</v>
      </c>
      <c r="AP58">
        <v>1.4151657519811349</v>
      </c>
      <c r="AQ58">
        <v>1.459697419346611</v>
      </c>
      <c r="AR58">
        <v>1.5058327177393951</v>
      </c>
      <c r="AS58">
        <v>1.361426124041287</v>
      </c>
      <c r="AT58">
        <v>1.5110558649851671</v>
      </c>
      <c r="AU58">
        <v>1.2330577704697989</v>
      </c>
      <c r="AV58">
        <v>1.630416981563855</v>
      </c>
      <c r="AW58">
        <v>2.1516677110681428</v>
      </c>
      <c r="AX58">
        <v>1.381532758058853</v>
      </c>
      <c r="AY58">
        <v>0.88407265342809183</v>
      </c>
      <c r="AZ58">
        <v>1.478148107468428</v>
      </c>
      <c r="BA58">
        <v>1.9708698708330989</v>
      </c>
      <c r="BB58">
        <v>2.2814787335276492</v>
      </c>
      <c r="BC58">
        <v>2.295105851930288</v>
      </c>
      <c r="BD58">
        <v>2.0177801619990419</v>
      </c>
      <c r="BE58">
        <v>1.807590249584337</v>
      </c>
      <c r="BF58">
        <v>1.7205146094077579</v>
      </c>
      <c r="BG58">
        <v>1.7353923185441431</v>
      </c>
      <c r="BH58">
        <v>1.2623129386296059</v>
      </c>
      <c r="BI58">
        <v>0.8522653117406378</v>
      </c>
      <c r="BJ58">
        <v>0.94076299964442001</v>
      </c>
      <c r="BK58">
        <v>0.52141619402806327</v>
      </c>
      <c r="BL58">
        <v>0.41430187438112398</v>
      </c>
      <c r="BM58">
        <v>1.4725484604065571</v>
      </c>
      <c r="BN58">
        <v>1.920627633665674</v>
      </c>
      <c r="BO58">
        <v>2.0067262954865441</v>
      </c>
      <c r="BP58">
        <v>1.8580698584394499</v>
      </c>
      <c r="BQ58">
        <v>0.96114469037493677</v>
      </c>
      <c r="BR58">
        <v>1.042350417991855</v>
      </c>
      <c r="BS58">
        <v>1.563314909983234</v>
      </c>
      <c r="BT58">
        <v>1.2932256897715599</v>
      </c>
      <c r="BU58">
        <v>1.142851372851567</v>
      </c>
      <c r="BV58">
        <v>0.76210426134065301</v>
      </c>
      <c r="BW58">
        <v>0.28325445803042731</v>
      </c>
      <c r="BX58">
        <v>0.15175424193498091</v>
      </c>
      <c r="BY58">
        <v>0.41921512069785649</v>
      </c>
      <c r="BZ58">
        <v>0.35874767222813381</v>
      </c>
      <c r="CA58">
        <v>0.1619314744850158</v>
      </c>
      <c r="CB58" s="7">
        <v>0.26798049826081177</v>
      </c>
      <c r="CC58">
        <v>0.45400500711571112</v>
      </c>
    </row>
    <row r="59" spans="1:81" x14ac:dyDescent="0.35">
      <c r="A59" t="s">
        <v>83</v>
      </c>
      <c r="B59">
        <v>0.38581027250214073</v>
      </c>
      <c r="C59">
        <v>0.26747278184256229</v>
      </c>
      <c r="D59">
        <v>0.23472086735723369</v>
      </c>
      <c r="E59">
        <v>0.52427749863885931</v>
      </c>
      <c r="F59">
        <v>0.64108632220819251</v>
      </c>
      <c r="G59">
        <v>0.76600825676117534</v>
      </c>
      <c r="H59">
        <v>0.40883989951171412</v>
      </c>
      <c r="I59">
        <v>9.0015438970192208E-2</v>
      </c>
      <c r="J59">
        <v>0.26926882810645891</v>
      </c>
      <c r="K59">
        <v>0.3515809147483196</v>
      </c>
      <c r="L59">
        <v>0.71536970174529413</v>
      </c>
      <c r="M59">
        <v>0.8576374978122997</v>
      </c>
      <c r="N59">
        <v>0.63907226725784227</v>
      </c>
      <c r="O59">
        <v>0.73536382892980168</v>
      </c>
      <c r="P59">
        <v>0.83066400104844107</v>
      </c>
      <c r="Q59">
        <v>1.0320072309865529</v>
      </c>
      <c r="R59">
        <v>0.95559567471153994</v>
      </c>
      <c r="S59">
        <v>1.6531991996096571</v>
      </c>
      <c r="T59">
        <v>2.109375456070731</v>
      </c>
      <c r="U59">
        <v>1.966210109194088</v>
      </c>
      <c r="V59">
        <v>1.7993832343984659</v>
      </c>
      <c r="W59">
        <v>1.2335728385882161</v>
      </c>
      <c r="X59">
        <v>0.86380439004961906</v>
      </c>
      <c r="Y59">
        <v>0.89203715595722377</v>
      </c>
      <c r="Z59">
        <v>0.96195291250887249</v>
      </c>
      <c r="AA59">
        <v>0.63316379239473974</v>
      </c>
      <c r="AB59">
        <v>0.77659631841734778</v>
      </c>
      <c r="AC59">
        <v>0.41227009852296098</v>
      </c>
      <c r="AD59">
        <v>-3.072266495679031E-2</v>
      </c>
      <c r="AE59">
        <v>-9.3284448418400598E-2</v>
      </c>
      <c r="AF59">
        <v>-0.29733009233830199</v>
      </c>
      <c r="AG59">
        <v>-0.32178285174259252</v>
      </c>
      <c r="AH59">
        <v>-0.41484072743363748</v>
      </c>
      <c r="AI59">
        <v>-0.44838426452047181</v>
      </c>
      <c r="AJ59">
        <v>-0.36172902170893539</v>
      </c>
      <c r="AK59">
        <v>-0.68832657931754515</v>
      </c>
      <c r="AL59">
        <v>-0.79140081227581394</v>
      </c>
      <c r="AM59">
        <v>-0.94801357195228042</v>
      </c>
      <c r="AN59">
        <v>-0.87025311421250162</v>
      </c>
      <c r="AO59">
        <v>-0.43497326727274099</v>
      </c>
      <c r="AP59">
        <v>-0.1791935664676387</v>
      </c>
      <c r="AQ59">
        <v>-0.17089061430027569</v>
      </c>
      <c r="AR59">
        <v>-0.54956085179043079</v>
      </c>
      <c r="AS59">
        <v>-9.4589706536567078E-2</v>
      </c>
      <c r="AT59">
        <v>-0.27554713099453948</v>
      </c>
      <c r="AU59">
        <v>0.21754026519191649</v>
      </c>
      <c r="AV59">
        <v>-6.0722616778298058E-2</v>
      </c>
      <c r="AW59">
        <v>0.41968960495123742</v>
      </c>
      <c r="AX59">
        <v>0.35604144573316698</v>
      </c>
      <c r="AY59">
        <v>-0.1099262646952405</v>
      </c>
      <c r="AZ59">
        <v>-0.2174877832436212</v>
      </c>
      <c r="BA59">
        <v>0.27483985247005488</v>
      </c>
      <c r="BB59">
        <v>0.31678535616607062</v>
      </c>
      <c r="BC59">
        <v>0.2458022233564123</v>
      </c>
      <c r="BD59">
        <v>-6.711618740985921E-2</v>
      </c>
      <c r="BE59">
        <v>-0.45108748484153233</v>
      </c>
      <c r="BF59">
        <v>-0.60509184251125514</v>
      </c>
      <c r="BG59">
        <v>-0.44390879365110142</v>
      </c>
      <c r="BH59">
        <v>-0.37478261849450029</v>
      </c>
      <c r="BI59">
        <v>-0.64396879319821665</v>
      </c>
      <c r="BJ59">
        <v>-0.61012808594520507</v>
      </c>
      <c r="BK59">
        <v>-0.63216478644232921</v>
      </c>
      <c r="BL59">
        <v>-0.44430457030692511</v>
      </c>
      <c r="BM59">
        <v>-0.31754676131578857</v>
      </c>
      <c r="BN59">
        <v>0.28043561181924342</v>
      </c>
      <c r="BO59">
        <v>0.49197767212037341</v>
      </c>
      <c r="BP59">
        <v>0.54939236667127644</v>
      </c>
      <c r="BQ59">
        <v>0.80247748145893227</v>
      </c>
      <c r="BR59">
        <v>0.57267814831965347</v>
      </c>
      <c r="BS59">
        <v>0.73901911912783691</v>
      </c>
      <c r="BT59">
        <v>0.65730056303543394</v>
      </c>
      <c r="BU59">
        <v>1.4515248510512859</v>
      </c>
      <c r="BV59">
        <v>1.0032436426852041</v>
      </c>
      <c r="BW59">
        <v>0.68947157932599001</v>
      </c>
      <c r="BX59">
        <v>0.81194453291810376</v>
      </c>
      <c r="BY59">
        <v>1.16594990968957</v>
      </c>
      <c r="BZ59">
        <v>1.1084471218313989</v>
      </c>
      <c r="CA59">
        <v>0.57517584739043603</v>
      </c>
      <c r="CB59" s="7">
        <v>0.7444637257754666</v>
      </c>
      <c r="CC59">
        <v>0.75099977119359229</v>
      </c>
    </row>
    <row r="60" spans="1:81" x14ac:dyDescent="0.35">
      <c r="A60" t="s">
        <v>84</v>
      </c>
      <c r="B60">
        <v>-2.410522179663499</v>
      </c>
      <c r="C60">
        <v>-1.925067833293316</v>
      </c>
      <c r="D60">
        <v>-1.3881382512971889</v>
      </c>
      <c r="E60">
        <v>-2.398838803453418</v>
      </c>
      <c r="F60">
        <v>-2.637516180327633</v>
      </c>
      <c r="G60">
        <v>-1.8312432307702631</v>
      </c>
      <c r="H60">
        <v>-0.2936739246598804</v>
      </c>
      <c r="I60">
        <v>0.53242620107761185</v>
      </c>
      <c r="J60">
        <v>-7.3515674726408825E-2</v>
      </c>
      <c r="K60">
        <v>-1.396720470664454</v>
      </c>
      <c r="L60">
        <v>-2.2339848050696061</v>
      </c>
      <c r="M60">
        <v>-2.5320777858025991</v>
      </c>
      <c r="N60">
        <v>-2.087843163914644</v>
      </c>
      <c r="O60">
        <v>-0.85250987614924501</v>
      </c>
      <c r="P60">
        <v>1.8668388782515959</v>
      </c>
      <c r="Q60">
        <v>2.8026395835609552</v>
      </c>
      <c r="R60">
        <v>2.9500310788201438</v>
      </c>
      <c r="S60">
        <v>2.9009943074494582</v>
      </c>
      <c r="T60">
        <v>2.3412979554388871</v>
      </c>
      <c r="U60">
        <v>1.4935408593919739</v>
      </c>
      <c r="V60">
        <v>1.76405110831876</v>
      </c>
      <c r="W60">
        <v>1.8533455635620151</v>
      </c>
      <c r="X60">
        <v>1.606083561961154</v>
      </c>
      <c r="Y60">
        <v>1.545568122731561</v>
      </c>
      <c r="Z60">
        <v>-0.18974902404191479</v>
      </c>
      <c r="AA60">
        <v>-12.451432828166521</v>
      </c>
      <c r="AB60">
        <v>1.3617433697402479</v>
      </c>
      <c r="AC60">
        <v>0.44789369636174747</v>
      </c>
      <c r="AD60">
        <v>0.66707479590058405</v>
      </c>
      <c r="AE60">
        <v>0.6921524448068811</v>
      </c>
      <c r="AF60">
        <v>0.34138971583512823</v>
      </c>
      <c r="AG60">
        <v>-0.91724086908635138</v>
      </c>
      <c r="AH60">
        <v>-1.2560516174306999</v>
      </c>
      <c r="AI60">
        <v>-1.7342063927572871</v>
      </c>
      <c r="AJ60">
        <v>-2.517063024956899</v>
      </c>
      <c r="AK60">
        <v>-2.8523409442841161</v>
      </c>
      <c r="AL60">
        <v>-3.0559307952107631</v>
      </c>
      <c r="AM60">
        <v>-2.2600886574088208</v>
      </c>
      <c r="AN60">
        <v>-2.792330065778692</v>
      </c>
      <c r="AO60">
        <v>-1.5489722453085291</v>
      </c>
      <c r="AP60">
        <v>-0.9653653433864906</v>
      </c>
      <c r="AQ60">
        <v>-1.7220680016167</v>
      </c>
      <c r="AR60">
        <v>-3.7499553936526921</v>
      </c>
      <c r="AS60">
        <v>-3.5534070944358662</v>
      </c>
      <c r="AT60">
        <v>-3.7734554620600109</v>
      </c>
      <c r="AU60">
        <v>-3.2910678598756138</v>
      </c>
      <c r="AV60">
        <v>-11.05007627648413</v>
      </c>
      <c r="AW60">
        <v>-4.7179029575326537</v>
      </c>
      <c r="AX60">
        <v>-4.1240472097879879</v>
      </c>
      <c r="AY60">
        <v>-5.5164606044386133</v>
      </c>
      <c r="AZ60">
        <v>-2.6131477054437502</v>
      </c>
      <c r="BA60">
        <v>-1.364431735462422</v>
      </c>
      <c r="BB60">
        <v>-0.71734685087550465</v>
      </c>
      <c r="BC60">
        <v>-0.73611731969410854</v>
      </c>
      <c r="BD60">
        <v>-1.7092072279753741</v>
      </c>
      <c r="BE60">
        <v>-1.32167713925659</v>
      </c>
      <c r="BF60">
        <v>-1.6336507853422759</v>
      </c>
      <c r="BG60">
        <v>-1.698070634037538</v>
      </c>
      <c r="BH60">
        <v>-1.369230095423108</v>
      </c>
      <c r="BI60">
        <v>-1.396532132731106</v>
      </c>
      <c r="BJ60">
        <v>-1.452821915299561</v>
      </c>
      <c r="BK60">
        <v>-0.52069732748771225</v>
      </c>
      <c r="BL60">
        <v>-0.50989008563823612</v>
      </c>
      <c r="BM60">
        <v>-0.21748690651727751</v>
      </c>
      <c r="BN60">
        <v>-0.40627198430266698</v>
      </c>
      <c r="BO60">
        <v>-0.32166589548604191</v>
      </c>
      <c r="BP60">
        <v>-0.26176945116062522</v>
      </c>
      <c r="BQ60">
        <v>-0.46462670301123171</v>
      </c>
      <c r="BR60">
        <v>-0.82198715722624438</v>
      </c>
      <c r="BS60">
        <v>-0.66662769466088889</v>
      </c>
      <c r="BT60">
        <v>-0.57158612722314872</v>
      </c>
      <c r="BU60">
        <v>0.56020399411396138</v>
      </c>
      <c r="BV60">
        <v>0.44021489437537947</v>
      </c>
      <c r="BW60">
        <v>0.56148115468605209</v>
      </c>
      <c r="BX60">
        <v>0.44007291127527071</v>
      </c>
      <c r="BY60">
        <v>0.50463724677118837</v>
      </c>
      <c r="BZ60">
        <v>1.259027035220303</v>
      </c>
      <c r="CA60">
        <v>1.4621636923618999</v>
      </c>
      <c r="CB60" s="7">
        <v>1.5308707652763149</v>
      </c>
      <c r="CC60">
        <v>0.75592527463611203</v>
      </c>
    </row>
    <row r="61" spans="1:81" x14ac:dyDescent="0.35">
      <c r="A61" t="s">
        <v>85</v>
      </c>
      <c r="B61">
        <v>0.56659779427869783</v>
      </c>
      <c r="C61">
        <v>0.34199204042154041</v>
      </c>
      <c r="D61">
        <v>0.40063259835086279</v>
      </c>
      <c r="E61">
        <v>0.23149095089934171</v>
      </c>
      <c r="F61">
        <v>0.40350002879337732</v>
      </c>
      <c r="G61">
        <v>0.34554643051401968</v>
      </c>
      <c r="H61">
        <v>0.28114794002877702</v>
      </c>
      <c r="I61">
        <v>-0.14307041499675821</v>
      </c>
      <c r="J61">
        <v>0.27036547479322459</v>
      </c>
      <c r="K61">
        <v>0.31970111247524791</v>
      </c>
      <c r="L61">
        <v>0.1810291389959644</v>
      </c>
      <c r="M61">
        <v>0.33367696427827159</v>
      </c>
      <c r="N61">
        <v>0.1528678204778392</v>
      </c>
      <c r="O61">
        <v>6.8655032205200847E-2</v>
      </c>
      <c r="P61">
        <v>0.37505970821664958</v>
      </c>
      <c r="Q61">
        <v>0.23883538853099159</v>
      </c>
      <c r="R61">
        <v>0.2155343552825377</v>
      </c>
      <c r="S61">
        <v>0.36037363838472808</v>
      </c>
      <c r="T61">
        <v>0.87204687698902994</v>
      </c>
      <c r="U61">
        <v>0.90929806343542807</v>
      </c>
      <c r="V61">
        <v>1.0363738439566039</v>
      </c>
      <c r="W61">
        <v>0.88889013851323961</v>
      </c>
      <c r="X61">
        <v>0.85325370444830306</v>
      </c>
      <c r="Y61">
        <v>0.76147021255790925</v>
      </c>
      <c r="Z61">
        <v>0.34103592537319111</v>
      </c>
      <c r="AA61">
        <v>0.28050838966612868</v>
      </c>
      <c r="AB61">
        <v>0.35495366832542208</v>
      </c>
      <c r="AC61">
        <v>0.24986692181618439</v>
      </c>
      <c r="AD61">
        <v>0.11387828514646681</v>
      </c>
      <c r="AE61">
        <v>0.1554944951940542</v>
      </c>
      <c r="AF61">
        <v>0.12012877864280549</v>
      </c>
      <c r="AG61">
        <v>6.6307602382816341E-2</v>
      </c>
      <c r="AH61">
        <v>0.24390386943822059</v>
      </c>
      <c r="AI61">
        <v>0.31261673432622822</v>
      </c>
      <c r="AJ61">
        <v>0.33330535275568701</v>
      </c>
      <c r="AK61">
        <v>0.21457924045715099</v>
      </c>
      <c r="AL61">
        <v>-0.24991627864751831</v>
      </c>
      <c r="AM61">
        <v>-0.2288673892653722</v>
      </c>
      <c r="AN61">
        <v>-0.26069663753347172</v>
      </c>
      <c r="AO61">
        <v>-0.23917980099531241</v>
      </c>
      <c r="AP61">
        <v>-0.15531322599675171</v>
      </c>
      <c r="AQ61">
        <v>-0.110239701688509</v>
      </c>
      <c r="AR61">
        <v>2.0399055643367268E-2</v>
      </c>
      <c r="AS61">
        <v>-7.1754842398536337E-3</v>
      </c>
      <c r="AT61">
        <v>-5.8669905802755957E-3</v>
      </c>
      <c r="AU61">
        <v>-0.11343067630540379</v>
      </c>
      <c r="AV61">
        <v>-0.3539201518366098</v>
      </c>
      <c r="AW61">
        <v>0.12599372038877671</v>
      </c>
      <c r="AX61">
        <v>-0.29300248071441809</v>
      </c>
      <c r="AY61">
        <v>-0.4581318305833193</v>
      </c>
      <c r="AZ61">
        <v>7.9606007002334625E-2</v>
      </c>
      <c r="BA61">
        <v>0.34738493088606748</v>
      </c>
      <c r="BB61">
        <v>0.34204699098099739</v>
      </c>
      <c r="BC61">
        <v>0.31426747603026017</v>
      </c>
      <c r="BD61">
        <v>0.18686178519733029</v>
      </c>
      <c r="BE61">
        <v>0.1805695034862515</v>
      </c>
      <c r="BF61">
        <v>0.28021831217898308</v>
      </c>
      <c r="BG61">
        <v>0.48076114429039118</v>
      </c>
      <c r="BH61">
        <v>0.31496075134805512</v>
      </c>
      <c r="BI61">
        <v>-2.3178930363426241E-2</v>
      </c>
      <c r="BJ61">
        <v>-0.25085866679637192</v>
      </c>
      <c r="BK61">
        <v>-2.705321692972457E-2</v>
      </c>
      <c r="BL61">
        <v>-5.1557950882397119E-2</v>
      </c>
      <c r="BM61">
        <v>4.6935155842799427E-2</v>
      </c>
      <c r="BN61">
        <v>-7.8838868890839492E-2</v>
      </c>
      <c r="BO61">
        <v>-0.1440813783076452</v>
      </c>
      <c r="BP61">
        <v>-9.5991149643794335E-2</v>
      </c>
      <c r="BQ61">
        <v>-0.13568882991838241</v>
      </c>
      <c r="BR61">
        <v>0.29737631476783832</v>
      </c>
      <c r="BS61">
        <v>0.5887133673280851</v>
      </c>
      <c r="BT61">
        <v>0.66691098858540288</v>
      </c>
      <c r="BU61">
        <v>0.83227782831676178</v>
      </c>
      <c r="BV61">
        <v>0.25361585046056673</v>
      </c>
      <c r="BW61">
        <v>0.45468182299286097</v>
      </c>
      <c r="BX61">
        <v>0.60737728482435593</v>
      </c>
      <c r="BY61">
        <v>0.64910294188634854</v>
      </c>
      <c r="BZ61">
        <v>0.71842068777994317</v>
      </c>
      <c r="CA61">
        <v>0.72621559499010435</v>
      </c>
      <c r="CB61" s="7">
        <v>0.92298615133907713</v>
      </c>
      <c r="CC61">
        <v>1.0072486749314551</v>
      </c>
    </row>
    <row r="62" spans="1:81" x14ac:dyDescent="0.35">
      <c r="A62" t="s">
        <v>86</v>
      </c>
      <c r="B62">
        <v>139.16568505444181</v>
      </c>
      <c r="C62">
        <v>139.21729549909421</v>
      </c>
      <c r="D62">
        <v>139.2407206819405</v>
      </c>
      <c r="E62">
        <v>139.1288173491975</v>
      </c>
      <c r="F62">
        <v>141.33723882901771</v>
      </c>
      <c r="G62">
        <v>143.14195140753179</v>
      </c>
      <c r="H62">
        <v>144.2150603788767</v>
      </c>
      <c r="I62">
        <v>143.40122392071399</v>
      </c>
      <c r="J62">
        <v>143.13822694356799</v>
      </c>
      <c r="K62">
        <v>140.96895232203329</v>
      </c>
      <c r="L62">
        <v>139.1905932326344</v>
      </c>
      <c r="M62">
        <v>139.52944512738529</v>
      </c>
      <c r="N62">
        <v>138.87995748849781</v>
      </c>
      <c r="O62">
        <v>139.15700695605531</v>
      </c>
      <c r="P62">
        <v>142.05716385303049</v>
      </c>
      <c r="Q62">
        <v>143.5665147255601</v>
      </c>
      <c r="R62">
        <v>143.4871585208713</v>
      </c>
      <c r="S62">
        <v>144.0415555321093</v>
      </c>
      <c r="T62">
        <v>142.78045648909861</v>
      </c>
      <c r="U62">
        <v>143.19435237121789</v>
      </c>
      <c r="V62">
        <v>140.8724764535215</v>
      </c>
      <c r="W62">
        <v>140.3475631410742</v>
      </c>
      <c r="X62">
        <v>138.65784746777831</v>
      </c>
      <c r="Y62">
        <v>138.12182767266151</v>
      </c>
      <c r="Z62">
        <v>135.22713783460549</v>
      </c>
      <c r="AA62">
        <v>123.3136654761328</v>
      </c>
      <c r="AB62">
        <v>137.65295022761489</v>
      </c>
      <c r="AC62">
        <v>137.36439580825751</v>
      </c>
      <c r="AD62">
        <v>136.47221196990699</v>
      </c>
      <c r="AE62">
        <v>137.13749430016591</v>
      </c>
      <c r="AF62">
        <v>137.21042062364279</v>
      </c>
      <c r="AG62">
        <v>136.34119806161399</v>
      </c>
      <c r="AH62">
        <v>135.7629601198588</v>
      </c>
      <c r="AI62">
        <v>137.0026683709257</v>
      </c>
      <c r="AJ62">
        <v>137.3364226978087</v>
      </c>
      <c r="AK62">
        <v>137.20747068125689</v>
      </c>
      <c r="AL62">
        <v>137.96214581339461</v>
      </c>
      <c r="AM62">
        <v>137.49345139638621</v>
      </c>
      <c r="AN62">
        <v>136.9306921390411</v>
      </c>
      <c r="AO62">
        <v>139.21768623197639</v>
      </c>
      <c r="AP62">
        <v>140.85664646611059</v>
      </c>
      <c r="AQ62">
        <v>140.23475315542271</v>
      </c>
      <c r="AR62">
        <v>137.88750669967851</v>
      </c>
      <c r="AS62">
        <v>138.3340318720258</v>
      </c>
      <c r="AT62">
        <v>137.64781728899951</v>
      </c>
      <c r="AU62">
        <v>138.10009469810831</v>
      </c>
      <c r="AV62">
        <v>131.12864141392251</v>
      </c>
      <c r="AW62">
        <v>138.84104245252061</v>
      </c>
      <c r="AX62">
        <v>137.67951064072051</v>
      </c>
      <c r="AY62">
        <v>133.33145143446299</v>
      </c>
      <c r="AZ62">
        <v>138.79943961471929</v>
      </c>
      <c r="BA62">
        <v>141.7918065726484</v>
      </c>
      <c r="BB62">
        <v>142.797574551401</v>
      </c>
      <c r="BC62">
        <v>142.28102004577201</v>
      </c>
      <c r="BD62">
        <v>140.1324326840172</v>
      </c>
      <c r="BE62">
        <v>139.96022464913349</v>
      </c>
      <c r="BF62">
        <v>140.0197928237809</v>
      </c>
      <c r="BG62">
        <v>140.30717202182331</v>
      </c>
      <c r="BH62">
        <v>139.39371496627399</v>
      </c>
      <c r="BI62">
        <v>138.40201448311521</v>
      </c>
      <c r="BJ62">
        <v>138.62882855673649</v>
      </c>
      <c r="BK62">
        <v>138.92381472311939</v>
      </c>
      <c r="BL62">
        <v>139.10098404686391</v>
      </c>
      <c r="BM62">
        <v>140.79630590905839</v>
      </c>
      <c r="BN62">
        <v>141.52332126495369</v>
      </c>
      <c r="BO62">
        <v>142.0233539749039</v>
      </c>
      <c r="BP62">
        <v>142.18782438575579</v>
      </c>
      <c r="BQ62">
        <v>140.90972279088811</v>
      </c>
      <c r="BR62">
        <v>140.94314412563111</v>
      </c>
      <c r="BS62">
        <v>142.41444168333649</v>
      </c>
      <c r="BT62">
        <v>142.79769971049089</v>
      </c>
      <c r="BU62">
        <v>145.8499358893082</v>
      </c>
      <c r="BV62">
        <v>144.20578691139511</v>
      </c>
      <c r="BW62">
        <v>144.065176521339</v>
      </c>
      <c r="BX62">
        <v>144.45730913159821</v>
      </c>
      <c r="BY62">
        <v>145.65173396786921</v>
      </c>
      <c r="BZ62">
        <v>146.42685110999989</v>
      </c>
      <c r="CA62">
        <v>145.87097005516259</v>
      </c>
      <c r="CB62" s="7">
        <v>146.76338492114351</v>
      </c>
      <c r="CC62">
        <v>147.03265380989529</v>
      </c>
    </row>
    <row r="63" spans="1:81" x14ac:dyDescent="0.35">
      <c r="A63" t="s">
        <v>87</v>
      </c>
      <c r="B63">
        <v>61222555.869999997</v>
      </c>
      <c r="C63">
        <v>73433867.770000011</v>
      </c>
      <c r="D63">
        <v>106159466.88</v>
      </c>
      <c r="E63">
        <v>40024674.569999993</v>
      </c>
      <c r="F63">
        <v>76133699.799999997</v>
      </c>
      <c r="G63">
        <v>94348368.950000003</v>
      </c>
      <c r="H63">
        <v>101360076.45</v>
      </c>
      <c r="I63">
        <v>88270746.200000003</v>
      </c>
      <c r="J63">
        <v>83688877.269999996</v>
      </c>
      <c r="K63">
        <v>79253875.710000008</v>
      </c>
      <c r="L63">
        <v>81967845.810000002</v>
      </c>
      <c r="M63">
        <v>69929274.430000007</v>
      </c>
      <c r="N63">
        <v>82609966.769999996</v>
      </c>
      <c r="O63">
        <v>93974710.349999994</v>
      </c>
      <c r="P63">
        <v>191817785.53</v>
      </c>
      <c r="Q63">
        <v>152001901.03999999</v>
      </c>
      <c r="R63">
        <v>110542142.73</v>
      </c>
      <c r="S63">
        <v>110426702.05</v>
      </c>
      <c r="T63">
        <v>114567435.98</v>
      </c>
      <c r="U63">
        <v>115409710.25</v>
      </c>
      <c r="V63">
        <v>110253514.72</v>
      </c>
      <c r="W63">
        <v>100958160.70999999</v>
      </c>
      <c r="X63">
        <v>103737557.01000001</v>
      </c>
      <c r="Y63">
        <v>82749830.220000014</v>
      </c>
      <c r="Z63">
        <v>53761867.789999999</v>
      </c>
      <c r="AA63">
        <v>10346998.52</v>
      </c>
      <c r="AB63">
        <v>157394604.99000001</v>
      </c>
      <c r="AC63">
        <v>117120010.03</v>
      </c>
      <c r="AD63">
        <v>129601163.58</v>
      </c>
      <c r="AE63">
        <v>108783918.88</v>
      </c>
      <c r="AF63">
        <v>99030011.730000004</v>
      </c>
      <c r="AG63">
        <v>102201242.42</v>
      </c>
      <c r="AH63">
        <v>92785553.870000005</v>
      </c>
      <c r="AI63">
        <v>81311943.659999996</v>
      </c>
      <c r="AJ63">
        <v>74181079.540000007</v>
      </c>
      <c r="AK63">
        <v>67215102.700000003</v>
      </c>
      <c r="AL63">
        <v>70885545.659999996</v>
      </c>
      <c r="AM63">
        <v>94656115.950000003</v>
      </c>
      <c r="AN63">
        <v>94312067.540000007</v>
      </c>
      <c r="AO63">
        <v>81637048.609999999</v>
      </c>
      <c r="AP63">
        <v>93676805.909999996</v>
      </c>
      <c r="AQ63">
        <v>82409169.530000001</v>
      </c>
      <c r="AR63">
        <v>46987738.880000003</v>
      </c>
      <c r="AS63">
        <v>50401459.530000001</v>
      </c>
      <c r="AT63">
        <v>48748024.32</v>
      </c>
      <c r="AU63">
        <v>50712945.380000003</v>
      </c>
      <c r="AV63">
        <v>8310877.2499999991</v>
      </c>
      <c r="AW63">
        <v>65896528.530000001</v>
      </c>
      <c r="AX63">
        <v>82432378.879999995</v>
      </c>
      <c r="AY63">
        <v>144021456.41999999</v>
      </c>
      <c r="AZ63">
        <v>163294933.53999999</v>
      </c>
      <c r="BA63">
        <v>112378572.81</v>
      </c>
      <c r="BB63">
        <v>110015688.43000001</v>
      </c>
      <c r="BC63">
        <v>103245767.06</v>
      </c>
      <c r="BD63">
        <v>108487142.37</v>
      </c>
      <c r="BE63">
        <v>104304187.29000001</v>
      </c>
      <c r="BF63">
        <v>87567800.229999989</v>
      </c>
      <c r="BG63">
        <v>90323262.840000004</v>
      </c>
      <c r="BH63">
        <v>98957964.159999996</v>
      </c>
      <c r="BI63">
        <v>98366459.189999998</v>
      </c>
      <c r="BJ63">
        <v>97266973.450000003</v>
      </c>
      <c r="BK63">
        <v>140209841.40000001</v>
      </c>
      <c r="BL63">
        <v>203309615.94</v>
      </c>
      <c r="BM63">
        <v>136829594.90000001</v>
      </c>
      <c r="BN63">
        <v>129792336.12</v>
      </c>
      <c r="BO63">
        <v>118326828.31</v>
      </c>
      <c r="BP63">
        <v>119013396.65000001</v>
      </c>
      <c r="BQ63">
        <v>123393314.67</v>
      </c>
      <c r="BR63">
        <v>136181169.62</v>
      </c>
      <c r="BS63">
        <v>120206677.98999999</v>
      </c>
      <c r="BT63">
        <v>104007862.43000001</v>
      </c>
      <c r="BU63">
        <v>116955201.51000001</v>
      </c>
      <c r="BV63">
        <v>134109345.7</v>
      </c>
      <c r="BW63">
        <v>168225192.22999999</v>
      </c>
      <c r="BX63">
        <v>257311736.72999999</v>
      </c>
      <c r="BY63">
        <v>157463836.25</v>
      </c>
      <c r="BZ63">
        <v>158650736.91999999</v>
      </c>
      <c r="CA63">
        <v>168080497.08000001</v>
      </c>
      <c r="CB63" s="7">
        <v>164648763.87</v>
      </c>
      <c r="CC63">
        <v>62157049.709999993</v>
      </c>
    </row>
    <row r="64" spans="1:81" x14ac:dyDescent="0.35">
      <c r="A64" t="s">
        <v>88</v>
      </c>
      <c r="B64">
        <v>1.751423491918507</v>
      </c>
      <c r="C64">
        <v>1.7163314977932631</v>
      </c>
      <c r="D64">
        <v>1.679120804793768</v>
      </c>
      <c r="E64">
        <v>1.750562092919238</v>
      </c>
      <c r="F64">
        <v>1.768329302720423</v>
      </c>
      <c r="G64">
        <v>1.7097107376267811</v>
      </c>
      <c r="H64">
        <v>1.6080563971527699</v>
      </c>
      <c r="I64">
        <v>1.558277410630668</v>
      </c>
      <c r="J64">
        <v>1.594481918774326</v>
      </c>
      <c r="K64">
        <v>1.679702882991184</v>
      </c>
      <c r="L64">
        <v>1.738497342366174</v>
      </c>
      <c r="M64">
        <v>1.760436167889643</v>
      </c>
      <c r="N64">
        <v>1.727940256718705</v>
      </c>
      <c r="O64">
        <v>1.6435738780039131</v>
      </c>
      <c r="P64">
        <v>1.484068477875546</v>
      </c>
      <c r="Q64">
        <v>1.4361071216212811</v>
      </c>
      <c r="R64">
        <v>1.428834208314371</v>
      </c>
      <c r="S64">
        <v>1.4312456969092939</v>
      </c>
      <c r="T64">
        <v>1.459357960259102</v>
      </c>
      <c r="U64">
        <v>1.504106531467289</v>
      </c>
      <c r="V64">
        <v>1.489532502899922</v>
      </c>
      <c r="W64">
        <v>1.4847834729094971</v>
      </c>
      <c r="X64">
        <v>1.4980086697026429</v>
      </c>
      <c r="Y64">
        <v>1.5012813978445321</v>
      </c>
      <c r="Z64">
        <v>1.601619928346375</v>
      </c>
      <c r="AA64">
        <v>3.0348387832296542</v>
      </c>
      <c r="AB64">
        <v>1.511311082358203</v>
      </c>
      <c r="AC64">
        <v>1.563229157896241</v>
      </c>
      <c r="AD64">
        <v>1.550454418121241</v>
      </c>
      <c r="AE64">
        <v>1.5490060923530651</v>
      </c>
      <c r="AF64">
        <v>1.5695129339158289</v>
      </c>
      <c r="AG64">
        <v>1.6477895864119261</v>
      </c>
      <c r="AH64">
        <v>1.670212810367353</v>
      </c>
      <c r="AI64">
        <v>1.7029168239769781</v>
      </c>
      <c r="AJ64">
        <v>1.7593178884731571</v>
      </c>
      <c r="AK64">
        <v>1.7846321518985251</v>
      </c>
      <c r="AL64">
        <v>1.800362272479648</v>
      </c>
      <c r="AM64">
        <v>1.740396645057432</v>
      </c>
      <c r="AN64">
        <v>1.7800478028844999</v>
      </c>
      <c r="AO64">
        <v>1.6900966669935249</v>
      </c>
      <c r="AP64">
        <v>1.6509378115152991</v>
      </c>
      <c r="AQ64">
        <v>1.7020707672405211</v>
      </c>
      <c r="AR64">
        <v>1.856133643469716</v>
      </c>
      <c r="AS64">
        <v>1.839991483143357</v>
      </c>
      <c r="AT64">
        <v>1.8580826383820639</v>
      </c>
      <c r="AU64">
        <v>1.81887847793119</v>
      </c>
      <c r="AV64">
        <v>2.7532606575887799</v>
      </c>
      <c r="AW64">
        <v>1.9399480117939021</v>
      </c>
      <c r="AX64">
        <v>1.8876529690631381</v>
      </c>
      <c r="AY64">
        <v>2.0150137373292041</v>
      </c>
      <c r="AZ64">
        <v>1.766498792538483</v>
      </c>
      <c r="BA64">
        <v>1.6775150345534751</v>
      </c>
      <c r="BB64">
        <v>1.634840348481398</v>
      </c>
      <c r="BC64">
        <v>1.6360476443804459</v>
      </c>
      <c r="BD64">
        <v>1.7011752765390471</v>
      </c>
      <c r="BE64">
        <v>1.674626785931721</v>
      </c>
      <c r="BF64">
        <v>1.6959332811038981</v>
      </c>
      <c r="BG64">
        <v>1.700400600706071</v>
      </c>
      <c r="BH64">
        <v>1.677839805409568</v>
      </c>
      <c r="BI64">
        <v>1.6796901048776389</v>
      </c>
      <c r="BJ64">
        <v>1.683517856709825</v>
      </c>
      <c r="BK64">
        <v>1.6222983631981309</v>
      </c>
      <c r="BL64">
        <v>1.621614671075259</v>
      </c>
      <c r="BM64">
        <v>1.6033327957892971</v>
      </c>
      <c r="BN64">
        <v>1.6150886724624081</v>
      </c>
      <c r="BO64">
        <v>1.6097989007783149</v>
      </c>
      <c r="BP64">
        <v>1.606074934124625</v>
      </c>
      <c r="BQ64">
        <v>1.61875745054075</v>
      </c>
      <c r="BR64">
        <v>1.641593512349967</v>
      </c>
      <c r="BS64">
        <v>1.6315870423917851</v>
      </c>
      <c r="BT64">
        <v>1.625525475127648</v>
      </c>
      <c r="BU64">
        <v>1.5566570832311919</v>
      </c>
      <c r="BV64">
        <v>1.563680526611273</v>
      </c>
      <c r="BW64">
        <v>1.556582665237805</v>
      </c>
      <c r="BX64">
        <v>1.563688874993781</v>
      </c>
      <c r="BY64">
        <v>1.5599017678422169</v>
      </c>
      <c r="BZ64">
        <v>1.516973981450485</v>
      </c>
      <c r="CA64">
        <v>1.505815489500391</v>
      </c>
      <c r="CB64" s="7">
        <v>1.5020784032612571</v>
      </c>
      <c r="CC64">
        <v>1.545335139509983</v>
      </c>
    </row>
    <row r="65" spans="1:81" x14ac:dyDescent="0.35">
      <c r="A65" t="s">
        <v>89</v>
      </c>
      <c r="B65">
        <v>0.24473873476741209</v>
      </c>
      <c r="C65">
        <v>0.2468243596246571</v>
      </c>
      <c r="D65">
        <v>0.24627984015817059</v>
      </c>
      <c r="E65">
        <v>0.2478504411702204</v>
      </c>
      <c r="F65">
        <v>0.24625321401834721</v>
      </c>
      <c r="G65">
        <v>0.24679135457379839</v>
      </c>
      <c r="H65">
        <v>0.24738934055687559</v>
      </c>
      <c r="I65">
        <v>0.25132851099639852</v>
      </c>
      <c r="J65">
        <v>0.2474894634483486</v>
      </c>
      <c r="K65">
        <v>0.24703134681272981</v>
      </c>
      <c r="L65">
        <v>0.24831901513789459</v>
      </c>
      <c r="M65">
        <v>0.24690157104598751</v>
      </c>
      <c r="N65">
        <v>0.24858051309556289</v>
      </c>
      <c r="O65">
        <v>0.24936248898666599</v>
      </c>
      <c r="P65">
        <v>0.2465173027094168</v>
      </c>
      <c r="Q65">
        <v>0.24778224282078359</v>
      </c>
      <c r="R65">
        <v>0.24799860955809069</v>
      </c>
      <c r="S65">
        <v>0.2466536733578561</v>
      </c>
      <c r="T65">
        <v>0.24190242185653041</v>
      </c>
      <c r="U65">
        <v>0.24155651798238531</v>
      </c>
      <c r="V65">
        <v>0.24037652859183151</v>
      </c>
      <c r="W65">
        <v>0.24174602014237709</v>
      </c>
      <c r="X65">
        <v>0.24207692988726581</v>
      </c>
      <c r="Y65">
        <v>0.2429292051691051</v>
      </c>
      <c r="Z65">
        <v>0.2468332378358204</v>
      </c>
      <c r="AA65">
        <v>0.24739527923881449</v>
      </c>
      <c r="AB65">
        <v>0.24670400165126391</v>
      </c>
      <c r="AC65">
        <v>0.247679807154564</v>
      </c>
      <c r="AD65">
        <v>0.24894255878078281</v>
      </c>
      <c r="AE65">
        <v>0.24855612254462661</v>
      </c>
      <c r="AF65">
        <v>0.24888451848403109</v>
      </c>
      <c r="AG65">
        <v>0.24938428654930239</v>
      </c>
      <c r="AH65">
        <v>0.2477351783552165</v>
      </c>
      <c r="AI65">
        <v>0.2470971303241136</v>
      </c>
      <c r="AJ65">
        <v>0.24690502172441151</v>
      </c>
      <c r="AK65">
        <v>0.24800747848146931</v>
      </c>
      <c r="AL65">
        <v>0.25232065115886981</v>
      </c>
      <c r="AM65">
        <v>0.2521251971860356</v>
      </c>
      <c r="AN65">
        <v>0.25242075449138218</v>
      </c>
      <c r="AO65">
        <v>0.25222095529495647</v>
      </c>
      <c r="AP65">
        <v>0.25144219424139841</v>
      </c>
      <c r="AQ65">
        <v>0.25102365437282192</v>
      </c>
      <c r="AR65">
        <v>0.2498105801975973</v>
      </c>
      <c r="AS65">
        <v>0.25006662949651293</v>
      </c>
      <c r="AT65">
        <v>0.25005447919824542</v>
      </c>
      <c r="AU65">
        <v>0.25105328485140732</v>
      </c>
      <c r="AV65">
        <v>0.25328640140991138</v>
      </c>
      <c r="AW65">
        <v>0.24883005831067559</v>
      </c>
      <c r="AX65">
        <v>0.2527207373209196</v>
      </c>
      <c r="AY65">
        <v>0.25425408128398802</v>
      </c>
      <c r="AZ65">
        <v>0.24926080136354969</v>
      </c>
      <c r="BA65">
        <v>0.2467742827846294</v>
      </c>
      <c r="BB65">
        <v>0.24682384936946219</v>
      </c>
      <c r="BC65">
        <v>0.24708180200829041</v>
      </c>
      <c r="BD65">
        <v>0.2482648548517391</v>
      </c>
      <c r="BE65">
        <v>0.24832328318191341</v>
      </c>
      <c r="BF65">
        <v>0.2473979728154809</v>
      </c>
      <c r="BG65">
        <v>0.24553578937444639</v>
      </c>
      <c r="BH65">
        <v>0.24707536445176809</v>
      </c>
      <c r="BI65">
        <v>0.25021523292480319</v>
      </c>
      <c r="BJ65">
        <v>0.25232940190596631</v>
      </c>
      <c r="BK65">
        <v>0.25025120844291893</v>
      </c>
      <c r="BL65">
        <v>0.25047875240105077</v>
      </c>
      <c r="BM65">
        <v>0.24956417355288829</v>
      </c>
      <c r="BN65">
        <v>0.25073207521112922</v>
      </c>
      <c r="BO65">
        <v>0.25133789851285671</v>
      </c>
      <c r="BP65">
        <v>0.25089134638954952</v>
      </c>
      <c r="BQ65">
        <v>0.25125996770638498</v>
      </c>
      <c r="BR65">
        <v>0.24723864850572719</v>
      </c>
      <c r="BS65">
        <v>0.24453337587481061</v>
      </c>
      <c r="BT65">
        <v>0.24380725510599269</v>
      </c>
      <c r="BU65">
        <v>0.24227170587991581</v>
      </c>
      <c r="BV65">
        <v>0.24764499567429471</v>
      </c>
      <c r="BW65">
        <v>0.2457779545007806</v>
      </c>
      <c r="BX65">
        <v>0.2443600680694881</v>
      </c>
      <c r="BY65">
        <v>0.24397261553962679</v>
      </c>
      <c r="BZ65">
        <v>0.2433289507563291</v>
      </c>
      <c r="CA65">
        <v>0.24325656947509189</v>
      </c>
      <c r="CB65" s="7">
        <v>0.24142941430899431</v>
      </c>
      <c r="CC65">
        <v>0.24064697658992221</v>
      </c>
    </row>
    <row r="67" spans="1:81" x14ac:dyDescent="0.35">
      <c r="A67" t="s">
        <v>95</v>
      </c>
      <c r="B67" t="s">
        <v>1</v>
      </c>
      <c r="C67" t="s">
        <v>2</v>
      </c>
      <c r="D67" t="s">
        <v>3</v>
      </c>
      <c r="E67" t="s">
        <v>4</v>
      </c>
      <c r="F67" t="s">
        <v>5</v>
      </c>
      <c r="G67" t="s">
        <v>6</v>
      </c>
      <c r="H67" t="s">
        <v>7</v>
      </c>
      <c r="I67" t="s">
        <v>8</v>
      </c>
      <c r="J67" t="s">
        <v>9</v>
      </c>
      <c r="K67" t="s">
        <v>10</v>
      </c>
      <c r="L67" t="s">
        <v>11</v>
      </c>
      <c r="M67" t="s">
        <v>12</v>
      </c>
      <c r="N67" t="s">
        <v>13</v>
      </c>
      <c r="O67" t="s">
        <v>14</v>
      </c>
      <c r="P67" t="s">
        <v>15</v>
      </c>
      <c r="Q67" t="s">
        <v>16</v>
      </c>
      <c r="R67" t="s">
        <v>17</v>
      </c>
      <c r="S67" t="s">
        <v>18</v>
      </c>
      <c r="T67" t="s">
        <v>19</v>
      </c>
      <c r="U67" t="s">
        <v>20</v>
      </c>
      <c r="V67" t="s">
        <v>21</v>
      </c>
      <c r="W67" t="s">
        <v>22</v>
      </c>
      <c r="X67" t="s">
        <v>23</v>
      </c>
      <c r="Y67" t="s">
        <v>24</v>
      </c>
      <c r="Z67" t="s">
        <v>25</v>
      </c>
      <c r="AA67" t="s">
        <v>26</v>
      </c>
      <c r="AB67" t="s">
        <v>27</v>
      </c>
      <c r="AC67" t="s">
        <v>28</v>
      </c>
      <c r="AD67" t="s">
        <v>29</v>
      </c>
      <c r="AE67" t="s">
        <v>30</v>
      </c>
      <c r="AF67" t="s">
        <v>31</v>
      </c>
      <c r="AG67" t="s">
        <v>32</v>
      </c>
      <c r="AH67" t="s">
        <v>33</v>
      </c>
      <c r="AI67" t="s">
        <v>34</v>
      </c>
      <c r="AJ67" t="s">
        <v>35</v>
      </c>
      <c r="AK67" t="s">
        <v>36</v>
      </c>
      <c r="AL67" t="s">
        <v>37</v>
      </c>
      <c r="AM67" t="s">
        <v>38</v>
      </c>
      <c r="AN67" t="s">
        <v>39</v>
      </c>
      <c r="AO67" t="s">
        <v>40</v>
      </c>
      <c r="AP67" t="s">
        <v>41</v>
      </c>
      <c r="AQ67" t="s">
        <v>42</v>
      </c>
      <c r="AR67" t="s">
        <v>43</v>
      </c>
      <c r="AS67" t="s">
        <v>44</v>
      </c>
      <c r="AT67" t="s">
        <v>45</v>
      </c>
      <c r="AU67" t="s">
        <v>46</v>
      </c>
      <c r="AV67" t="s">
        <v>47</v>
      </c>
      <c r="AW67" t="s">
        <v>48</v>
      </c>
      <c r="AX67" t="s">
        <v>49</v>
      </c>
      <c r="AY67" t="s">
        <v>50</v>
      </c>
      <c r="AZ67" t="s">
        <v>51</v>
      </c>
      <c r="BA67" t="s">
        <v>52</v>
      </c>
      <c r="BB67" t="s">
        <v>53</v>
      </c>
      <c r="BC67" t="s">
        <v>54</v>
      </c>
      <c r="BD67" t="s">
        <v>55</v>
      </c>
      <c r="BE67" t="s">
        <v>56</v>
      </c>
      <c r="BF67" t="s">
        <v>57</v>
      </c>
      <c r="BG67" t="s">
        <v>58</v>
      </c>
      <c r="BH67" t="s">
        <v>59</v>
      </c>
      <c r="BI67" t="s">
        <v>60</v>
      </c>
      <c r="BJ67" t="s">
        <v>61</v>
      </c>
      <c r="BK67" t="s">
        <v>62</v>
      </c>
      <c r="BL67" t="s">
        <v>63</v>
      </c>
      <c r="BM67" t="s">
        <v>64</v>
      </c>
      <c r="BN67" t="s">
        <v>65</v>
      </c>
      <c r="BO67" t="s">
        <v>66</v>
      </c>
      <c r="BP67" t="s">
        <v>67</v>
      </c>
      <c r="BQ67" t="s">
        <v>68</v>
      </c>
      <c r="BR67" t="s">
        <v>69</v>
      </c>
      <c r="BS67" t="s">
        <v>70</v>
      </c>
      <c r="BT67" t="s">
        <v>71</v>
      </c>
      <c r="BU67" t="s">
        <v>72</v>
      </c>
      <c r="BV67" t="s">
        <v>73</v>
      </c>
      <c r="BW67" t="s">
        <v>74</v>
      </c>
      <c r="BX67" t="s">
        <v>75</v>
      </c>
      <c r="BY67" t="s">
        <v>76</v>
      </c>
      <c r="BZ67" t="s">
        <v>77</v>
      </c>
      <c r="CA67" t="s">
        <v>78</v>
      </c>
      <c r="CB67" s="7" t="s">
        <v>79</v>
      </c>
      <c r="CC67" t="s">
        <v>80</v>
      </c>
    </row>
    <row r="68" spans="1:81" x14ac:dyDescent="0.35">
      <c r="A68" t="s">
        <v>81</v>
      </c>
      <c r="B68">
        <v>130.81346582300651</v>
      </c>
      <c r="C68">
        <v>131.18741421217021</v>
      </c>
      <c r="D68">
        <v>130.76024839121061</v>
      </c>
      <c r="E68">
        <v>131.20249569920881</v>
      </c>
      <c r="F68">
        <v>133.81448795352489</v>
      </c>
      <c r="G68">
        <v>134.86622853523139</v>
      </c>
      <c r="H68">
        <v>135.22334286686089</v>
      </c>
      <c r="I68">
        <v>135.54366816401151</v>
      </c>
      <c r="J68">
        <v>135.28203612412241</v>
      </c>
      <c r="K68">
        <v>134.94850444050729</v>
      </c>
      <c r="L68">
        <v>134.52762406397991</v>
      </c>
      <c r="M68">
        <v>135.6437681687203</v>
      </c>
      <c r="N68">
        <v>135.77450112624339</v>
      </c>
      <c r="O68">
        <v>135.3625981708438</v>
      </c>
      <c r="P68">
        <v>135.09248828128261</v>
      </c>
      <c r="Q68">
        <v>135.3811310602502</v>
      </c>
      <c r="R68">
        <v>135.54328872544369</v>
      </c>
      <c r="S68">
        <v>135.19891359202609</v>
      </c>
      <c r="T68">
        <v>134.71913821282769</v>
      </c>
      <c r="U68">
        <v>136.0155606299692</v>
      </c>
      <c r="V68">
        <v>134.60100290899339</v>
      </c>
      <c r="W68">
        <v>134.67351136980309</v>
      </c>
      <c r="X68">
        <v>132.72304832829721</v>
      </c>
      <c r="Y68">
        <v>133.28193948427969</v>
      </c>
      <c r="Z68">
        <v>134.09310131824409</v>
      </c>
      <c r="AA68">
        <v>133.90733559855221</v>
      </c>
      <c r="AB68">
        <v>134.31621890056331</v>
      </c>
      <c r="AC68">
        <v>135.7715688076841</v>
      </c>
      <c r="AD68">
        <v>136.65062874208309</v>
      </c>
      <c r="AE68">
        <v>137.02460120836071</v>
      </c>
      <c r="AF68">
        <v>137.19866078503429</v>
      </c>
      <c r="AG68">
        <v>137.33021275590971</v>
      </c>
      <c r="AH68">
        <v>137.17521433863919</v>
      </c>
      <c r="AI68">
        <v>137.53767890151909</v>
      </c>
      <c r="AJ68">
        <v>139.47266777575419</v>
      </c>
      <c r="AK68">
        <v>139.12228206261861</v>
      </c>
      <c r="AL68">
        <v>139.73874267186631</v>
      </c>
      <c r="AM68">
        <v>139.53480200133771</v>
      </c>
      <c r="AN68">
        <v>138.98735802288269</v>
      </c>
      <c r="AO68">
        <v>139.0152148450718</v>
      </c>
      <c r="AP68">
        <v>138.7569408141747</v>
      </c>
      <c r="AQ68">
        <v>138.53696372351649</v>
      </c>
      <c r="AR68">
        <v>137.65656869291979</v>
      </c>
      <c r="AS68">
        <v>139.05155861535499</v>
      </c>
      <c r="AT68">
        <v>139.44955339234829</v>
      </c>
      <c r="AU68">
        <v>139.01876178250879</v>
      </c>
      <c r="AV68">
        <v>137.94301716821241</v>
      </c>
      <c r="AW68">
        <v>137.90175414943991</v>
      </c>
      <c r="AX68">
        <v>138.01860335058299</v>
      </c>
      <c r="AY68">
        <v>137.69771639413449</v>
      </c>
      <c r="AZ68">
        <v>137.11934993886041</v>
      </c>
      <c r="BA68">
        <v>138.28174688299021</v>
      </c>
      <c r="BB68">
        <v>138.75940769580279</v>
      </c>
      <c r="BC68">
        <v>139.1669258952285</v>
      </c>
      <c r="BD68">
        <v>139.59995093145969</v>
      </c>
      <c r="BE68">
        <v>140.4147755987332</v>
      </c>
      <c r="BF68">
        <v>140.2214233530749</v>
      </c>
      <c r="BG68">
        <v>139.2930932897504</v>
      </c>
      <c r="BH68">
        <v>138.38534626672021</v>
      </c>
      <c r="BI68">
        <v>137.92085911904721</v>
      </c>
      <c r="BJ68">
        <v>138.06554655653321</v>
      </c>
      <c r="BK68">
        <v>138.12821577674509</v>
      </c>
      <c r="BL68">
        <v>138.03967447845059</v>
      </c>
      <c r="BM68">
        <v>138.7732332222991</v>
      </c>
      <c r="BN68">
        <v>139.35956607483089</v>
      </c>
      <c r="BO68">
        <v>139.34585875181949</v>
      </c>
      <c r="BP68">
        <v>139.5713145125074</v>
      </c>
      <c r="BQ68">
        <v>139.2143393250507</v>
      </c>
      <c r="BR68">
        <v>139.76680334715559</v>
      </c>
      <c r="BS68">
        <v>139.86909232272171</v>
      </c>
      <c r="BT68">
        <v>140.0857098895022</v>
      </c>
      <c r="BU68">
        <v>141.3757514764672</v>
      </c>
      <c r="BV68">
        <v>141.773788973553</v>
      </c>
      <c r="BW68">
        <v>141.55967664445211</v>
      </c>
      <c r="BX68">
        <v>141.610666169593</v>
      </c>
      <c r="BY68">
        <v>141.95578105518979</v>
      </c>
      <c r="BZ68">
        <v>141.95372454480619</v>
      </c>
      <c r="CA68">
        <v>142.16157055715379</v>
      </c>
      <c r="CB68" s="7">
        <v>142.20160827085991</v>
      </c>
      <c r="CC68">
        <v>142.35883963615271</v>
      </c>
    </row>
    <row r="69" spans="1:81" x14ac:dyDescent="0.35">
      <c r="A69" t="s">
        <v>82</v>
      </c>
      <c r="B69">
        <v>0.3555746424985699</v>
      </c>
      <c r="C69">
        <v>0.39538380300015979</v>
      </c>
      <c r="D69">
        <v>0.58219651041674059</v>
      </c>
      <c r="E69">
        <v>0.49687506623995942</v>
      </c>
      <c r="F69">
        <v>0.74034585923688057</v>
      </c>
      <c r="G69">
        <v>0.6768987410680144</v>
      </c>
      <c r="H69">
        <v>0.51612272512258195</v>
      </c>
      <c r="I69">
        <v>0.53842871853234719</v>
      </c>
      <c r="J69">
        <v>0.50568269857435755</v>
      </c>
      <c r="K69">
        <v>0.51363247278475999</v>
      </c>
      <c r="L69">
        <v>0.56158047726700466</v>
      </c>
      <c r="M69">
        <v>0.73467974637858902</v>
      </c>
      <c r="N69">
        <v>1.1290789719073739</v>
      </c>
      <c r="O69">
        <v>1.2825496519369339</v>
      </c>
      <c r="P69">
        <v>1.3082949934443531</v>
      </c>
      <c r="Q69">
        <v>1.2599585399203399</v>
      </c>
      <c r="R69">
        <v>1.2225241406882461</v>
      </c>
      <c r="S69">
        <v>0.94657940695702891</v>
      </c>
      <c r="T69">
        <v>0.79845894303571274</v>
      </c>
      <c r="U69">
        <v>0.84592892202476755</v>
      </c>
      <c r="V69">
        <v>0.61544722444512667</v>
      </c>
      <c r="W69">
        <v>0.31706654331897299</v>
      </c>
      <c r="X69">
        <v>0.1359606501852203</v>
      </c>
      <c r="Y69">
        <v>0.21168392424353999</v>
      </c>
      <c r="Z69">
        <v>-0.1124482595736605</v>
      </c>
      <c r="AA69">
        <v>0.11016484423289739</v>
      </c>
      <c r="AB69">
        <v>5.2347765916629971E-2</v>
      </c>
      <c r="AC69">
        <v>0.50567732941039167</v>
      </c>
      <c r="AD69">
        <v>0.73854565315957876</v>
      </c>
      <c r="AE69">
        <v>0.73157277178212587</v>
      </c>
      <c r="AF69">
        <v>0.68553457837956167</v>
      </c>
      <c r="AG69">
        <v>0.6880592913038549</v>
      </c>
      <c r="AH69">
        <v>0.28534712344520718</v>
      </c>
      <c r="AI69">
        <v>0.50138983518609359</v>
      </c>
      <c r="AJ69">
        <v>0.74399495510351477</v>
      </c>
      <c r="AK69">
        <v>0.95950777159181255</v>
      </c>
      <c r="AL69">
        <v>0.48860356456588089</v>
      </c>
      <c r="AM69">
        <v>0.96372343384558035</v>
      </c>
      <c r="AN69">
        <v>0.99056381237484459</v>
      </c>
      <c r="AO69">
        <v>0.40910072869905162</v>
      </c>
      <c r="AP69">
        <v>1.1883634954678339</v>
      </c>
      <c r="AQ69">
        <v>1.097289981109693</v>
      </c>
      <c r="AR69">
        <v>1.27486462545368</v>
      </c>
      <c r="AS69">
        <v>1.3330138954408479</v>
      </c>
      <c r="AT69">
        <v>1.4373990225627931</v>
      </c>
      <c r="AU69">
        <v>1.172972601946495</v>
      </c>
      <c r="AV69">
        <v>0.9843036276939211</v>
      </c>
      <c r="AW69">
        <v>0.91096862908532539</v>
      </c>
      <c r="AX69">
        <v>0.49208077371595621</v>
      </c>
      <c r="AY69">
        <v>0.34959722456873638</v>
      </c>
      <c r="AZ69">
        <v>0.26462150370062459</v>
      </c>
      <c r="BA69">
        <v>0.81933663904046949</v>
      </c>
      <c r="BB69">
        <v>1.341556255524331</v>
      </c>
      <c r="BC69">
        <v>1.228451992181312</v>
      </c>
      <c r="BD69">
        <v>1.3413858189462331</v>
      </c>
      <c r="BE69">
        <v>1.429586672684205</v>
      </c>
      <c r="BF69">
        <v>1.4618848365828281</v>
      </c>
      <c r="BG69">
        <v>1.1518387261578069</v>
      </c>
      <c r="BH69">
        <v>1.071279299894847</v>
      </c>
      <c r="BI69">
        <v>1.2670833317710599</v>
      </c>
      <c r="BJ69">
        <v>1.417016472799995</v>
      </c>
      <c r="BK69">
        <v>1.3009825938576609</v>
      </c>
      <c r="BL69">
        <v>1.0304193498611001</v>
      </c>
      <c r="BM69">
        <v>1.3951920869874701</v>
      </c>
      <c r="BN69">
        <v>1.831140249375703</v>
      </c>
      <c r="BO69">
        <v>2.1413264037347539</v>
      </c>
      <c r="BP69">
        <v>1.8789865298373509</v>
      </c>
      <c r="BQ69">
        <v>2.176912258177067</v>
      </c>
      <c r="BR69">
        <v>2.5335816244655658</v>
      </c>
      <c r="BS69">
        <v>2.498175956832045</v>
      </c>
      <c r="BT69">
        <v>2.4233454706882922</v>
      </c>
      <c r="BU69">
        <v>2.8902741304637289</v>
      </c>
      <c r="BV69">
        <v>3.0312286818305538</v>
      </c>
      <c r="BW69">
        <v>2.7230764541047812</v>
      </c>
      <c r="BX69">
        <v>2.5864713459653932</v>
      </c>
      <c r="BY69">
        <v>2.8964116277880518</v>
      </c>
      <c r="BZ69">
        <v>3.0907865200930411</v>
      </c>
      <c r="CA69">
        <v>3.0322610434688122</v>
      </c>
      <c r="CB69" s="7">
        <v>3.0840730851614162</v>
      </c>
      <c r="CC69">
        <v>2.964740819842643</v>
      </c>
    </row>
    <row r="70" spans="1:81" x14ac:dyDescent="0.35">
      <c r="A70" t="s">
        <v>83</v>
      </c>
      <c r="B70">
        <v>-0.7664514412957687</v>
      </c>
      <c r="C70">
        <v>-0.70240762560410241</v>
      </c>
      <c r="D70">
        <v>-0.75161146988155036</v>
      </c>
      <c r="E70">
        <v>-0.85977162108739147</v>
      </c>
      <c r="F70">
        <v>-0.8699757987514376</v>
      </c>
      <c r="G70">
        <v>-0.56734528187082234</v>
      </c>
      <c r="H70">
        <v>-0.60096501172456662</v>
      </c>
      <c r="I70">
        <v>-0.45658335900372571</v>
      </c>
      <c r="J70">
        <v>5.1404072598193261E-2</v>
      </c>
      <c r="K70">
        <v>0.29466362426574422</v>
      </c>
      <c r="L70">
        <v>0.1897816805945004</v>
      </c>
      <c r="M70">
        <v>0.64285373042221494</v>
      </c>
      <c r="N70">
        <v>0.4346893681282869</v>
      </c>
      <c r="O70">
        <v>0.19504531582460219</v>
      </c>
      <c r="P70">
        <v>5.5310768415127283E-2</v>
      </c>
      <c r="Q70">
        <v>1.472102971971018E-2</v>
      </c>
      <c r="R70">
        <v>0.15439281216267359</v>
      </c>
      <c r="S70">
        <v>5.9590013282508479E-2</v>
      </c>
      <c r="T70">
        <v>-1.0538486021663971E-2</v>
      </c>
      <c r="U70">
        <v>-0.29694172142866959</v>
      </c>
      <c r="V70">
        <v>-0.13410699809707691</v>
      </c>
      <c r="W70">
        <v>-0.51023310999732518</v>
      </c>
      <c r="X70">
        <v>-0.74695470899219407</v>
      </c>
      <c r="Y70">
        <v>-0.74988871824864467</v>
      </c>
      <c r="Z70">
        <v>-0.65703084544332735</v>
      </c>
      <c r="AA70">
        <v>-1.1746367073770949</v>
      </c>
      <c r="AB70">
        <v>-1.663082739476075</v>
      </c>
      <c r="AC70">
        <v>-1.4896661778893121</v>
      </c>
      <c r="AD70">
        <v>-1.3369468236979529</v>
      </c>
      <c r="AE70">
        <v>-1.39573595072057</v>
      </c>
      <c r="AF70">
        <v>-1.503985966342855</v>
      </c>
      <c r="AG70">
        <v>-1.538095285567225</v>
      </c>
      <c r="AH70">
        <v>-1.6622575460899061</v>
      </c>
      <c r="AI70">
        <v>-1.392498928119307</v>
      </c>
      <c r="AJ70">
        <v>-1.1453801869273681</v>
      </c>
      <c r="AK70">
        <v>-1.1368977822658251</v>
      </c>
      <c r="AL70">
        <v>-1.204058268533851</v>
      </c>
      <c r="AM70">
        <v>-1.3549959931023681</v>
      </c>
      <c r="AN70">
        <v>-1.5220053945553209</v>
      </c>
      <c r="AO70">
        <v>-1.811698432952513</v>
      </c>
      <c r="AP70">
        <v>-1.0859621189898989</v>
      </c>
      <c r="AQ70">
        <v>-0.98214442331498408</v>
      </c>
      <c r="AR70">
        <v>-0.92159412145125419</v>
      </c>
      <c r="AS70">
        <v>-1.2107609509681081</v>
      </c>
      <c r="AT70">
        <v>-1.0490832283300271</v>
      </c>
      <c r="AU70">
        <v>-1.189064123810561</v>
      </c>
      <c r="AV70">
        <v>-0.85895223545848043</v>
      </c>
      <c r="AW70">
        <v>-0.70689734321546294</v>
      </c>
      <c r="AX70">
        <v>-0.6058877143937883</v>
      </c>
      <c r="AY70">
        <v>-0.95808071475917755</v>
      </c>
      <c r="AZ70">
        <v>-1.246711375690877</v>
      </c>
      <c r="BA70">
        <v>-0.81135507135262774</v>
      </c>
      <c r="BB70">
        <v>-0.18787607743162149</v>
      </c>
      <c r="BC70">
        <v>7.297618449318327E-3</v>
      </c>
      <c r="BD70">
        <v>0.54316378470584159</v>
      </c>
      <c r="BE70">
        <v>0.18015560793869281</v>
      </c>
      <c r="BF70">
        <v>0.18802871925769099</v>
      </c>
      <c r="BG70">
        <v>0.95082405265760361</v>
      </c>
      <c r="BH70">
        <v>1.720785567059038</v>
      </c>
      <c r="BI70">
        <v>2.4041425955584819</v>
      </c>
      <c r="BJ70">
        <v>2.2410417542006189</v>
      </c>
      <c r="BK70">
        <v>1.576828707991325</v>
      </c>
      <c r="BL70">
        <v>1.3613543028810839</v>
      </c>
      <c r="BM70">
        <v>1.706592086011089</v>
      </c>
      <c r="BN70">
        <v>1.8722258469771209</v>
      </c>
      <c r="BO70">
        <v>2.4148113826355528</v>
      </c>
      <c r="BP70">
        <v>2.6540622902186</v>
      </c>
      <c r="BQ70">
        <v>2.335159626825154</v>
      </c>
      <c r="BR70">
        <v>2.762072283119152</v>
      </c>
      <c r="BS70">
        <v>3.5984335262442948</v>
      </c>
      <c r="BT70">
        <v>3.377269381284175</v>
      </c>
      <c r="BU70">
        <v>3.7195421937604438</v>
      </c>
      <c r="BV70">
        <v>3.5473462598420822</v>
      </c>
      <c r="BW70">
        <v>2.4108476515144881</v>
      </c>
      <c r="BX70">
        <v>2.1363986268774231</v>
      </c>
      <c r="BY70">
        <v>2.552454797555114</v>
      </c>
      <c r="BZ70">
        <v>3.3682402080773781</v>
      </c>
      <c r="CA70">
        <v>2.9322408975671719</v>
      </c>
      <c r="CB70" s="7">
        <v>2.8855032232011131</v>
      </c>
      <c r="CC70">
        <v>3.0568166471472891</v>
      </c>
    </row>
    <row r="71" spans="1:81" x14ac:dyDescent="0.35">
      <c r="A71" t="s">
        <v>84</v>
      </c>
      <c r="B71">
        <v>-0.66188948234751832</v>
      </c>
      <c r="C71">
        <v>-0.52402271758995811</v>
      </c>
      <c r="D71">
        <v>-6.2850386930167826E-3</v>
      </c>
      <c r="E71">
        <v>-0.47361487923528178</v>
      </c>
      <c r="F71">
        <v>-0.75518232740109736</v>
      </c>
      <c r="G71">
        <v>-0.10483517856284159</v>
      </c>
      <c r="H71">
        <v>1.207001761339271</v>
      </c>
      <c r="I71">
        <v>1.704966625639883</v>
      </c>
      <c r="J71">
        <v>1.854943074343959</v>
      </c>
      <c r="K71">
        <v>1.3563802111119261</v>
      </c>
      <c r="L71">
        <v>0.5155868677415093</v>
      </c>
      <c r="M71">
        <v>1.471753883473556</v>
      </c>
      <c r="N71">
        <v>1.246084276060021</v>
      </c>
      <c r="O71">
        <v>1.986494151703381</v>
      </c>
      <c r="P71">
        <v>2.840291349793854</v>
      </c>
      <c r="Q71">
        <v>3.8174953249615422</v>
      </c>
      <c r="R71">
        <v>4.8301346407287511</v>
      </c>
      <c r="S71">
        <v>4.4892001882405568</v>
      </c>
      <c r="T71">
        <v>4.116173862543044</v>
      </c>
      <c r="U71">
        <v>3.4656690781961359</v>
      </c>
      <c r="V71">
        <v>2.818559500108663</v>
      </c>
      <c r="W71">
        <v>3.2364864564142919</v>
      </c>
      <c r="X71">
        <v>2.7767542181527092</v>
      </c>
      <c r="Y71">
        <v>3.0743117204166039</v>
      </c>
      <c r="Z71">
        <v>3.051096769460194</v>
      </c>
      <c r="AA71">
        <v>3.311418902090332</v>
      </c>
      <c r="AB71">
        <v>3.1743692846243858</v>
      </c>
      <c r="AC71">
        <v>3.3691266674672748</v>
      </c>
      <c r="AD71">
        <v>2.9443843493588511</v>
      </c>
      <c r="AE71">
        <v>3.263543978831712</v>
      </c>
      <c r="AF71">
        <v>3.236650706374423</v>
      </c>
      <c r="AG71">
        <v>2.8324313302716639</v>
      </c>
      <c r="AH71">
        <v>2.753575897296821</v>
      </c>
      <c r="AI71">
        <v>2.768773570770076</v>
      </c>
      <c r="AJ71">
        <v>3.0519737037006882</v>
      </c>
      <c r="AK71">
        <v>2.8910859516380798</v>
      </c>
      <c r="AL71">
        <v>2.7349178150719742</v>
      </c>
      <c r="AM71">
        <v>3.3284620280713901</v>
      </c>
      <c r="AN71">
        <v>1.8059785557141941</v>
      </c>
      <c r="AO71">
        <v>-0.51845931857003347</v>
      </c>
      <c r="AP71">
        <v>3.49081731614358</v>
      </c>
      <c r="AQ71">
        <v>5.2156697925899262</v>
      </c>
      <c r="AR71">
        <v>5.1311151176299399</v>
      </c>
      <c r="AS71">
        <v>4.427868345934546</v>
      </c>
      <c r="AT71">
        <v>3.689854121489351</v>
      </c>
      <c r="AU71">
        <v>4.3790494374514521</v>
      </c>
      <c r="AV71">
        <v>5.2828689552438766</v>
      </c>
      <c r="AW71">
        <v>4.508802014036088</v>
      </c>
      <c r="AX71">
        <v>3.9830224614837171</v>
      </c>
      <c r="AY71">
        <v>4.1187124520358491</v>
      </c>
      <c r="AZ71">
        <v>4.0322780718699143</v>
      </c>
      <c r="BA71">
        <v>3.916850830986832</v>
      </c>
      <c r="BB71">
        <v>4.3598644248367497</v>
      </c>
      <c r="BC71">
        <v>4.8153997920681304</v>
      </c>
      <c r="BD71">
        <v>4.981497288463717</v>
      </c>
      <c r="BE71">
        <v>4.6540409781516976</v>
      </c>
      <c r="BF71">
        <v>4.3811903452476848</v>
      </c>
      <c r="BG71">
        <v>4.4171131747201224</v>
      </c>
      <c r="BH71">
        <v>4.75733616260987</v>
      </c>
      <c r="BI71">
        <v>4.8795785287457329</v>
      </c>
      <c r="BJ71">
        <v>4.533628838129367</v>
      </c>
      <c r="BK71">
        <v>4.1418811615915301</v>
      </c>
      <c r="BL71">
        <v>4.4819068321867892</v>
      </c>
      <c r="BM71">
        <v>4.8612491656321097</v>
      </c>
      <c r="BN71">
        <v>5.2666265491533082</v>
      </c>
      <c r="BO71">
        <v>5.4494646491568659</v>
      </c>
      <c r="BP71">
        <v>5.0165921309961687</v>
      </c>
      <c r="BQ71">
        <v>4.9532010944763059</v>
      </c>
      <c r="BR71">
        <v>5.0851351269648228</v>
      </c>
      <c r="BS71">
        <v>5.3096381686543719</v>
      </c>
      <c r="BT71">
        <v>4.8538141344379344</v>
      </c>
      <c r="BU71">
        <v>4.5880943475693972</v>
      </c>
      <c r="BV71">
        <v>4.3017316883658934</v>
      </c>
      <c r="BW71">
        <v>4.0332064816964976</v>
      </c>
      <c r="BX71">
        <v>4.1170717937094494</v>
      </c>
      <c r="BY71">
        <v>4.1704801815908308</v>
      </c>
      <c r="BZ71">
        <v>4.5005078062633688</v>
      </c>
      <c r="CA71">
        <v>4.2332582902855567</v>
      </c>
      <c r="CB71" s="7">
        <v>4.1470234490834024</v>
      </c>
      <c r="CC71">
        <v>4.1121402057229677</v>
      </c>
    </row>
    <row r="72" spans="1:81" x14ac:dyDescent="0.35">
      <c r="A72" t="s">
        <v>85</v>
      </c>
      <c r="B72">
        <v>0.50942517104421203</v>
      </c>
      <c r="C72">
        <v>0.1208684616900817</v>
      </c>
      <c r="D72">
        <v>0.1695128529161527</v>
      </c>
      <c r="E72">
        <v>-0.12798932922360051</v>
      </c>
      <c r="F72">
        <v>-0.14438104019488671</v>
      </c>
      <c r="G72">
        <v>-0.1167510858524123</v>
      </c>
      <c r="H72">
        <v>-0.33334819520609388</v>
      </c>
      <c r="I72">
        <v>-0.3176689923612086</v>
      </c>
      <c r="J72">
        <v>-0.20941380071254129</v>
      </c>
      <c r="K72">
        <v>-0.11693123426294361</v>
      </c>
      <c r="L72">
        <v>-0.13539673115862169</v>
      </c>
      <c r="M72">
        <v>-0.13665976653652059</v>
      </c>
      <c r="N72">
        <v>-0.21829874003386229</v>
      </c>
      <c r="O72">
        <v>-0.30548691333708611</v>
      </c>
      <c r="P72">
        <v>-0.29371348986533569</v>
      </c>
      <c r="Q72">
        <v>-0.1396221105702154</v>
      </c>
      <c r="R72">
        <v>-0.16629751638508949</v>
      </c>
      <c r="S72">
        <v>-0.12338985513955721</v>
      </c>
      <c r="T72">
        <v>-7.9507173092432618E-2</v>
      </c>
      <c r="U72">
        <v>-7.5964110040336527E-2</v>
      </c>
      <c r="V72">
        <v>-0.19739543711239341</v>
      </c>
      <c r="W72">
        <v>-0.14472524806054049</v>
      </c>
      <c r="X72">
        <v>-0.19492489757406631</v>
      </c>
      <c r="Y72">
        <v>-9.691074704089328E-2</v>
      </c>
      <c r="Z72">
        <v>-0.25615990560938712</v>
      </c>
      <c r="AA72">
        <v>-0.40204697219984831</v>
      </c>
      <c r="AB72">
        <v>-0.49217821259382322</v>
      </c>
      <c r="AC72">
        <v>-0.29731456310648913</v>
      </c>
      <c r="AD72">
        <v>-0.14665497665983671</v>
      </c>
      <c r="AE72">
        <v>-0.36519600546005743</v>
      </c>
      <c r="AF72">
        <v>-0.21107504164415999</v>
      </c>
      <c r="AG72">
        <v>-0.28120634519074272</v>
      </c>
      <c r="AH72">
        <v>-0.332753908224247</v>
      </c>
      <c r="AI72">
        <v>-0.23708152569687629</v>
      </c>
      <c r="AJ72">
        <v>-0.18426868163792351</v>
      </c>
      <c r="AK72">
        <v>-0.27507301276469942</v>
      </c>
      <c r="AL72">
        <v>-0.46569025092680022</v>
      </c>
      <c r="AM72">
        <v>-0.49934413948288919</v>
      </c>
      <c r="AN72">
        <v>-0.53858624085414541</v>
      </c>
      <c r="AO72">
        <v>-0.42800574666599961</v>
      </c>
      <c r="AP72">
        <v>-0.7190339124176629</v>
      </c>
      <c r="AQ72">
        <v>-0.5352605072997626</v>
      </c>
      <c r="AR72">
        <v>-0.41842549642998761</v>
      </c>
      <c r="AS72">
        <v>-0.27595052184759578</v>
      </c>
      <c r="AT72">
        <v>-0.1216468687295898</v>
      </c>
      <c r="AU72">
        <v>-0.22699587789161629</v>
      </c>
      <c r="AV72">
        <v>4.796406086318554E-2</v>
      </c>
      <c r="AW72">
        <v>-2.3300459190713309E-2</v>
      </c>
      <c r="AX72">
        <v>-0.1869478560541066</v>
      </c>
      <c r="AY72">
        <v>-0.1952553453686377</v>
      </c>
      <c r="AZ72">
        <v>-6.1053452498110658E-2</v>
      </c>
      <c r="BA72">
        <v>-4.8205301602095608E-2</v>
      </c>
      <c r="BB72">
        <v>-3.7345064555100442E-2</v>
      </c>
      <c r="BC72">
        <v>0.28680713754092818</v>
      </c>
      <c r="BD72">
        <v>0.31991528303285682</v>
      </c>
      <c r="BE72">
        <v>-0.22779631982856241</v>
      </c>
      <c r="BF72">
        <v>-0.36774162174170422</v>
      </c>
      <c r="BG72">
        <v>-0.35343944344937978</v>
      </c>
      <c r="BH72">
        <v>-0.31359276601625208</v>
      </c>
      <c r="BI72">
        <v>-8.1175079261412278E-2</v>
      </c>
      <c r="BJ72">
        <v>-0.2483026681985939</v>
      </c>
      <c r="BK72">
        <v>-0.36805797539356627</v>
      </c>
      <c r="BL72">
        <v>-0.2599573012971032</v>
      </c>
      <c r="BM72">
        <v>-0.12933067525928099</v>
      </c>
      <c r="BN72">
        <v>-7.3480580488428052E-2</v>
      </c>
      <c r="BO72">
        <v>-4.1123596664190409E-2</v>
      </c>
      <c r="BP72">
        <v>-5.0960525296417147E-2</v>
      </c>
      <c r="BQ72">
        <v>-0.14294518573948281</v>
      </c>
      <c r="BR72">
        <v>-0.12912574328305729</v>
      </c>
      <c r="BS72">
        <v>-0.1189848755161635</v>
      </c>
      <c r="BT72">
        <v>-0.1391003339195078</v>
      </c>
      <c r="BU72">
        <v>-8.4120497073743888E-2</v>
      </c>
      <c r="BV72">
        <v>7.2776504784420007E-2</v>
      </c>
      <c r="BW72">
        <v>-5.9377858058826442E-2</v>
      </c>
      <c r="BX72">
        <v>9.0355930513462121E-2</v>
      </c>
      <c r="BY72">
        <v>0.19484524696589259</v>
      </c>
      <c r="BZ72">
        <v>0.38682261920950223</v>
      </c>
      <c r="CA72">
        <v>0.32697622164416429</v>
      </c>
      <c r="CB72" s="7">
        <v>0.47675855289577201</v>
      </c>
      <c r="CC72">
        <v>0.26643965012285009</v>
      </c>
    </row>
    <row r="73" spans="1:81" x14ac:dyDescent="0.35">
      <c r="A73" t="s">
        <v>86</v>
      </c>
      <c r="B73">
        <v>130.250124712906</v>
      </c>
      <c r="C73">
        <v>130.47723613366631</v>
      </c>
      <c r="D73">
        <v>130.7540612459689</v>
      </c>
      <c r="E73">
        <v>130.23799493590249</v>
      </c>
      <c r="F73">
        <v>132.7852946464144</v>
      </c>
      <c r="G73">
        <v>134.75419573001329</v>
      </c>
      <c r="H73">
        <v>136.01215414639199</v>
      </c>
      <c r="I73">
        <v>137.0128111568188</v>
      </c>
      <c r="J73">
        <v>137.48465216892629</v>
      </c>
      <c r="K73">
        <v>136.9962495144068</v>
      </c>
      <c r="L73">
        <v>135.65917635842419</v>
      </c>
      <c r="M73">
        <v>138.35639576245811</v>
      </c>
      <c r="N73">
        <v>138.36605500230519</v>
      </c>
      <c r="O73">
        <v>138.52120037697159</v>
      </c>
      <c r="P73">
        <v>139.00267190307071</v>
      </c>
      <c r="Q73">
        <v>140.33368384428161</v>
      </c>
      <c r="R73">
        <v>141.58404280263821</v>
      </c>
      <c r="S73">
        <v>140.5708933453667</v>
      </c>
      <c r="T73">
        <v>139.54372535929241</v>
      </c>
      <c r="U73">
        <v>139.95425279872109</v>
      </c>
      <c r="V73">
        <v>137.70350719833769</v>
      </c>
      <c r="W73">
        <v>137.5721060114785</v>
      </c>
      <c r="X73">
        <v>134.69388359006891</v>
      </c>
      <c r="Y73">
        <v>135.72113566365019</v>
      </c>
      <c r="Z73">
        <v>136.11855907707789</v>
      </c>
      <c r="AA73">
        <v>135.7522356652984</v>
      </c>
      <c r="AB73">
        <v>135.3876749990344</v>
      </c>
      <c r="AC73">
        <v>137.85939206356591</v>
      </c>
      <c r="AD73">
        <v>138.84995694424379</v>
      </c>
      <c r="AE73">
        <v>139.2587860027939</v>
      </c>
      <c r="AF73">
        <v>139.40578506180131</v>
      </c>
      <c r="AG73">
        <v>139.0314017467272</v>
      </c>
      <c r="AH73">
        <v>138.2191259050671</v>
      </c>
      <c r="AI73">
        <v>139.17826185365911</v>
      </c>
      <c r="AJ73">
        <v>141.9389875659931</v>
      </c>
      <c r="AK73">
        <v>141.56090499081799</v>
      </c>
      <c r="AL73">
        <v>141.2925155320435</v>
      </c>
      <c r="AM73">
        <v>141.97264733066939</v>
      </c>
      <c r="AN73">
        <v>139.7233087555623</v>
      </c>
      <c r="AO73">
        <v>136.66615207558229</v>
      </c>
      <c r="AP73">
        <v>141.6311255943786</v>
      </c>
      <c r="AQ73">
        <v>143.33251856660129</v>
      </c>
      <c r="AR73">
        <v>142.72252881812221</v>
      </c>
      <c r="AS73">
        <v>143.32572938391459</v>
      </c>
      <c r="AT73">
        <v>143.40607643934081</v>
      </c>
      <c r="AU73">
        <v>143.15472382020451</v>
      </c>
      <c r="AV73">
        <v>143.39920157655479</v>
      </c>
      <c r="AW73">
        <v>142.59132699015521</v>
      </c>
      <c r="AX73">
        <v>141.7008710153348</v>
      </c>
      <c r="AY73">
        <v>141.01269001061129</v>
      </c>
      <c r="AZ73">
        <v>140.10848468624201</v>
      </c>
      <c r="BA73">
        <v>142.15837398006281</v>
      </c>
      <c r="BB73">
        <v>144.23560723417719</v>
      </c>
      <c r="BC73">
        <v>145.5048824354682</v>
      </c>
      <c r="BD73">
        <v>146.78591310660829</v>
      </c>
      <c r="BE73">
        <v>146.45076253767931</v>
      </c>
      <c r="BF73">
        <v>145.8847856324214</v>
      </c>
      <c r="BG73">
        <v>145.4594297998365</v>
      </c>
      <c r="BH73">
        <v>145.62115453026769</v>
      </c>
      <c r="BI73">
        <v>146.39048849586101</v>
      </c>
      <c r="BJ73">
        <v>146.00893095346461</v>
      </c>
      <c r="BK73">
        <v>144.77985026479209</v>
      </c>
      <c r="BL73">
        <v>144.65339766208251</v>
      </c>
      <c r="BM73">
        <v>146.60693588567051</v>
      </c>
      <c r="BN73">
        <v>148.2560781398486</v>
      </c>
      <c r="BO73">
        <v>149.31033759068251</v>
      </c>
      <c r="BP73">
        <v>149.06999493826311</v>
      </c>
      <c r="BQ73">
        <v>148.53666711878969</v>
      </c>
      <c r="BR73">
        <v>150.0184666384221</v>
      </c>
      <c r="BS73">
        <v>151.15635509893619</v>
      </c>
      <c r="BT73">
        <v>150.60103854199309</v>
      </c>
      <c r="BU73">
        <v>152.4895416511871</v>
      </c>
      <c r="BV73">
        <v>152.72687210837589</v>
      </c>
      <c r="BW73">
        <v>150.6674293737091</v>
      </c>
      <c r="BX73">
        <v>150.5409638666587</v>
      </c>
      <c r="BY73">
        <v>151.76997290908969</v>
      </c>
      <c r="BZ73">
        <v>153.3000816984495</v>
      </c>
      <c r="CA73">
        <v>152.68630701011949</v>
      </c>
      <c r="CB73" s="7">
        <v>152.79496658120161</v>
      </c>
      <c r="CC73">
        <v>152.7589769589884</v>
      </c>
    </row>
    <row r="74" spans="1:81" x14ac:dyDescent="0.35">
      <c r="A74" t="s">
        <v>87</v>
      </c>
      <c r="B74">
        <v>45784351.979999997</v>
      </c>
      <c r="C74">
        <v>44175746.469999999</v>
      </c>
      <c r="D74">
        <v>69145897.670000002</v>
      </c>
      <c r="E74">
        <v>36847871.729999997</v>
      </c>
      <c r="F74">
        <v>45113216.979999997</v>
      </c>
      <c r="G74">
        <v>56075923.809999987</v>
      </c>
      <c r="H74">
        <v>55118316.059999987</v>
      </c>
      <c r="I74">
        <v>45965940.380000003</v>
      </c>
      <c r="J74">
        <v>41869910.719999999</v>
      </c>
      <c r="K74">
        <v>40792554.840000004</v>
      </c>
      <c r="L74">
        <v>34676355.590000004</v>
      </c>
      <c r="M74">
        <v>33802909.75</v>
      </c>
      <c r="N74">
        <v>37068837.740000002</v>
      </c>
      <c r="O74">
        <v>35986838.340000004</v>
      </c>
      <c r="P74">
        <v>84593967.079999998</v>
      </c>
      <c r="Q74">
        <v>82351158.849999994</v>
      </c>
      <c r="R74">
        <v>71111293.160000011</v>
      </c>
      <c r="S74">
        <v>71965432.629999995</v>
      </c>
      <c r="T74">
        <v>63877439.809999987</v>
      </c>
      <c r="U74">
        <v>61003568.979999997</v>
      </c>
      <c r="V74">
        <v>56999714.729999997</v>
      </c>
      <c r="W74">
        <v>54244182.039999999</v>
      </c>
      <c r="X74">
        <v>54081297.899999999</v>
      </c>
      <c r="Y74">
        <v>53502696.020000003</v>
      </c>
      <c r="Z74">
        <v>41349269.619999997</v>
      </c>
      <c r="AA74">
        <v>45059513.549999997</v>
      </c>
      <c r="AB74">
        <v>69845432.179999992</v>
      </c>
      <c r="AC74">
        <v>56513681.240000002</v>
      </c>
      <c r="AD74">
        <v>50742335.900000013</v>
      </c>
      <c r="AE74">
        <v>48333218.509999998</v>
      </c>
      <c r="AF74">
        <v>42126429.07</v>
      </c>
      <c r="AG74">
        <v>46102823.359999999</v>
      </c>
      <c r="AH74">
        <v>43729368.959999993</v>
      </c>
      <c r="AI74">
        <v>33152921.710000001</v>
      </c>
      <c r="AJ74">
        <v>23815875.879999999</v>
      </c>
      <c r="AK74">
        <v>19719461.739999998</v>
      </c>
      <c r="AL74">
        <v>18425936.559999999</v>
      </c>
      <c r="AM74">
        <v>18279245.68</v>
      </c>
      <c r="AN74">
        <v>17382136.399999999</v>
      </c>
      <c r="AO74">
        <v>7333262.4500000011</v>
      </c>
      <c r="AP74">
        <v>28326357.899999999</v>
      </c>
      <c r="AQ74">
        <v>30902995.760000002</v>
      </c>
      <c r="AR74">
        <v>30958894.18</v>
      </c>
      <c r="AS74">
        <v>39011502.780000001</v>
      </c>
      <c r="AT74">
        <v>37794051.159999996</v>
      </c>
      <c r="AU74">
        <v>45498621.729999997</v>
      </c>
      <c r="AV74">
        <v>62328588.790000007</v>
      </c>
      <c r="AW74">
        <v>51040389.789999999</v>
      </c>
      <c r="AX74">
        <v>56953109.75</v>
      </c>
      <c r="AY74">
        <v>76391851.030000001</v>
      </c>
      <c r="AZ74">
        <v>136801061.09999999</v>
      </c>
      <c r="BA74">
        <v>113803178.20999999</v>
      </c>
      <c r="BB74">
        <v>105690469.51000001</v>
      </c>
      <c r="BC74">
        <v>96805322.719999999</v>
      </c>
      <c r="BD74">
        <v>93769102.00999999</v>
      </c>
      <c r="BE74">
        <v>67342560.090000004</v>
      </c>
      <c r="BF74">
        <v>66385088.82</v>
      </c>
      <c r="BG74">
        <v>84019442.310000002</v>
      </c>
      <c r="BH74">
        <v>72309047.899999991</v>
      </c>
      <c r="BI74">
        <v>84714356.63000001</v>
      </c>
      <c r="BJ74">
        <v>100026356.54000001</v>
      </c>
      <c r="BK74">
        <v>99583892.930000007</v>
      </c>
      <c r="BL74">
        <v>182220629.02000001</v>
      </c>
      <c r="BM74">
        <v>143925744.31999999</v>
      </c>
      <c r="BN74">
        <v>129368909.23999999</v>
      </c>
      <c r="BO74">
        <v>117618703.83</v>
      </c>
      <c r="BP74">
        <v>120614945.47</v>
      </c>
      <c r="BQ74">
        <v>108888151.29000001</v>
      </c>
      <c r="BR74">
        <v>104741790.97</v>
      </c>
      <c r="BS74">
        <v>102099616.62</v>
      </c>
      <c r="BT74">
        <v>77568636.989999995</v>
      </c>
      <c r="BU74">
        <v>89478757.99000001</v>
      </c>
      <c r="BV74">
        <v>83887222.410000011</v>
      </c>
      <c r="BW74">
        <v>110076564.98999999</v>
      </c>
      <c r="BX74">
        <v>179518670.34</v>
      </c>
      <c r="BY74">
        <v>145011369.62</v>
      </c>
      <c r="BZ74">
        <v>136919522.56</v>
      </c>
      <c r="CA74">
        <v>127772810.31</v>
      </c>
      <c r="CB74" s="7">
        <v>124726353.59</v>
      </c>
      <c r="CC74">
        <v>50656239.82</v>
      </c>
    </row>
    <row r="75" spans="1:81" x14ac:dyDescent="0.35">
      <c r="A75" t="s">
        <v>88</v>
      </c>
      <c r="B75">
        <v>1.9252050890731689</v>
      </c>
      <c r="C75">
        <v>1.920550195268302</v>
      </c>
      <c r="D75">
        <v>1.8596290377709801</v>
      </c>
      <c r="E75">
        <v>1.9305177822019599</v>
      </c>
      <c r="F75">
        <v>1.97039523108297</v>
      </c>
      <c r="G75">
        <v>1.88974825107436</v>
      </c>
      <c r="H75">
        <v>1.7549544826534811</v>
      </c>
      <c r="I75">
        <v>1.7160482465107441</v>
      </c>
      <c r="J75">
        <v>1.7135826026781149</v>
      </c>
      <c r="K75">
        <v>1.767785212846257</v>
      </c>
      <c r="L75">
        <v>1.8779331530947061</v>
      </c>
      <c r="M75">
        <v>1.753934887499492</v>
      </c>
      <c r="N75">
        <v>1.7774008328550279</v>
      </c>
      <c r="O75">
        <v>1.70362152431659</v>
      </c>
      <c r="P75">
        <v>1.6114490665390331</v>
      </c>
      <c r="Q75">
        <v>1.5281972180152299</v>
      </c>
      <c r="R75">
        <v>1.455505142784272</v>
      </c>
      <c r="S75">
        <v>1.4821521378238089</v>
      </c>
      <c r="T75">
        <v>1.5063393319597891</v>
      </c>
      <c r="U75">
        <v>1.5540014949512539</v>
      </c>
      <c r="V75">
        <v>1.5991050421120081</v>
      </c>
      <c r="W75">
        <v>1.5793234178418589</v>
      </c>
      <c r="X75">
        <v>1.6191641065688349</v>
      </c>
      <c r="Y75">
        <v>1.594953082004503</v>
      </c>
      <c r="Z75">
        <v>1.5909242392422061</v>
      </c>
      <c r="AA75">
        <v>1.5718236610255969</v>
      </c>
      <c r="AB75">
        <v>1.584407183074571</v>
      </c>
      <c r="AC75">
        <v>1.575499624619249</v>
      </c>
      <c r="AD75">
        <v>1.603147284170801</v>
      </c>
      <c r="AE75">
        <v>1.5866472388926021</v>
      </c>
      <c r="AF75">
        <v>1.584189456240217</v>
      </c>
      <c r="AG75">
        <v>1.6133806892735789</v>
      </c>
      <c r="AH75">
        <v>1.6209851648211679</v>
      </c>
      <c r="AI75">
        <v>1.625682412698384</v>
      </c>
      <c r="AJ75">
        <v>1.595916604365347</v>
      </c>
      <c r="AK75">
        <v>1.6233982599276779</v>
      </c>
      <c r="AL75">
        <v>1.6409525621690011</v>
      </c>
      <c r="AM75">
        <v>1.5898287548628789</v>
      </c>
      <c r="AN75">
        <v>1.700186819849401</v>
      </c>
      <c r="AO75">
        <v>1.941381213043891</v>
      </c>
      <c r="AP75">
        <v>1.560273366417815</v>
      </c>
      <c r="AQ75">
        <v>1.4319751259465749</v>
      </c>
      <c r="AR75">
        <v>1.4367144371416929</v>
      </c>
      <c r="AS75">
        <v>1.4857671653868341</v>
      </c>
      <c r="AT75">
        <v>1.548347834623609</v>
      </c>
      <c r="AU75">
        <v>1.508285357346175</v>
      </c>
      <c r="AV75">
        <v>1.451502785439287</v>
      </c>
      <c r="AW75">
        <v>1.5043149568458269</v>
      </c>
      <c r="AX75">
        <v>1.5363524677471829</v>
      </c>
      <c r="AY75">
        <v>1.526929406578093</v>
      </c>
      <c r="AZ75">
        <v>1.5288671911361129</v>
      </c>
      <c r="BA75">
        <v>1.5314402105324101</v>
      </c>
      <c r="BB75">
        <v>1.5014358424690071</v>
      </c>
      <c r="BC75">
        <v>1.472173298921615</v>
      </c>
      <c r="BD75">
        <v>1.460386829693918</v>
      </c>
      <c r="BE75">
        <v>1.487277353298907</v>
      </c>
      <c r="BF75">
        <v>1.5073969202519439</v>
      </c>
      <c r="BG75">
        <v>1.5103873650459441</v>
      </c>
      <c r="BH75">
        <v>1.4818775018179779</v>
      </c>
      <c r="BI75">
        <v>1.4685865896181829</v>
      </c>
      <c r="BJ75">
        <v>1.490319267256871</v>
      </c>
      <c r="BK75">
        <v>1.5125442024606881</v>
      </c>
      <c r="BL75">
        <v>1.4883566036433229</v>
      </c>
      <c r="BM75">
        <v>1.4697787997190661</v>
      </c>
      <c r="BN75">
        <v>1.4438750118234831</v>
      </c>
      <c r="BO75">
        <v>1.4323778239582641</v>
      </c>
      <c r="BP75">
        <v>1.4602595597951591</v>
      </c>
      <c r="BQ75">
        <v>1.4540280253532509</v>
      </c>
      <c r="BR75">
        <v>1.4354361486236309</v>
      </c>
      <c r="BS75">
        <v>1.419617484678821</v>
      </c>
      <c r="BT75">
        <v>1.4430018340714099</v>
      </c>
      <c r="BU75">
        <v>1.4701903248058421</v>
      </c>
      <c r="BV75">
        <v>1.492328836803984</v>
      </c>
      <c r="BW75">
        <v>1.497641154345547</v>
      </c>
      <c r="BX75">
        <v>1.496785036572732</v>
      </c>
      <c r="BY75">
        <v>1.5024391891247759</v>
      </c>
      <c r="BZ75">
        <v>1.4852095874906781</v>
      </c>
      <c r="CA75">
        <v>1.5068426536507891</v>
      </c>
      <c r="CB75" s="7">
        <v>1.513841430744403</v>
      </c>
      <c r="CC75">
        <v>1.527798183306694</v>
      </c>
    </row>
    <row r="76" spans="1:81" x14ac:dyDescent="0.35">
      <c r="A76" t="s">
        <v>89</v>
      </c>
      <c r="B76">
        <v>0.23985871008481621</v>
      </c>
      <c r="C76">
        <v>0.24560335117044599</v>
      </c>
      <c r="D76">
        <v>0.24483302196159051</v>
      </c>
      <c r="E76">
        <v>0.24959539806023959</v>
      </c>
      <c r="F76">
        <v>0.24992718036316369</v>
      </c>
      <c r="G76">
        <v>0.24947509893156219</v>
      </c>
      <c r="H76">
        <v>0.25264856996739682</v>
      </c>
      <c r="I76">
        <v>0.25257064291208131</v>
      </c>
      <c r="J76">
        <v>0.25130184760974339</v>
      </c>
      <c r="K76">
        <v>0.25017803482161111</v>
      </c>
      <c r="L76">
        <v>0.25099478104019518</v>
      </c>
      <c r="M76">
        <v>0.25078074800696709</v>
      </c>
      <c r="N76">
        <v>0.25212912425252548</v>
      </c>
      <c r="O76">
        <v>0.25319874441063189</v>
      </c>
      <c r="P76">
        <v>0.25246583579498921</v>
      </c>
      <c r="Q76">
        <v>0.24995858184298039</v>
      </c>
      <c r="R76">
        <v>0.25028478052911268</v>
      </c>
      <c r="S76">
        <v>0.24982666663705899</v>
      </c>
      <c r="T76">
        <v>0.24912033415485649</v>
      </c>
      <c r="U76">
        <v>0.24905884163656361</v>
      </c>
      <c r="V76">
        <v>0.25056284562238551</v>
      </c>
      <c r="W76">
        <v>0.25029281039637191</v>
      </c>
      <c r="X76">
        <v>0.25111328872377159</v>
      </c>
      <c r="Y76">
        <v>0.24968271285911181</v>
      </c>
      <c r="Z76">
        <v>0.25181894265217819</v>
      </c>
      <c r="AA76">
        <v>0.25389274254146799</v>
      </c>
      <c r="AB76">
        <v>0.25526311452293288</v>
      </c>
      <c r="AC76">
        <v>0.25266861846996891</v>
      </c>
      <c r="AD76">
        <v>0.25031324603927041</v>
      </c>
      <c r="AE76">
        <v>0.25359114829168872</v>
      </c>
      <c r="AF76">
        <v>0.25125969596954972</v>
      </c>
      <c r="AG76">
        <v>0.25221957623664287</v>
      </c>
      <c r="AH76">
        <v>0.25305286969926588</v>
      </c>
      <c r="AI76">
        <v>0.25172801223498042</v>
      </c>
      <c r="AJ76">
        <v>0.25070291116154397</v>
      </c>
      <c r="AK76">
        <v>0.25213812753420523</v>
      </c>
      <c r="AL76">
        <v>0.25510348134951211</v>
      </c>
      <c r="AM76">
        <v>0.25541123942044719</v>
      </c>
      <c r="AN76">
        <v>0.25587920010033982</v>
      </c>
      <c r="AO76">
        <v>0.25425208960890239</v>
      </c>
      <c r="AP76">
        <v>0.25845037681967581</v>
      </c>
      <c r="AQ76">
        <v>0.25546867599363132</v>
      </c>
      <c r="AR76">
        <v>0.25373749767011222</v>
      </c>
      <c r="AS76">
        <v>0.25186230745889759</v>
      </c>
      <c r="AT76">
        <v>0.25000584989143032</v>
      </c>
      <c r="AU76">
        <v>0.25175727403793602</v>
      </c>
      <c r="AV76">
        <v>0.24806038401913261</v>
      </c>
      <c r="AW76">
        <v>0.24905835354189601</v>
      </c>
      <c r="AX76">
        <v>0.25120619902018282</v>
      </c>
      <c r="AY76">
        <v>0.25134435951605982</v>
      </c>
      <c r="AZ76">
        <v>0.2493400049150496</v>
      </c>
      <c r="BA76">
        <v>0.24891673337193171</v>
      </c>
      <c r="BB76">
        <v>0.24888897459022169</v>
      </c>
      <c r="BC76">
        <v>0.2443796639557565</v>
      </c>
      <c r="BD76">
        <v>0.24391481634757531</v>
      </c>
      <c r="BE76">
        <v>0.25185625178843413</v>
      </c>
      <c r="BF76">
        <v>0.25394301339455821</v>
      </c>
      <c r="BG76">
        <v>0.2539334043758108</v>
      </c>
      <c r="BH76">
        <v>0.25314548247474827</v>
      </c>
      <c r="BI76">
        <v>0.2496749578393864</v>
      </c>
      <c r="BJ76">
        <v>0.25199676371111168</v>
      </c>
      <c r="BK76">
        <v>0.25351708508586102</v>
      </c>
      <c r="BL76">
        <v>0.25194020882548479</v>
      </c>
      <c r="BM76">
        <v>0.25031649386143678</v>
      </c>
      <c r="BN76">
        <v>0.24953107025727131</v>
      </c>
      <c r="BO76">
        <v>0.24903484200826531</v>
      </c>
      <c r="BP76">
        <v>0.24919315783383411</v>
      </c>
      <c r="BQ76">
        <v>0.2501101888570359</v>
      </c>
      <c r="BR76">
        <v>0.24951488976520789</v>
      </c>
      <c r="BS76">
        <v>0.24932388246950929</v>
      </c>
      <c r="BT76">
        <v>0.24939329049769091</v>
      </c>
      <c r="BU76">
        <v>0.24895633104705769</v>
      </c>
      <c r="BV76">
        <v>0.24677544424073339</v>
      </c>
      <c r="BW76">
        <v>0.2482420485490322</v>
      </c>
      <c r="BX76">
        <v>0.24626296525953309</v>
      </c>
      <c r="BY76">
        <v>0.24507644319427821</v>
      </c>
      <c r="BZ76">
        <v>0.24258071078813959</v>
      </c>
      <c r="CA76">
        <v>0.2435746167491023</v>
      </c>
      <c r="CB76" s="7">
        <v>0.24142929091066559</v>
      </c>
      <c r="CC76">
        <v>0.24487603148207779</v>
      </c>
    </row>
    <row r="78" spans="1:81" x14ac:dyDescent="0.35">
      <c r="A78" t="s">
        <v>96</v>
      </c>
      <c r="B78" t="s">
        <v>1</v>
      </c>
      <c r="C78" t="s">
        <v>2</v>
      </c>
      <c r="D78" t="s">
        <v>3</v>
      </c>
      <c r="E78" t="s">
        <v>4</v>
      </c>
      <c r="F78" t="s">
        <v>5</v>
      </c>
      <c r="G78" t="s">
        <v>6</v>
      </c>
      <c r="H78" t="s">
        <v>7</v>
      </c>
      <c r="I78" t="s">
        <v>8</v>
      </c>
      <c r="J78" t="s">
        <v>9</v>
      </c>
      <c r="K78" t="s">
        <v>10</v>
      </c>
      <c r="L78" t="s">
        <v>11</v>
      </c>
      <c r="M78" t="s">
        <v>12</v>
      </c>
      <c r="N78" t="s">
        <v>13</v>
      </c>
      <c r="O78" t="s">
        <v>14</v>
      </c>
      <c r="P78" t="s">
        <v>15</v>
      </c>
      <c r="Q78" t="s">
        <v>16</v>
      </c>
      <c r="R78" t="s">
        <v>17</v>
      </c>
      <c r="S78" t="s">
        <v>18</v>
      </c>
      <c r="T78" t="s">
        <v>19</v>
      </c>
      <c r="U78" t="s">
        <v>20</v>
      </c>
      <c r="V78" t="s">
        <v>21</v>
      </c>
      <c r="W78" t="s">
        <v>22</v>
      </c>
      <c r="X78" t="s">
        <v>23</v>
      </c>
      <c r="Y78" t="s">
        <v>24</v>
      </c>
      <c r="Z78" t="s">
        <v>25</v>
      </c>
      <c r="AA78" t="s">
        <v>26</v>
      </c>
      <c r="AB78" t="s">
        <v>27</v>
      </c>
      <c r="AC78" t="s">
        <v>28</v>
      </c>
      <c r="AD78" t="s">
        <v>29</v>
      </c>
      <c r="AE78" t="s">
        <v>30</v>
      </c>
      <c r="AF78" t="s">
        <v>31</v>
      </c>
      <c r="AG78" t="s">
        <v>32</v>
      </c>
      <c r="AH78" t="s">
        <v>33</v>
      </c>
      <c r="AI78" t="s">
        <v>34</v>
      </c>
      <c r="AJ78" t="s">
        <v>35</v>
      </c>
      <c r="AK78" t="s">
        <v>36</v>
      </c>
      <c r="AL78" t="s">
        <v>37</v>
      </c>
      <c r="AM78" t="s">
        <v>38</v>
      </c>
      <c r="AN78" t="s">
        <v>39</v>
      </c>
      <c r="AO78" t="s">
        <v>40</v>
      </c>
      <c r="AP78" t="s">
        <v>41</v>
      </c>
      <c r="AQ78" t="s">
        <v>42</v>
      </c>
      <c r="AR78" t="s">
        <v>43</v>
      </c>
      <c r="AS78" t="s">
        <v>44</v>
      </c>
      <c r="AT78" t="s">
        <v>45</v>
      </c>
      <c r="AU78" t="s">
        <v>46</v>
      </c>
      <c r="AV78" t="s">
        <v>47</v>
      </c>
      <c r="AW78" t="s">
        <v>48</v>
      </c>
      <c r="AX78" t="s">
        <v>49</v>
      </c>
      <c r="AY78" t="s">
        <v>50</v>
      </c>
      <c r="AZ78" t="s">
        <v>51</v>
      </c>
      <c r="BA78" t="s">
        <v>52</v>
      </c>
      <c r="BB78" t="s">
        <v>53</v>
      </c>
      <c r="BC78" t="s">
        <v>54</v>
      </c>
      <c r="BD78" t="s">
        <v>55</v>
      </c>
      <c r="BE78" t="s">
        <v>56</v>
      </c>
      <c r="BF78" t="s">
        <v>57</v>
      </c>
      <c r="BG78" t="s">
        <v>58</v>
      </c>
      <c r="BH78" t="s">
        <v>59</v>
      </c>
      <c r="BI78" t="s">
        <v>60</v>
      </c>
      <c r="BJ78" t="s">
        <v>61</v>
      </c>
      <c r="BK78" t="s">
        <v>62</v>
      </c>
      <c r="BL78" t="s">
        <v>63</v>
      </c>
      <c r="BM78" t="s">
        <v>64</v>
      </c>
      <c r="BN78" t="s">
        <v>65</v>
      </c>
      <c r="BO78" t="s">
        <v>66</v>
      </c>
      <c r="BP78" t="s">
        <v>67</v>
      </c>
      <c r="BQ78" t="s">
        <v>68</v>
      </c>
      <c r="BR78" t="s">
        <v>69</v>
      </c>
      <c r="BS78" t="s">
        <v>70</v>
      </c>
      <c r="BT78" t="s">
        <v>71</v>
      </c>
      <c r="BU78" t="s">
        <v>72</v>
      </c>
      <c r="BV78" t="s">
        <v>73</v>
      </c>
      <c r="BW78" t="s">
        <v>74</v>
      </c>
      <c r="BX78" t="s">
        <v>75</v>
      </c>
      <c r="BY78" t="s">
        <v>76</v>
      </c>
      <c r="BZ78" t="s">
        <v>77</v>
      </c>
      <c r="CA78" t="s">
        <v>78</v>
      </c>
      <c r="CB78" s="7" t="s">
        <v>79</v>
      </c>
      <c r="CC78" t="s">
        <v>80</v>
      </c>
    </row>
    <row r="79" spans="1:81" x14ac:dyDescent="0.35">
      <c r="A79" t="s">
        <v>81</v>
      </c>
      <c r="B79">
        <v>130.58071113296131</v>
      </c>
      <c r="C79">
        <v>131.65651153250829</v>
      </c>
      <c r="D79">
        <v>131.33082524626971</v>
      </c>
      <c r="E79">
        <v>131.00608873012371</v>
      </c>
      <c r="F79">
        <v>133.76726205704449</v>
      </c>
      <c r="G79">
        <v>135.0759869479671</v>
      </c>
      <c r="H79">
        <v>135.5082284273671</v>
      </c>
      <c r="I79">
        <v>135.74969448176759</v>
      </c>
      <c r="J79">
        <v>135.5164127165703</v>
      </c>
      <c r="K79">
        <v>135.19899970893351</v>
      </c>
      <c r="L79">
        <v>134.9167691112624</v>
      </c>
      <c r="M79">
        <v>135.2636832750286</v>
      </c>
      <c r="N79">
        <v>135.3834391313888</v>
      </c>
      <c r="O79">
        <v>134.87919442160219</v>
      </c>
      <c r="P79">
        <v>134.4798610818159</v>
      </c>
      <c r="Q79">
        <v>134.16178303495951</v>
      </c>
      <c r="R79">
        <v>134.25994711897451</v>
      </c>
      <c r="S79">
        <v>133.88341481646401</v>
      </c>
      <c r="T79">
        <v>133.21958925338041</v>
      </c>
      <c r="U79">
        <v>134.6947730175456</v>
      </c>
      <c r="V79">
        <v>133.3024908453813</v>
      </c>
      <c r="W79">
        <v>133.14136866880739</v>
      </c>
      <c r="X79">
        <v>131.83209307066249</v>
      </c>
      <c r="Y79">
        <v>131.86332520479121</v>
      </c>
      <c r="Z79">
        <v>132.26649181882709</v>
      </c>
      <c r="AA79">
        <v>132.3683581183526</v>
      </c>
      <c r="AB79">
        <v>132.88940904114281</v>
      </c>
      <c r="AC79">
        <v>134.24424355108729</v>
      </c>
      <c r="AD79">
        <v>135.1589051410225</v>
      </c>
      <c r="AE79">
        <v>135.44378323808999</v>
      </c>
      <c r="AF79">
        <v>135.8347970487998</v>
      </c>
      <c r="AG79">
        <v>135.64237455209579</v>
      </c>
      <c r="AH79">
        <v>135.2295384395</v>
      </c>
      <c r="AI79">
        <v>134.69203275399309</v>
      </c>
      <c r="AJ79">
        <v>135.71849175651039</v>
      </c>
      <c r="AK79">
        <v>135.35872592666809</v>
      </c>
      <c r="AL79">
        <v>135.46419124765529</v>
      </c>
      <c r="AM79">
        <v>135.76244174208139</v>
      </c>
      <c r="AN79">
        <v>135.63778453546601</v>
      </c>
      <c r="AO79">
        <v>136.40189164348169</v>
      </c>
      <c r="AP79">
        <v>136.69624762312469</v>
      </c>
      <c r="AQ79">
        <v>135.55033952476771</v>
      </c>
      <c r="AR79">
        <v>135.19947401020559</v>
      </c>
      <c r="AS79">
        <v>137.0941527850369</v>
      </c>
      <c r="AT79">
        <v>137.8687916307635</v>
      </c>
      <c r="AU79">
        <v>137.5875836559008</v>
      </c>
      <c r="AV79">
        <v>137.0667957190191</v>
      </c>
      <c r="AW79">
        <v>137.24443024921419</v>
      </c>
      <c r="AX79">
        <v>137.38686782401311</v>
      </c>
      <c r="AY79">
        <v>137.2477705565851</v>
      </c>
      <c r="AZ79">
        <v>136.85252507907069</v>
      </c>
      <c r="BA79">
        <v>137.81003490417541</v>
      </c>
      <c r="BB79">
        <v>138.29975333997331</v>
      </c>
      <c r="BC79">
        <v>138.761725464949</v>
      </c>
      <c r="BD79">
        <v>138.9208907027641</v>
      </c>
      <c r="BE79">
        <v>139.38618653516039</v>
      </c>
      <c r="BF79">
        <v>139.20900132823689</v>
      </c>
      <c r="BG79">
        <v>138.2527039860432</v>
      </c>
      <c r="BH79">
        <v>137.36512248175481</v>
      </c>
      <c r="BI79">
        <v>137.0014602859506</v>
      </c>
      <c r="BJ79">
        <v>137.0307865903599</v>
      </c>
      <c r="BK79">
        <v>136.90917459505081</v>
      </c>
      <c r="BL79">
        <v>137.18718735591619</v>
      </c>
      <c r="BM79">
        <v>138.0466054775026</v>
      </c>
      <c r="BN79">
        <v>138.656272412325</v>
      </c>
      <c r="BO79">
        <v>138.75104129637359</v>
      </c>
      <c r="BP79">
        <v>138.98318607408251</v>
      </c>
      <c r="BQ79">
        <v>138.69840168625481</v>
      </c>
      <c r="BR79">
        <v>138.9992488011481</v>
      </c>
      <c r="BS79">
        <v>139.06488851417981</v>
      </c>
      <c r="BT79">
        <v>139.23798239795039</v>
      </c>
      <c r="BU79">
        <v>140.60548239889329</v>
      </c>
      <c r="BV79">
        <v>141.2301819473868</v>
      </c>
      <c r="BW79">
        <v>141.1864047631405</v>
      </c>
      <c r="BX79">
        <v>141.3303719503819</v>
      </c>
      <c r="BY79">
        <v>141.7315835065869</v>
      </c>
      <c r="BZ79">
        <v>141.94670745197541</v>
      </c>
      <c r="CA79">
        <v>142.38351919859289</v>
      </c>
      <c r="CB79" s="7">
        <v>142.4953997122719</v>
      </c>
      <c r="CC79">
        <v>142.67386390503609</v>
      </c>
    </row>
    <row r="80" spans="1:81" x14ac:dyDescent="0.35">
      <c r="A80" t="s">
        <v>82</v>
      </c>
      <c r="B80">
        <v>0.33876055952458101</v>
      </c>
      <c r="C80">
        <v>0.40903494805846252</v>
      </c>
      <c r="D80">
        <v>0.61178199236749409</v>
      </c>
      <c r="E80">
        <v>0.51237541705171141</v>
      </c>
      <c r="F80">
        <v>0.71138004736641391</v>
      </c>
      <c r="G80">
        <v>0.67890190701296282</v>
      </c>
      <c r="H80">
        <v>0.46772210944169379</v>
      </c>
      <c r="I80">
        <v>0.5164738574267177</v>
      </c>
      <c r="J80">
        <v>0.42388377433641022</v>
      </c>
      <c r="K80">
        <v>0.15361584253848959</v>
      </c>
      <c r="L80">
        <v>0.1504739574541013</v>
      </c>
      <c r="M80">
        <v>8.2556718857209013E-2</v>
      </c>
      <c r="N80">
        <v>0.57724347766385542</v>
      </c>
      <c r="O80">
        <v>0.57501479498776331</v>
      </c>
      <c r="P80">
        <v>0.73483537034158397</v>
      </c>
      <c r="Q80">
        <v>0.61421795562667381</v>
      </c>
      <c r="R80">
        <v>0.60469936701409621</v>
      </c>
      <c r="S80">
        <v>0.31455046991102031</v>
      </c>
      <c r="T80">
        <v>0.20847225174753359</v>
      </c>
      <c r="U80">
        <v>0.15697409205394799</v>
      </c>
      <c r="V80">
        <v>-7.0019460307352177E-2</v>
      </c>
      <c r="W80">
        <v>-0.1132711516327542</v>
      </c>
      <c r="X80">
        <v>-0.32444030779456501</v>
      </c>
      <c r="Y80">
        <v>-0.27561003191311978</v>
      </c>
      <c r="Z80">
        <v>-0.45476676454456538</v>
      </c>
      <c r="AA80">
        <v>-0.2369935697540049</v>
      </c>
      <c r="AB80">
        <v>-0.25152765406391742</v>
      </c>
      <c r="AC80">
        <v>7.6538684507522922E-2</v>
      </c>
      <c r="AD80">
        <v>0.24743285142479979</v>
      </c>
      <c r="AE80">
        <v>0.157704069399943</v>
      </c>
      <c r="AF80">
        <v>8.1830936208014668E-2</v>
      </c>
      <c r="AG80">
        <v>-5.3495135906355601E-2</v>
      </c>
      <c r="AH80">
        <v>-0.35651373440955481</v>
      </c>
      <c r="AI80">
        <v>-0.32707186027597368</v>
      </c>
      <c r="AJ80">
        <v>-0.2930917763700574</v>
      </c>
      <c r="AK80">
        <v>-0.30469912173080449</v>
      </c>
      <c r="AL80">
        <v>-1.0090756716592479</v>
      </c>
      <c r="AM80">
        <v>-0.44048930103340789</v>
      </c>
      <c r="AN80">
        <v>-0.57457428680995182</v>
      </c>
      <c r="AO80">
        <v>-0.47152417349526171</v>
      </c>
      <c r="AP80">
        <v>0.30098916069502768</v>
      </c>
      <c r="AQ80">
        <v>-0.11892377545058549</v>
      </c>
      <c r="AR80">
        <v>0.11124896260075751</v>
      </c>
      <c r="AS80">
        <v>0.49383394933383717</v>
      </c>
      <c r="AT80">
        <v>0.80202511506595886</v>
      </c>
      <c r="AU80">
        <v>0.8344529078738635</v>
      </c>
      <c r="AV80">
        <v>0.8420811427370668</v>
      </c>
      <c r="AW80">
        <v>0.69989413130249623</v>
      </c>
      <c r="AX80">
        <v>0.16711425724358281</v>
      </c>
      <c r="AY80">
        <v>0.1562147618572996</v>
      </c>
      <c r="AZ80">
        <v>-0.1117923293003926</v>
      </c>
      <c r="BA80">
        <v>0.41649940961833032</v>
      </c>
      <c r="BB80">
        <v>0.94914952749267334</v>
      </c>
      <c r="BC80">
        <v>0.91040219937497602</v>
      </c>
      <c r="BD80">
        <v>0.80960152800687435</v>
      </c>
      <c r="BE80">
        <v>0.87472271278650959</v>
      </c>
      <c r="BF80">
        <v>0.91839405750971936</v>
      </c>
      <c r="BG80">
        <v>0.7583309780173767</v>
      </c>
      <c r="BH80">
        <v>0.66665631973822137</v>
      </c>
      <c r="BI80">
        <v>0.73827103636244895</v>
      </c>
      <c r="BJ80">
        <v>0.81312747565458576</v>
      </c>
      <c r="BK80">
        <v>0.62721955161818821</v>
      </c>
      <c r="BL80">
        <v>0.35002691197055741</v>
      </c>
      <c r="BM80">
        <v>0.89810745515991863</v>
      </c>
      <c r="BN80">
        <v>1.485316556100486</v>
      </c>
      <c r="BO80">
        <v>1.820003780062007</v>
      </c>
      <c r="BP80">
        <v>1.5302215015398579</v>
      </c>
      <c r="BQ80">
        <v>1.622814975626105</v>
      </c>
      <c r="BR80">
        <v>1.8555555466355931</v>
      </c>
      <c r="BS80">
        <v>2.0387608759070051</v>
      </c>
      <c r="BT80">
        <v>2.0444513180319119</v>
      </c>
      <c r="BU80">
        <v>2.5478854098479138</v>
      </c>
      <c r="BV80">
        <v>2.6496597210847899</v>
      </c>
      <c r="BW80">
        <v>2.4335851784102012</v>
      </c>
      <c r="BX80">
        <v>2.202671456752336</v>
      </c>
      <c r="BY80">
        <v>2.5448347543018</v>
      </c>
      <c r="BZ80">
        <v>2.7928881513588841</v>
      </c>
      <c r="CA80">
        <v>2.7284933829622982</v>
      </c>
      <c r="CB80" s="7">
        <v>2.7856912706906232</v>
      </c>
      <c r="CC80">
        <v>2.7038729873515792</v>
      </c>
    </row>
    <row r="81" spans="1:81" x14ac:dyDescent="0.35">
      <c r="A81" t="s">
        <v>83</v>
      </c>
      <c r="B81">
        <v>-0.7207411629130609</v>
      </c>
      <c r="C81">
        <v>-0.7514377175944561</v>
      </c>
      <c r="D81">
        <v>-0.84575985865609538</v>
      </c>
      <c r="E81">
        <v>-0.90068424838876149</v>
      </c>
      <c r="F81">
        <v>-0.8341936877442605</v>
      </c>
      <c r="G81">
        <v>-0.53499149200348928</v>
      </c>
      <c r="H81">
        <v>-0.61798719802595881</v>
      </c>
      <c r="I81">
        <v>-0.38340477335879458</v>
      </c>
      <c r="J81">
        <v>-1.384578388647976E-2</v>
      </c>
      <c r="K81">
        <v>5.7922841617061217E-2</v>
      </c>
      <c r="L81">
        <v>-2.185633307272284E-2</v>
      </c>
      <c r="M81">
        <v>0.23673318714752001</v>
      </c>
      <c r="N81">
        <v>4.7350071346979182E-2</v>
      </c>
      <c r="O81">
        <v>-2.4171366529760149E-2</v>
      </c>
      <c r="P81">
        <v>-0.12958378972175499</v>
      </c>
      <c r="Q81">
        <v>-3.7994577334575798E-3</v>
      </c>
      <c r="R81">
        <v>0.22688672328898449</v>
      </c>
      <c r="S81">
        <v>-4.5332271729672913E-2</v>
      </c>
      <c r="T81">
        <v>-0.17260313181285161</v>
      </c>
      <c r="U81">
        <v>-0.44720245430791811</v>
      </c>
      <c r="V81">
        <v>-0.34559018698726962</v>
      </c>
      <c r="W81">
        <v>-0.48790996265212899</v>
      </c>
      <c r="X81">
        <v>-0.69992684784631587</v>
      </c>
      <c r="Y81">
        <v>-0.77338973133323563</v>
      </c>
      <c r="Z81">
        <v>-0.89596002033501088</v>
      </c>
      <c r="AA81">
        <v>-1.32989758350132</v>
      </c>
      <c r="AB81">
        <v>-1.6778564624498311</v>
      </c>
      <c r="AC81">
        <v>-1.619008012857448</v>
      </c>
      <c r="AD81">
        <v>-1.4406333402833551</v>
      </c>
      <c r="AE81">
        <v>-1.628371238629182</v>
      </c>
      <c r="AF81">
        <v>-1.746066424224523</v>
      </c>
      <c r="AG81">
        <v>-1.8305698575122329</v>
      </c>
      <c r="AH81">
        <v>-2.0681994898166471</v>
      </c>
      <c r="AI81">
        <v>-1.94445311876701</v>
      </c>
      <c r="AJ81">
        <v>-1.899442662551724</v>
      </c>
      <c r="AK81">
        <v>-2.020859849848363</v>
      </c>
      <c r="AL81">
        <v>-2.1421593964100918</v>
      </c>
      <c r="AM81">
        <v>-1.9216888432272581</v>
      </c>
      <c r="AN81">
        <v>-1.9565328268264199</v>
      </c>
      <c r="AO81">
        <v>-2.0156385824901979</v>
      </c>
      <c r="AP81">
        <v>-1.517364259352143</v>
      </c>
      <c r="AQ81">
        <v>-1.4547300166994099</v>
      </c>
      <c r="AR81">
        <v>-1.3613876166859471</v>
      </c>
      <c r="AS81">
        <v>-1.4287334867130601</v>
      </c>
      <c r="AT81">
        <v>-1.328677060218828</v>
      </c>
      <c r="AU81">
        <v>-1.1931286049063441</v>
      </c>
      <c r="AV81">
        <v>-0.86993396010436308</v>
      </c>
      <c r="AW81">
        <v>-0.90500087384060823</v>
      </c>
      <c r="AX81">
        <v>-1.013845357481767</v>
      </c>
      <c r="AY81">
        <v>-1.126103743084101</v>
      </c>
      <c r="AZ81">
        <v>-1.363053604364745</v>
      </c>
      <c r="BA81">
        <v>-0.99338485872599558</v>
      </c>
      <c r="BB81">
        <v>-0.37813034880975749</v>
      </c>
      <c r="BC81">
        <v>-0.17842746623190001</v>
      </c>
      <c r="BD81">
        <v>0.30963551947984241</v>
      </c>
      <c r="BE81">
        <v>5.2721613416075751E-2</v>
      </c>
      <c r="BF81">
        <v>0.16592667100200109</v>
      </c>
      <c r="BG81">
        <v>1.0764803421942151</v>
      </c>
      <c r="BH81">
        <v>1.9416140883916231</v>
      </c>
      <c r="BI81">
        <v>2.6849916703466041</v>
      </c>
      <c r="BJ81">
        <v>2.6900694457384602</v>
      </c>
      <c r="BK81">
        <v>2.4728147689434699</v>
      </c>
      <c r="BL81">
        <v>1.955482150471757</v>
      </c>
      <c r="BM81">
        <v>1.9089243093276529</v>
      </c>
      <c r="BN81">
        <v>2.1252663889875132</v>
      </c>
      <c r="BO81">
        <v>2.5773036453590219</v>
      </c>
      <c r="BP81">
        <v>2.7464737396299141</v>
      </c>
      <c r="BQ81">
        <v>2.466124861263316</v>
      </c>
      <c r="BR81">
        <v>2.8360321622670059</v>
      </c>
      <c r="BS81">
        <v>3.6103328795969918</v>
      </c>
      <c r="BT81">
        <v>3.5272382919230441</v>
      </c>
      <c r="BU81">
        <v>3.914559564860749</v>
      </c>
      <c r="BV81">
        <v>3.4690108533215742</v>
      </c>
      <c r="BW81">
        <v>2.5668517737154879</v>
      </c>
      <c r="BX81">
        <v>2.2739708294086838</v>
      </c>
      <c r="BY81">
        <v>2.4985898486544409</v>
      </c>
      <c r="BZ81">
        <v>3.1170613216616512</v>
      </c>
      <c r="CA81">
        <v>2.6557950876066552</v>
      </c>
      <c r="CB81" s="7">
        <v>2.520960273042625</v>
      </c>
      <c r="CC81">
        <v>2.6022556258370431</v>
      </c>
    </row>
    <row r="82" spans="1:81" x14ac:dyDescent="0.35">
      <c r="A82" t="s">
        <v>84</v>
      </c>
      <c r="B82">
        <v>-0.74915450435832498</v>
      </c>
      <c r="C82">
        <v>-0.50241688541975815</v>
      </c>
      <c r="D82">
        <v>6.2348401694679E-2</v>
      </c>
      <c r="E82">
        <v>-0.25547071948282107</v>
      </c>
      <c r="F82">
        <v>-0.65552530413798105</v>
      </c>
      <c r="G82">
        <v>-2.0986240910866139E-2</v>
      </c>
      <c r="H82">
        <v>1.421886455871743</v>
      </c>
      <c r="I82">
        <v>2.0412074977181942</v>
      </c>
      <c r="J82">
        <v>1.9307901746610781</v>
      </c>
      <c r="K82">
        <v>1.361601813989773</v>
      </c>
      <c r="L82">
        <v>0.62794290333697489</v>
      </c>
      <c r="M82">
        <v>1.238027013782824</v>
      </c>
      <c r="N82">
        <v>1.039937944296573</v>
      </c>
      <c r="O82">
        <v>1.394181294740829</v>
      </c>
      <c r="P82">
        <v>2.4331051220151618</v>
      </c>
      <c r="Q82">
        <v>3.323473208083576</v>
      </c>
      <c r="R82">
        <v>4.0041334353334799</v>
      </c>
      <c r="S82">
        <v>3.8196016075907888</v>
      </c>
      <c r="T82">
        <v>3.382530270512786</v>
      </c>
      <c r="U82">
        <v>2.707228818445782</v>
      </c>
      <c r="V82">
        <v>2.154174882900318</v>
      </c>
      <c r="W82">
        <v>2.5068545246612381</v>
      </c>
      <c r="X82">
        <v>2.3138561416978889</v>
      </c>
      <c r="Y82">
        <v>2.3018899175438339</v>
      </c>
      <c r="Z82">
        <v>2.2660380848688719</v>
      </c>
      <c r="AA82">
        <v>2.4439276792022508</v>
      </c>
      <c r="AB82">
        <v>2.3858776030464721</v>
      </c>
      <c r="AC82">
        <v>2.641227450787794</v>
      </c>
      <c r="AD82">
        <v>2.35365355548829</v>
      </c>
      <c r="AE82">
        <v>2.9007330467181718</v>
      </c>
      <c r="AF82">
        <v>2.9213297779997198</v>
      </c>
      <c r="AG82">
        <v>2.5381696788602008</v>
      </c>
      <c r="AH82">
        <v>2.5925993208975351</v>
      </c>
      <c r="AI82">
        <v>2.3744797374636271</v>
      </c>
      <c r="AJ82">
        <v>2.147693924779186</v>
      </c>
      <c r="AK82">
        <v>1.886328727969131</v>
      </c>
      <c r="AL82">
        <v>1.914995919414882</v>
      </c>
      <c r="AM82">
        <v>2.4663044875225779</v>
      </c>
      <c r="AN82">
        <v>0.6128252495040114</v>
      </c>
      <c r="AO82">
        <v>-1.6846126332967131</v>
      </c>
      <c r="AP82">
        <v>2.876718411108373</v>
      </c>
      <c r="AQ82">
        <v>3.890393270148405</v>
      </c>
      <c r="AR82">
        <v>4.0198753678670061</v>
      </c>
      <c r="AS82">
        <v>3.7654910599365832</v>
      </c>
      <c r="AT82">
        <v>3.1666026566597969</v>
      </c>
      <c r="AU82">
        <v>3.6160582827115468</v>
      </c>
      <c r="AV82">
        <v>4.2430302027970752</v>
      </c>
      <c r="AW82">
        <v>3.4906099151987831</v>
      </c>
      <c r="AX82">
        <v>3.0948530662496738</v>
      </c>
      <c r="AY82">
        <v>3.3778807336744161</v>
      </c>
      <c r="AZ82">
        <v>3.4472298465806102</v>
      </c>
      <c r="BA82">
        <v>3.4018802016763452</v>
      </c>
      <c r="BB82">
        <v>3.7719362449756142</v>
      </c>
      <c r="BC82">
        <v>4.2060924123897703</v>
      </c>
      <c r="BD82">
        <v>4.1901617879508457</v>
      </c>
      <c r="BE82">
        <v>3.8766271518368631</v>
      </c>
      <c r="BF82">
        <v>3.6463739636279442</v>
      </c>
      <c r="BG82">
        <v>3.5802479747529672</v>
      </c>
      <c r="BH82">
        <v>3.778164766067555</v>
      </c>
      <c r="BI82">
        <v>3.9058384108223709</v>
      </c>
      <c r="BJ82">
        <v>3.6128315317297499</v>
      </c>
      <c r="BK82">
        <v>3.3331521948479099</v>
      </c>
      <c r="BL82">
        <v>3.7164167934566161</v>
      </c>
      <c r="BM82">
        <v>4.0333870215224827</v>
      </c>
      <c r="BN82">
        <v>4.510268971612688</v>
      </c>
      <c r="BO82">
        <v>4.6114642591825792</v>
      </c>
      <c r="BP82">
        <v>4.2489104774659943</v>
      </c>
      <c r="BQ82">
        <v>4.2220141156521249</v>
      </c>
      <c r="BR82">
        <v>4.2503107526102291</v>
      </c>
      <c r="BS82">
        <v>4.3804984134535978</v>
      </c>
      <c r="BT82">
        <v>4.063934042713055</v>
      </c>
      <c r="BU82">
        <v>3.8493015844422822</v>
      </c>
      <c r="BV82">
        <v>3.5553544390824112</v>
      </c>
      <c r="BW82">
        <v>3.513526809053102</v>
      </c>
      <c r="BX82">
        <v>3.6731721828488841</v>
      </c>
      <c r="BY82">
        <v>3.8179149325556772</v>
      </c>
      <c r="BZ82">
        <v>4.2142874546598081</v>
      </c>
      <c r="CA82">
        <v>3.9130672536348108</v>
      </c>
      <c r="CB82" s="7">
        <v>3.829401916999529</v>
      </c>
      <c r="CC82">
        <v>3.853533875789366</v>
      </c>
    </row>
    <row r="83" spans="1:81" x14ac:dyDescent="0.35">
      <c r="A83" t="s">
        <v>85</v>
      </c>
      <c r="B83">
        <v>0.74506373256604241</v>
      </c>
      <c r="C83">
        <v>0.234085091445772</v>
      </c>
      <c r="D83">
        <v>0.25451050766871669</v>
      </c>
      <c r="E83">
        <v>7.4971726015775541E-3</v>
      </c>
      <c r="F83">
        <v>-4.2923012907950753E-2</v>
      </c>
      <c r="G83">
        <v>-4.9224934404075729E-2</v>
      </c>
      <c r="H83">
        <v>-0.171825792809221</v>
      </c>
      <c r="I83">
        <v>-0.15373085004817061</v>
      </c>
      <c r="J83">
        <v>-0.13896002137775521</v>
      </c>
      <c r="K83">
        <v>-6.8273403073892264E-2</v>
      </c>
      <c r="L83">
        <v>-7.3486192004518072E-2</v>
      </c>
      <c r="M83">
        <v>-6.9905837235445079E-2</v>
      </c>
      <c r="N83">
        <v>-0.14597001549803279</v>
      </c>
      <c r="O83">
        <v>-0.14819712899590989</v>
      </c>
      <c r="P83">
        <v>-7.698166278363712E-2</v>
      </c>
      <c r="Q83">
        <v>5.181518598007423E-2</v>
      </c>
      <c r="R83">
        <v>1.8922387317504511E-2</v>
      </c>
      <c r="S83">
        <v>5.7074954555160762E-2</v>
      </c>
      <c r="T83">
        <v>1.0851021384796379E-2</v>
      </c>
      <c r="U83">
        <v>7.3371562359791323E-2</v>
      </c>
      <c r="V83">
        <v>4.5817059376715361E-2</v>
      </c>
      <c r="W83">
        <v>1.8075818664347851E-2</v>
      </c>
      <c r="X83">
        <v>6.6597158299903422E-3</v>
      </c>
      <c r="Y83">
        <v>5.6474567709405198E-2</v>
      </c>
      <c r="Z83">
        <v>-0.1578044388959661</v>
      </c>
      <c r="AA83">
        <v>-0.25872385354304639</v>
      </c>
      <c r="AB83">
        <v>-0.3439774726844777</v>
      </c>
      <c r="AC83">
        <v>-0.22292429615542589</v>
      </c>
      <c r="AD83">
        <v>-0.10214953945768961</v>
      </c>
      <c r="AE83">
        <v>-0.24001923613182841</v>
      </c>
      <c r="AF83">
        <v>-0.12826976820916491</v>
      </c>
      <c r="AG83">
        <v>-0.18746068986741979</v>
      </c>
      <c r="AH83">
        <v>-0.25476485508530899</v>
      </c>
      <c r="AI83">
        <v>-0.56346932299816632</v>
      </c>
      <c r="AJ83">
        <v>-0.60564129892011209</v>
      </c>
      <c r="AK83">
        <v>-0.27962296799817299</v>
      </c>
      <c r="AL83">
        <v>-0.31147268026315378</v>
      </c>
      <c r="AM83">
        <v>-0.34479304322383081</v>
      </c>
      <c r="AN83">
        <v>-0.30513718191417277</v>
      </c>
      <c r="AO83">
        <v>-0.32039484425989367</v>
      </c>
      <c r="AP83">
        <v>-0.50270646482480053</v>
      </c>
      <c r="AQ83">
        <v>-0.264380086155872</v>
      </c>
      <c r="AR83">
        <v>-0.210430130118548</v>
      </c>
      <c r="AS83">
        <v>-0.1462062972984873</v>
      </c>
      <c r="AT83">
        <v>-4.3626269058314987E-2</v>
      </c>
      <c r="AU83">
        <v>-0.15708491564393559</v>
      </c>
      <c r="AV83">
        <v>2.1552074278798881E-2</v>
      </c>
      <c r="AW83">
        <v>-4.9796854325411491E-2</v>
      </c>
      <c r="AX83">
        <v>-0.1828932534511426</v>
      </c>
      <c r="AY83">
        <v>-0.22615307798316289</v>
      </c>
      <c r="AZ83">
        <v>-0.1084375159135773</v>
      </c>
      <c r="BA83">
        <v>-0.1020495279205495</v>
      </c>
      <c r="BB83">
        <v>-8.749963115680523E-2</v>
      </c>
      <c r="BC83">
        <v>0.19549362324654271</v>
      </c>
      <c r="BD83">
        <v>0.2198777183342541</v>
      </c>
      <c r="BE83">
        <v>-0.2405213424230831</v>
      </c>
      <c r="BF83">
        <v>-0.3157942845176</v>
      </c>
      <c r="BG83">
        <v>-0.32597124575184688</v>
      </c>
      <c r="BH83">
        <v>-0.287722413955735</v>
      </c>
      <c r="BI83">
        <v>-0.1129051602464365</v>
      </c>
      <c r="BJ83">
        <v>-0.2326963384674606</v>
      </c>
      <c r="BK83">
        <v>-0.32411657920606352</v>
      </c>
      <c r="BL83">
        <v>-0.25995678495083591</v>
      </c>
      <c r="BM83">
        <v>-0.13309064442521751</v>
      </c>
      <c r="BN83">
        <v>-9.7785990573699008E-2</v>
      </c>
      <c r="BO83">
        <v>-8.7678888216901479E-2</v>
      </c>
      <c r="BP83">
        <v>-9.7664647841161356E-2</v>
      </c>
      <c r="BQ83">
        <v>-0.14947396254342579</v>
      </c>
      <c r="BR83">
        <v>-0.13700403742705661</v>
      </c>
      <c r="BS83">
        <v>-0.1339306190304714</v>
      </c>
      <c r="BT83">
        <v>-0.13105090051437401</v>
      </c>
      <c r="BU83">
        <v>-0.1248147278253493</v>
      </c>
      <c r="BV83">
        <v>2.9841501643638409E-2</v>
      </c>
      <c r="BW83">
        <v>-8.714482830434904E-2</v>
      </c>
      <c r="BX83">
        <v>4.1007860826437759E-2</v>
      </c>
      <c r="BY83">
        <v>0.14974786629107639</v>
      </c>
      <c r="BZ83">
        <v>0.33523046922680411</v>
      </c>
      <c r="CA83">
        <v>0.27592010681983609</v>
      </c>
      <c r="CB83" s="7">
        <v>0.3813400536269721</v>
      </c>
      <c r="CC83">
        <v>0.19985800480497529</v>
      </c>
    </row>
    <row r="84" spans="1:81" x14ac:dyDescent="0.35">
      <c r="A84" t="s">
        <v>86</v>
      </c>
      <c r="B84">
        <v>130.19463975778049</v>
      </c>
      <c r="C84">
        <v>131.04577696899841</v>
      </c>
      <c r="D84">
        <v>131.4137062893445</v>
      </c>
      <c r="E84">
        <v>130.3698063519054</v>
      </c>
      <c r="F84">
        <v>132.9460000996207</v>
      </c>
      <c r="G84">
        <v>135.14968618766159</v>
      </c>
      <c r="H84">
        <v>136.60802400184531</v>
      </c>
      <c r="I84">
        <v>137.77024021350559</v>
      </c>
      <c r="J84">
        <v>137.71828086030351</v>
      </c>
      <c r="K84">
        <v>136.703866804005</v>
      </c>
      <c r="L84">
        <v>135.59984344697619</v>
      </c>
      <c r="M84">
        <v>136.75109435758071</v>
      </c>
      <c r="N84">
        <v>136.90200060919821</v>
      </c>
      <c r="O84">
        <v>136.6760220158051</v>
      </c>
      <c r="P84">
        <v>137.44123612166729</v>
      </c>
      <c r="Q84">
        <v>138.14748992691639</v>
      </c>
      <c r="R84">
        <v>139.11458903192849</v>
      </c>
      <c r="S84">
        <v>138.02930957679129</v>
      </c>
      <c r="T84">
        <v>136.64883966521259</v>
      </c>
      <c r="U84">
        <v>137.1851450360972</v>
      </c>
      <c r="V84">
        <v>135.08687314036379</v>
      </c>
      <c r="W84">
        <v>135.0651178978481</v>
      </c>
      <c r="X84">
        <v>133.1282417725495</v>
      </c>
      <c r="Y84">
        <v>133.172689926798</v>
      </c>
      <c r="Z84">
        <v>133.02399867992051</v>
      </c>
      <c r="AA84">
        <v>132.98667079075639</v>
      </c>
      <c r="AB84">
        <v>133.00192505499101</v>
      </c>
      <c r="AC84">
        <v>135.12007737736971</v>
      </c>
      <c r="AD84">
        <v>136.21720866819459</v>
      </c>
      <c r="AE84">
        <v>136.63382987944709</v>
      </c>
      <c r="AF84">
        <v>136.96362157057379</v>
      </c>
      <c r="AG84">
        <v>136.10901854766999</v>
      </c>
      <c r="AH84">
        <v>135.142659681086</v>
      </c>
      <c r="AI84">
        <v>134.2315181894156</v>
      </c>
      <c r="AJ84">
        <v>135.06800994344769</v>
      </c>
      <c r="AK84">
        <v>134.63987271505991</v>
      </c>
      <c r="AL84">
        <v>133.91647941873759</v>
      </c>
      <c r="AM84">
        <v>135.52177504211949</v>
      </c>
      <c r="AN84">
        <v>133.41436548941951</v>
      </c>
      <c r="AO84">
        <v>131.90972140993961</v>
      </c>
      <c r="AP84">
        <v>137.8538844707511</v>
      </c>
      <c r="AQ84">
        <v>137.60269891661031</v>
      </c>
      <c r="AR84">
        <v>137.75878059386889</v>
      </c>
      <c r="AS84">
        <v>139.77853801029579</v>
      </c>
      <c r="AT84">
        <v>140.46511607321199</v>
      </c>
      <c r="AU84">
        <v>140.68788132593599</v>
      </c>
      <c r="AV84">
        <v>141.30352517872771</v>
      </c>
      <c r="AW84">
        <v>140.48013656754949</v>
      </c>
      <c r="AX84">
        <v>139.45209653657341</v>
      </c>
      <c r="AY84">
        <v>139.4296092310496</v>
      </c>
      <c r="AZ84">
        <v>138.7164714760726</v>
      </c>
      <c r="BA84">
        <v>140.5329801288236</v>
      </c>
      <c r="BB84">
        <v>142.55520913247511</v>
      </c>
      <c r="BC84">
        <v>143.8952862337284</v>
      </c>
      <c r="BD84">
        <v>144.45016725653591</v>
      </c>
      <c r="BE84">
        <v>143.94973667077679</v>
      </c>
      <c r="BF84">
        <v>143.62390173585891</v>
      </c>
      <c r="BG84">
        <v>143.34179203525591</v>
      </c>
      <c r="BH84">
        <v>143.46383524199641</v>
      </c>
      <c r="BI84">
        <v>144.21765624323561</v>
      </c>
      <c r="BJ84">
        <v>143.91411870501531</v>
      </c>
      <c r="BK84">
        <v>143.01824453125431</v>
      </c>
      <c r="BL84">
        <v>142.94915642686431</v>
      </c>
      <c r="BM84">
        <v>144.75393361908741</v>
      </c>
      <c r="BN84">
        <v>146.679338338452</v>
      </c>
      <c r="BO84">
        <v>147.67213409276019</v>
      </c>
      <c r="BP84">
        <v>147.4111271448771</v>
      </c>
      <c r="BQ84">
        <v>146.85988167625291</v>
      </c>
      <c r="BR84">
        <v>147.8041432252339</v>
      </c>
      <c r="BS84">
        <v>148.960550064107</v>
      </c>
      <c r="BT84">
        <v>148.7425551501041</v>
      </c>
      <c r="BU84">
        <v>150.7924142302189</v>
      </c>
      <c r="BV84">
        <v>150.9340484625192</v>
      </c>
      <c r="BW84">
        <v>149.61322369601501</v>
      </c>
      <c r="BX84">
        <v>149.52119428021831</v>
      </c>
      <c r="BY84">
        <v>150.7426709083899</v>
      </c>
      <c r="BZ84">
        <v>152.40617484888261</v>
      </c>
      <c r="CA84">
        <v>151.9567950296165</v>
      </c>
      <c r="CB84" s="7">
        <v>152.01279322663169</v>
      </c>
      <c r="CC84">
        <v>152.03338439881909</v>
      </c>
    </row>
    <row r="85" spans="1:81" x14ac:dyDescent="0.35">
      <c r="A85" t="s">
        <v>87</v>
      </c>
      <c r="B85">
        <v>55727499.619999997</v>
      </c>
      <c r="C85">
        <v>55173354.939999998</v>
      </c>
      <c r="D85">
        <v>90737188.310000002</v>
      </c>
      <c r="E85">
        <v>53919335.790000007</v>
      </c>
      <c r="F85">
        <v>60997145.299999997</v>
      </c>
      <c r="G85">
        <v>70152278.969999999</v>
      </c>
      <c r="H85">
        <v>70810731.719999999</v>
      </c>
      <c r="I85">
        <v>62549462.950000003</v>
      </c>
      <c r="J85">
        <v>57077087.25</v>
      </c>
      <c r="K85">
        <v>56546271.919999987</v>
      </c>
      <c r="L85">
        <v>49818630.510000013</v>
      </c>
      <c r="M85">
        <v>52568342.840000004</v>
      </c>
      <c r="N85">
        <v>56920686.900000013</v>
      </c>
      <c r="O85">
        <v>59249199.710000008</v>
      </c>
      <c r="P85">
        <v>132015499.08</v>
      </c>
      <c r="Q85">
        <v>133308096.54000001</v>
      </c>
      <c r="R85">
        <v>109100579.93000001</v>
      </c>
      <c r="S85">
        <v>111081122.87</v>
      </c>
      <c r="T85">
        <v>98250846.439999998</v>
      </c>
      <c r="U85">
        <v>92792272.310000002</v>
      </c>
      <c r="V85">
        <v>87389359.689999998</v>
      </c>
      <c r="W85">
        <v>80536643.349999994</v>
      </c>
      <c r="X85">
        <v>77907544.390000001</v>
      </c>
      <c r="Y85">
        <v>77029024.49000001</v>
      </c>
      <c r="Z85">
        <v>62767799.119999997</v>
      </c>
      <c r="AA85">
        <v>66553758.599999987</v>
      </c>
      <c r="AB85">
        <v>102744063.84999999</v>
      </c>
      <c r="AC85">
        <v>80505606.079999998</v>
      </c>
      <c r="AD85">
        <v>72864219.24000001</v>
      </c>
      <c r="AE85">
        <v>70693856.349999994</v>
      </c>
      <c r="AF85">
        <v>58275319.5</v>
      </c>
      <c r="AG85">
        <v>66305505.829999998</v>
      </c>
      <c r="AH85">
        <v>64700591.589999989</v>
      </c>
      <c r="AI85">
        <v>56007345.939999998</v>
      </c>
      <c r="AJ85">
        <v>44155204.229999997</v>
      </c>
      <c r="AK85">
        <v>41466384.959999993</v>
      </c>
      <c r="AL85">
        <v>41838189.130000003</v>
      </c>
      <c r="AM85">
        <v>40181574.520000003</v>
      </c>
      <c r="AN85">
        <v>40591173.869999997</v>
      </c>
      <c r="AO85">
        <v>14995315.98</v>
      </c>
      <c r="AP85">
        <v>50749976.079999998</v>
      </c>
      <c r="AQ85">
        <v>61441734.509999998</v>
      </c>
      <c r="AR85">
        <v>57945938.950000003</v>
      </c>
      <c r="AS85">
        <v>65280389.799999997</v>
      </c>
      <c r="AT85">
        <v>58819943.729999997</v>
      </c>
      <c r="AU85">
        <v>70691624.790000007</v>
      </c>
      <c r="AV85">
        <v>89401029.980000004</v>
      </c>
      <c r="AW85">
        <v>76442771.579999998</v>
      </c>
      <c r="AX85">
        <v>85577342.789999992</v>
      </c>
      <c r="AY85">
        <v>107337447.05</v>
      </c>
      <c r="AZ85">
        <v>192781181.33000001</v>
      </c>
      <c r="BA85">
        <v>156946911.63999999</v>
      </c>
      <c r="BB85">
        <v>138861326.05000001</v>
      </c>
      <c r="BC85">
        <v>122362010.12</v>
      </c>
      <c r="BD85">
        <v>123411245.03</v>
      </c>
      <c r="BE85">
        <v>92220337.550000012</v>
      </c>
      <c r="BF85">
        <v>92923228.689999998</v>
      </c>
      <c r="BG85">
        <v>115799507.90000001</v>
      </c>
      <c r="BH85">
        <v>100455999.08</v>
      </c>
      <c r="BI85">
        <v>116886499</v>
      </c>
      <c r="BJ85">
        <v>138503953.66999999</v>
      </c>
      <c r="BK85">
        <v>141275867.47</v>
      </c>
      <c r="BL85">
        <v>253179915.38000011</v>
      </c>
      <c r="BM85">
        <v>196997720.34999999</v>
      </c>
      <c r="BN85">
        <v>169044606.47</v>
      </c>
      <c r="BO85">
        <v>155023048.63999999</v>
      </c>
      <c r="BP85">
        <v>159668372.84</v>
      </c>
      <c r="BQ85">
        <v>142325185.88999999</v>
      </c>
      <c r="BR85">
        <v>140913768.09999999</v>
      </c>
      <c r="BS85">
        <v>140582036.50999999</v>
      </c>
      <c r="BT85">
        <v>104788949.3</v>
      </c>
      <c r="BU85">
        <v>115189107</v>
      </c>
      <c r="BV85">
        <v>110954646.79000001</v>
      </c>
      <c r="BW85">
        <v>136621680.25999999</v>
      </c>
      <c r="BX85">
        <v>221546017.31</v>
      </c>
      <c r="BY85">
        <v>171266323.97999999</v>
      </c>
      <c r="BZ85">
        <v>154312112.15000001</v>
      </c>
      <c r="CA85">
        <v>144543253.83000001</v>
      </c>
      <c r="CB85" s="7">
        <v>140688318.93000001</v>
      </c>
      <c r="CC85">
        <v>56551564.640000001</v>
      </c>
    </row>
    <row r="86" spans="1:81" x14ac:dyDescent="0.35">
      <c r="A86" t="s">
        <v>88</v>
      </c>
      <c r="B86">
        <v>1.8592051321239469</v>
      </c>
      <c r="C86">
        <v>1.833999676103039</v>
      </c>
      <c r="D86">
        <v>1.756523130328292</v>
      </c>
      <c r="E86">
        <v>1.7726368432090931</v>
      </c>
      <c r="F86">
        <v>1.843340499298574</v>
      </c>
      <c r="G86">
        <v>1.796250148196513</v>
      </c>
      <c r="H86">
        <v>1.6509000287662829</v>
      </c>
      <c r="I86">
        <v>1.588285320906204</v>
      </c>
      <c r="J86">
        <v>1.6001681927404039</v>
      </c>
      <c r="K86">
        <v>1.6490192714213801</v>
      </c>
      <c r="L86">
        <v>1.7260497439346061</v>
      </c>
      <c r="M86">
        <v>1.6217034181271219</v>
      </c>
      <c r="N86">
        <v>1.64445353964577</v>
      </c>
      <c r="O86">
        <v>1.5884793527630441</v>
      </c>
      <c r="P86">
        <v>1.5059334723316351</v>
      </c>
      <c r="Q86">
        <v>1.4266263411576361</v>
      </c>
      <c r="R86">
        <v>1.389808944927851</v>
      </c>
      <c r="S86">
        <v>1.403376703987838</v>
      </c>
      <c r="T86">
        <v>1.432772586742963</v>
      </c>
      <c r="U86">
        <v>1.4843049247050319</v>
      </c>
      <c r="V86">
        <v>1.521686172875157</v>
      </c>
      <c r="W86">
        <v>1.510766731070492</v>
      </c>
      <c r="X86">
        <v>1.536758202510895</v>
      </c>
      <c r="Y86">
        <v>1.536917907352602</v>
      </c>
      <c r="Z86">
        <v>1.5219173407864399</v>
      </c>
      <c r="AA86">
        <v>1.515864045898667</v>
      </c>
      <c r="AB86">
        <v>1.5227094227467981</v>
      </c>
      <c r="AC86">
        <v>1.5157620863856129</v>
      </c>
      <c r="AD86">
        <v>1.532225126629307</v>
      </c>
      <c r="AE86">
        <v>1.492646698238681</v>
      </c>
      <c r="AF86">
        <v>1.502848052892773</v>
      </c>
      <c r="AG86">
        <v>1.519888385487012</v>
      </c>
      <c r="AH86">
        <v>1.5104816140010029</v>
      </c>
      <c r="AI86">
        <v>1.4972707086410231</v>
      </c>
      <c r="AJ86">
        <v>1.4884977467157301</v>
      </c>
      <c r="AK86">
        <v>1.491202024024465</v>
      </c>
      <c r="AL86">
        <v>1.477706550916168</v>
      </c>
      <c r="AM86">
        <v>1.439965991824101</v>
      </c>
      <c r="AN86">
        <v>1.571059124908617</v>
      </c>
      <c r="AO86">
        <v>1.8364410593602061</v>
      </c>
      <c r="AP86">
        <v>1.441080097097158</v>
      </c>
      <c r="AQ86">
        <v>1.3469516885872621</v>
      </c>
      <c r="AR86">
        <v>1.349016622268213</v>
      </c>
      <c r="AS86">
        <v>1.389322699145255</v>
      </c>
      <c r="AT86">
        <v>1.4531794021728781</v>
      </c>
      <c r="AU86">
        <v>1.4273968185880579</v>
      </c>
      <c r="AV86">
        <v>1.407974636672886</v>
      </c>
      <c r="AW86">
        <v>1.448522936080354</v>
      </c>
      <c r="AX86">
        <v>1.472334886143065</v>
      </c>
      <c r="AY86">
        <v>1.469839242732863</v>
      </c>
      <c r="AZ86">
        <v>1.461297087251503</v>
      </c>
      <c r="BA86">
        <v>1.4662805471859539</v>
      </c>
      <c r="BB86">
        <v>1.4543506629715419</v>
      </c>
      <c r="BC86">
        <v>1.4371241677225179</v>
      </c>
      <c r="BD86">
        <v>1.4264530106183979</v>
      </c>
      <c r="BE86">
        <v>1.4402933718121289</v>
      </c>
      <c r="BF86">
        <v>1.451192215928452</v>
      </c>
      <c r="BG86">
        <v>1.464181988379837</v>
      </c>
      <c r="BH86">
        <v>1.4448554484768941</v>
      </c>
      <c r="BI86">
        <v>1.434273830395504</v>
      </c>
      <c r="BJ86">
        <v>1.4521634855251191</v>
      </c>
      <c r="BK86">
        <v>1.4614971816932509</v>
      </c>
      <c r="BL86">
        <v>1.4396630047009229</v>
      </c>
      <c r="BM86">
        <v>1.4272687915969851</v>
      </c>
      <c r="BN86">
        <v>1.408784864948436</v>
      </c>
      <c r="BO86">
        <v>1.400192460017297</v>
      </c>
      <c r="BP86">
        <v>1.4224693350051201</v>
      </c>
      <c r="BQ86">
        <v>1.419797264856032</v>
      </c>
      <c r="BR86">
        <v>1.402948875936274</v>
      </c>
      <c r="BS86">
        <v>1.3877427449376349</v>
      </c>
      <c r="BT86">
        <v>1.408520675409936</v>
      </c>
      <c r="BU86">
        <v>1.4430529527644</v>
      </c>
      <c r="BV86">
        <v>1.4579158995135431</v>
      </c>
      <c r="BW86">
        <v>1.4675366022305221</v>
      </c>
      <c r="BX86">
        <v>1.4618776278923979</v>
      </c>
      <c r="BY86">
        <v>1.4723655682901799</v>
      </c>
      <c r="BZ86">
        <v>1.4643380903399399</v>
      </c>
      <c r="CA86">
        <v>1.4868282388760159</v>
      </c>
      <c r="CB86" s="7">
        <v>1.494515828712361</v>
      </c>
      <c r="CC86">
        <v>1.506452067954579</v>
      </c>
    </row>
    <row r="87" spans="1:81" x14ac:dyDescent="0.35">
      <c r="A87" t="s">
        <v>89</v>
      </c>
      <c r="B87">
        <v>0.2343270480554355</v>
      </c>
      <c r="C87">
        <v>0.24152824471507481</v>
      </c>
      <c r="D87">
        <v>0.24070272868252379</v>
      </c>
      <c r="E87">
        <v>0.24361770840790251</v>
      </c>
      <c r="F87">
        <v>0.2451277823768582</v>
      </c>
      <c r="G87">
        <v>0.2459406148335781</v>
      </c>
      <c r="H87">
        <v>0.24748533125971489</v>
      </c>
      <c r="I87">
        <v>0.2467734040120643</v>
      </c>
      <c r="J87">
        <v>0.2467490927410981</v>
      </c>
      <c r="K87">
        <v>0.24571972650157339</v>
      </c>
      <c r="L87">
        <v>0.24583667062766071</v>
      </c>
      <c r="M87">
        <v>0.24489074367467739</v>
      </c>
      <c r="N87">
        <v>0.24620948321412761</v>
      </c>
      <c r="O87">
        <v>0.24552000279145009</v>
      </c>
      <c r="P87">
        <v>0.24460295112931221</v>
      </c>
      <c r="Q87">
        <v>0.24226828986016069</v>
      </c>
      <c r="R87">
        <v>0.24314377768358389</v>
      </c>
      <c r="S87">
        <v>0.24264830598526471</v>
      </c>
      <c r="T87">
        <v>0.24328682340309549</v>
      </c>
      <c r="U87">
        <v>0.24248097552553621</v>
      </c>
      <c r="V87">
        <v>0.2426570348643208</v>
      </c>
      <c r="W87">
        <v>0.24364947022554301</v>
      </c>
      <c r="X87">
        <v>0.24415724558309371</v>
      </c>
      <c r="Y87">
        <v>0.2434299139746901</v>
      </c>
      <c r="Z87">
        <v>0.24592338578567061</v>
      </c>
      <c r="AA87">
        <v>0.2475985906160518</v>
      </c>
      <c r="AB87">
        <v>0.24890907785554831</v>
      </c>
      <c r="AC87">
        <v>0.2476061535401213</v>
      </c>
      <c r="AD87">
        <v>0.2456643605865528</v>
      </c>
      <c r="AE87">
        <v>0.24757266039656359</v>
      </c>
      <c r="AF87">
        <v>0.24640657568756871</v>
      </c>
      <c r="AG87">
        <v>0.2468577192531464</v>
      </c>
      <c r="AH87">
        <v>0.24762809394117319</v>
      </c>
      <c r="AI87">
        <v>0.25094669632538968</v>
      </c>
      <c r="AJ87">
        <v>0.25070182038634858</v>
      </c>
      <c r="AK87">
        <v>0.2452759611970525</v>
      </c>
      <c r="AL87">
        <v>0.2453734539308024</v>
      </c>
      <c r="AM87">
        <v>0.2459658780971945</v>
      </c>
      <c r="AN87">
        <v>0.24500529055170189</v>
      </c>
      <c r="AO87">
        <v>0.24600189960265181</v>
      </c>
      <c r="AP87">
        <v>0.2495371476787108</v>
      </c>
      <c r="AQ87">
        <v>0.24522591490192619</v>
      </c>
      <c r="AR87">
        <v>0.24482345072927669</v>
      </c>
      <c r="AS87">
        <v>0.24480973578910831</v>
      </c>
      <c r="AT87">
        <v>0.24414845116833289</v>
      </c>
      <c r="AU87">
        <v>0.24594227207309041</v>
      </c>
      <c r="AV87">
        <v>0.24427525682362389</v>
      </c>
      <c r="AW87">
        <v>0.24487581261676181</v>
      </c>
      <c r="AX87">
        <v>0.2466208657925287</v>
      </c>
      <c r="AY87">
        <v>0.24787782341038639</v>
      </c>
      <c r="AZ87">
        <v>0.2461061142333078</v>
      </c>
      <c r="BA87">
        <v>0.24604961767972131</v>
      </c>
      <c r="BB87">
        <v>0.2464151452637377</v>
      </c>
      <c r="BC87">
        <v>0.2428693381657088</v>
      </c>
      <c r="BD87">
        <v>0.242104954364467</v>
      </c>
      <c r="BE87">
        <v>0.24836869544482379</v>
      </c>
      <c r="BF87">
        <v>0.24929127793797931</v>
      </c>
      <c r="BG87">
        <v>0.2497305968062524</v>
      </c>
      <c r="BH87">
        <v>0.24894692038750649</v>
      </c>
      <c r="BI87">
        <v>0.2464082547624426</v>
      </c>
      <c r="BJ87">
        <v>0.2480374056483553</v>
      </c>
      <c r="BK87">
        <v>0.24897644871797639</v>
      </c>
      <c r="BL87">
        <v>0.24823317220919511</v>
      </c>
      <c r="BM87">
        <v>0.24674162857755119</v>
      </c>
      <c r="BN87">
        <v>0.24671414408559919</v>
      </c>
      <c r="BO87">
        <v>0.2464553048069576</v>
      </c>
      <c r="BP87">
        <v>0.24656690665406669</v>
      </c>
      <c r="BQ87">
        <v>0.2471333117594455</v>
      </c>
      <c r="BR87">
        <v>0.2463750399615352</v>
      </c>
      <c r="BS87">
        <v>0.246081717867183</v>
      </c>
      <c r="BT87">
        <v>0.24605563927766189</v>
      </c>
      <c r="BU87">
        <v>0.24669083278634149</v>
      </c>
      <c r="BV87">
        <v>0.24426255126367169</v>
      </c>
      <c r="BW87">
        <v>0.24623064877849041</v>
      </c>
      <c r="BX87">
        <v>0.2445864847781406</v>
      </c>
      <c r="BY87">
        <v>0.24374927465518789</v>
      </c>
      <c r="BZ87">
        <v>0.24184047384495941</v>
      </c>
      <c r="CA87">
        <v>0.242767174005038</v>
      </c>
      <c r="CB87" s="7">
        <v>0.24129023747906861</v>
      </c>
      <c r="CC87">
        <v>0.24440085932934499</v>
      </c>
    </row>
    <row r="89" spans="1:81" x14ac:dyDescent="0.35">
      <c r="A89" t="s">
        <v>97</v>
      </c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H89" t="s">
        <v>7</v>
      </c>
      <c r="I89" t="s">
        <v>8</v>
      </c>
      <c r="J89" t="s">
        <v>9</v>
      </c>
      <c r="K89" t="s">
        <v>10</v>
      </c>
      <c r="L89" t="s">
        <v>11</v>
      </c>
      <c r="M89" t="s">
        <v>12</v>
      </c>
      <c r="N89" t="s">
        <v>13</v>
      </c>
      <c r="O89" t="s">
        <v>14</v>
      </c>
      <c r="P89" t="s">
        <v>15</v>
      </c>
      <c r="Q89" t="s">
        <v>16</v>
      </c>
      <c r="R89" t="s">
        <v>17</v>
      </c>
      <c r="S89" t="s">
        <v>18</v>
      </c>
      <c r="T89" t="s">
        <v>19</v>
      </c>
      <c r="U89" t="s">
        <v>20</v>
      </c>
      <c r="V89" t="s">
        <v>21</v>
      </c>
      <c r="W89" t="s">
        <v>22</v>
      </c>
      <c r="X89" t="s">
        <v>23</v>
      </c>
      <c r="Y89" t="s">
        <v>24</v>
      </c>
      <c r="Z89" t="s">
        <v>25</v>
      </c>
      <c r="AA89" t="s">
        <v>26</v>
      </c>
      <c r="AB89" t="s">
        <v>27</v>
      </c>
      <c r="AC89" t="s">
        <v>28</v>
      </c>
      <c r="AD89" t="s">
        <v>29</v>
      </c>
      <c r="AE89" t="s">
        <v>30</v>
      </c>
      <c r="AF89" t="s">
        <v>31</v>
      </c>
      <c r="AG89" t="s">
        <v>32</v>
      </c>
      <c r="AH89" t="s">
        <v>33</v>
      </c>
      <c r="AI89" t="s">
        <v>34</v>
      </c>
      <c r="AJ89" t="s">
        <v>35</v>
      </c>
      <c r="AK89" t="s">
        <v>36</v>
      </c>
      <c r="AL89" t="s">
        <v>37</v>
      </c>
      <c r="AM89" t="s">
        <v>38</v>
      </c>
      <c r="AN89" t="s">
        <v>39</v>
      </c>
      <c r="AO89" t="s">
        <v>40</v>
      </c>
      <c r="AP89" t="s">
        <v>41</v>
      </c>
      <c r="AQ89" t="s">
        <v>42</v>
      </c>
      <c r="AR89" t="s">
        <v>43</v>
      </c>
      <c r="AS89" t="s">
        <v>44</v>
      </c>
      <c r="AT89" t="s">
        <v>45</v>
      </c>
      <c r="AU89" t="s">
        <v>46</v>
      </c>
      <c r="AV89" t="s">
        <v>47</v>
      </c>
      <c r="AW89" t="s">
        <v>48</v>
      </c>
      <c r="AX89" t="s">
        <v>49</v>
      </c>
      <c r="AY89" t="s">
        <v>50</v>
      </c>
      <c r="AZ89" t="s">
        <v>51</v>
      </c>
      <c r="BA89" t="s">
        <v>52</v>
      </c>
      <c r="BB89" t="s">
        <v>53</v>
      </c>
      <c r="BC89" t="s">
        <v>54</v>
      </c>
      <c r="BD89" t="s">
        <v>55</v>
      </c>
      <c r="BE89" t="s">
        <v>56</v>
      </c>
      <c r="BF89" t="s">
        <v>57</v>
      </c>
      <c r="BG89" t="s">
        <v>58</v>
      </c>
      <c r="BH89" t="s">
        <v>59</v>
      </c>
      <c r="BI89" t="s">
        <v>60</v>
      </c>
      <c r="BJ89" t="s">
        <v>61</v>
      </c>
      <c r="BK89" t="s">
        <v>62</v>
      </c>
      <c r="BL89" t="s">
        <v>63</v>
      </c>
      <c r="BM89" t="s">
        <v>64</v>
      </c>
      <c r="BN89" t="s">
        <v>65</v>
      </c>
      <c r="BO89" t="s">
        <v>66</v>
      </c>
      <c r="BP89" t="s">
        <v>67</v>
      </c>
      <c r="BQ89" t="s">
        <v>68</v>
      </c>
      <c r="BR89" t="s">
        <v>69</v>
      </c>
      <c r="BS89" t="s">
        <v>70</v>
      </c>
      <c r="BT89" t="s">
        <v>71</v>
      </c>
      <c r="BU89" t="s">
        <v>72</v>
      </c>
      <c r="BV89" t="s">
        <v>73</v>
      </c>
      <c r="BW89" t="s">
        <v>74</v>
      </c>
      <c r="BX89" t="s">
        <v>75</v>
      </c>
      <c r="BY89" t="s">
        <v>76</v>
      </c>
      <c r="BZ89" t="s">
        <v>77</v>
      </c>
      <c r="CA89" t="s">
        <v>78</v>
      </c>
      <c r="CB89" s="7" t="s">
        <v>79</v>
      </c>
      <c r="CC89" t="s">
        <v>80</v>
      </c>
    </row>
    <row r="90" spans="1:81" x14ac:dyDescent="0.35">
      <c r="A90" t="s">
        <v>81</v>
      </c>
      <c r="B90">
        <v>133.45478451925391</v>
      </c>
      <c r="C90">
        <v>134.17759483779341</v>
      </c>
      <c r="D90">
        <v>133.62399723579381</v>
      </c>
      <c r="E90">
        <v>133.328486657181</v>
      </c>
      <c r="F90">
        <v>136.33851498439509</v>
      </c>
      <c r="G90">
        <v>137.4554246930972</v>
      </c>
      <c r="H90">
        <v>137.75312242139671</v>
      </c>
      <c r="I90">
        <v>137.43916567612499</v>
      </c>
      <c r="J90">
        <v>137.16567585337529</v>
      </c>
      <c r="K90">
        <v>136.49391277267961</v>
      </c>
      <c r="L90">
        <v>135.92866297564791</v>
      </c>
      <c r="M90">
        <v>136.21015500501551</v>
      </c>
      <c r="N90">
        <v>135.9349648181265</v>
      </c>
      <c r="O90">
        <v>135.11932307308899</v>
      </c>
      <c r="P90">
        <v>134.88612501636291</v>
      </c>
      <c r="Q90">
        <v>135.05250391132131</v>
      </c>
      <c r="R90">
        <v>135.04406723420581</v>
      </c>
      <c r="S90">
        <v>134.70432596855181</v>
      </c>
      <c r="T90">
        <v>133.51437821811291</v>
      </c>
      <c r="U90">
        <v>135.42165520917871</v>
      </c>
      <c r="V90">
        <v>133.53065939743061</v>
      </c>
      <c r="W90">
        <v>133.5109315309715</v>
      </c>
      <c r="X90">
        <v>132.52646067011651</v>
      </c>
      <c r="Y90">
        <v>132.24862128504861</v>
      </c>
      <c r="Z90">
        <v>132.18002792377339</v>
      </c>
      <c r="AA90">
        <v>132.51141890005701</v>
      </c>
      <c r="AB90">
        <v>133.4583747037386</v>
      </c>
      <c r="AC90">
        <v>134.53261306764409</v>
      </c>
      <c r="AD90">
        <v>134.62713166574611</v>
      </c>
      <c r="AE90">
        <v>135.23821974296979</v>
      </c>
      <c r="AF90">
        <v>135.8181969366841</v>
      </c>
      <c r="AG90">
        <v>136.03834709765459</v>
      </c>
      <c r="AH90">
        <v>135.72360222953711</v>
      </c>
      <c r="AI90">
        <v>136.2267307534803</v>
      </c>
      <c r="AJ90">
        <v>137.54603107968819</v>
      </c>
      <c r="AK90">
        <v>137.78667828988489</v>
      </c>
      <c r="AL90">
        <v>138.55149354548081</v>
      </c>
      <c r="AM90">
        <v>138.61616806997361</v>
      </c>
      <c r="AN90">
        <v>138.79714304083251</v>
      </c>
      <c r="AO90">
        <v>139.81254192253849</v>
      </c>
      <c r="AP90">
        <v>139.31994754913919</v>
      </c>
      <c r="AQ90">
        <v>138.54530224381901</v>
      </c>
      <c r="AR90">
        <v>137.6449705374761</v>
      </c>
      <c r="AS90">
        <v>138.6337190261614</v>
      </c>
      <c r="AT90">
        <v>138.92146402467949</v>
      </c>
      <c r="AU90">
        <v>138.61784959791399</v>
      </c>
      <c r="AV90">
        <v>137.39818220697319</v>
      </c>
      <c r="AW90">
        <v>138.91901034577961</v>
      </c>
      <c r="AX90">
        <v>138.8451095235306</v>
      </c>
      <c r="AY90">
        <v>137.9835385253881</v>
      </c>
      <c r="AZ90">
        <v>138.32910926193779</v>
      </c>
      <c r="BA90">
        <v>138.9587952330356</v>
      </c>
      <c r="BB90">
        <v>139.30535025070671</v>
      </c>
      <c r="BC90">
        <v>139.40252108709251</v>
      </c>
      <c r="BD90">
        <v>139.28729977882449</v>
      </c>
      <c r="BE90">
        <v>139.57653410174629</v>
      </c>
      <c r="BF90">
        <v>139.7178422089759</v>
      </c>
      <c r="BG90">
        <v>139.12047136020379</v>
      </c>
      <c r="BH90">
        <v>138.45454236591789</v>
      </c>
      <c r="BI90">
        <v>138.19507973163951</v>
      </c>
      <c r="BJ90">
        <v>138.25650472965381</v>
      </c>
      <c r="BK90">
        <v>138.2406824498417</v>
      </c>
      <c r="BL90">
        <v>138.30296517016771</v>
      </c>
      <c r="BM90">
        <v>138.77014875113829</v>
      </c>
      <c r="BN90">
        <v>139.15622230938851</v>
      </c>
      <c r="BO90">
        <v>139.28752978671011</v>
      </c>
      <c r="BP90">
        <v>139.47641151301519</v>
      </c>
      <c r="BQ90">
        <v>139.1850745316753</v>
      </c>
      <c r="BR90">
        <v>139.41869918466861</v>
      </c>
      <c r="BS90">
        <v>139.5835020464726</v>
      </c>
      <c r="BT90">
        <v>139.99208389017639</v>
      </c>
      <c r="BU90">
        <v>141.23906385313879</v>
      </c>
      <c r="BV90">
        <v>141.51279219348149</v>
      </c>
      <c r="BW90">
        <v>141.67747326027819</v>
      </c>
      <c r="BX90">
        <v>141.92993497256029</v>
      </c>
      <c r="BY90">
        <v>142.29740748594011</v>
      </c>
      <c r="BZ90">
        <v>142.47163563301589</v>
      </c>
      <c r="CA90">
        <v>142.68565628753609</v>
      </c>
      <c r="CB90" s="7">
        <v>142.92769666630139</v>
      </c>
      <c r="CC90">
        <v>143.40200220003911</v>
      </c>
    </row>
    <row r="91" spans="1:81" x14ac:dyDescent="0.35">
      <c r="A91" t="s">
        <v>82</v>
      </c>
      <c r="B91">
        <v>2.5448363746992699</v>
      </c>
      <c r="C91">
        <v>2.7227532674270569</v>
      </c>
      <c r="D91">
        <v>2.6593595349246502</v>
      </c>
      <c r="E91">
        <v>2.13238174829146</v>
      </c>
      <c r="F91">
        <v>2.832331744289966</v>
      </c>
      <c r="G91">
        <v>2.9490430727672292</v>
      </c>
      <c r="H91">
        <v>2.840024277821513</v>
      </c>
      <c r="I91">
        <v>2.7223839778694261</v>
      </c>
      <c r="J91">
        <v>2.7768506901253001</v>
      </c>
      <c r="K91">
        <v>2.559805269201386</v>
      </c>
      <c r="L91">
        <v>2.5351438607457402</v>
      </c>
      <c r="M91">
        <v>2.2895104578374821</v>
      </c>
      <c r="N91">
        <v>2.5213393743188028</v>
      </c>
      <c r="O91">
        <v>2.635612407459301</v>
      </c>
      <c r="P91">
        <v>2.5616179672151809</v>
      </c>
      <c r="Q91">
        <v>2.236545224073359</v>
      </c>
      <c r="R91">
        <v>2.086026385751981</v>
      </c>
      <c r="S91">
        <v>1.9508697361612819</v>
      </c>
      <c r="T91">
        <v>2.0829964326902788</v>
      </c>
      <c r="U91">
        <v>1.6326980787155621</v>
      </c>
      <c r="V91">
        <v>1.397761779190086</v>
      </c>
      <c r="W91">
        <v>1.377106114609709</v>
      </c>
      <c r="X91">
        <v>1.1668229230581459</v>
      </c>
      <c r="Y91">
        <v>1.066317097275564</v>
      </c>
      <c r="Z91">
        <v>0.69382252686295132</v>
      </c>
      <c r="AA91">
        <v>-1.4070008380483201E-2</v>
      </c>
      <c r="AB91">
        <v>0.70528467688454521</v>
      </c>
      <c r="AC91">
        <v>0.93407954101704915</v>
      </c>
      <c r="AD91">
        <v>0.98125455963981445</v>
      </c>
      <c r="AE91">
        <v>0.83703292009685892</v>
      </c>
      <c r="AF91">
        <v>0.80956219636364279</v>
      </c>
      <c r="AG91">
        <v>0.71808760407972194</v>
      </c>
      <c r="AH91">
        <v>0.51447630805653377</v>
      </c>
      <c r="AI91">
        <v>0.80739874076423457</v>
      </c>
      <c r="AJ91">
        <v>0.67300639352746472</v>
      </c>
      <c r="AK91">
        <v>0.65621744550491601</v>
      </c>
      <c r="AL91">
        <v>0.68552004996257776</v>
      </c>
      <c r="AM91">
        <v>0.64293169085323609</v>
      </c>
      <c r="AN91">
        <v>0.31444072054432359</v>
      </c>
      <c r="AO91">
        <v>0.77316429206417747</v>
      </c>
      <c r="AP91">
        <v>1.023656403247041</v>
      </c>
      <c r="AQ91">
        <v>0.7854352380285301</v>
      </c>
      <c r="AR91">
        <v>0.73572280825119496</v>
      </c>
      <c r="AS91">
        <v>0.87183544339123009</v>
      </c>
      <c r="AT91">
        <v>1.123346126025498</v>
      </c>
      <c r="AU91">
        <v>1.0009575674325959</v>
      </c>
      <c r="AV91">
        <v>0.90913297473992893</v>
      </c>
      <c r="AW91">
        <v>1.3719983150675961</v>
      </c>
      <c r="AX91">
        <v>0.76295719408692875</v>
      </c>
      <c r="AY91">
        <v>0.57325649844860838</v>
      </c>
      <c r="AZ91">
        <v>0.61734733245285722</v>
      </c>
      <c r="BA91">
        <v>1.065074996165789</v>
      </c>
      <c r="BB91">
        <v>1.5381035340472331</v>
      </c>
      <c r="BC91">
        <v>1.544089532967174</v>
      </c>
      <c r="BD91">
        <v>1.3748139425641841</v>
      </c>
      <c r="BE91">
        <v>1.3698364414885109</v>
      </c>
      <c r="BF91">
        <v>1.307554298155905</v>
      </c>
      <c r="BG91">
        <v>1.186480512173022</v>
      </c>
      <c r="BH91">
        <v>0.96224728732246501</v>
      </c>
      <c r="BI91">
        <v>0.79036422630590386</v>
      </c>
      <c r="BJ91">
        <v>0.86578333647188377</v>
      </c>
      <c r="BK91">
        <v>0.57451821894005195</v>
      </c>
      <c r="BL91">
        <v>0.37865345655847638</v>
      </c>
      <c r="BM91">
        <v>1.1335601172136009</v>
      </c>
      <c r="BN91">
        <v>1.6743830122301</v>
      </c>
      <c r="BO91">
        <v>1.900831630693496</v>
      </c>
      <c r="BP91">
        <v>1.6702319034120261</v>
      </c>
      <c r="BQ91">
        <v>1.3155511248075951</v>
      </c>
      <c r="BR91">
        <v>1.455897485499914</v>
      </c>
      <c r="BS91">
        <v>1.8196111314979411</v>
      </c>
      <c r="BT91">
        <v>1.6702436318579059</v>
      </c>
      <c r="BU91">
        <v>1.840023821596924</v>
      </c>
      <c r="BV91">
        <v>1.6167098164223239</v>
      </c>
      <c r="BW91">
        <v>1.2469572958957491</v>
      </c>
      <c r="BX91">
        <v>1.1006217019309359</v>
      </c>
      <c r="BY91">
        <v>1.5266494387791421</v>
      </c>
      <c r="BZ91">
        <v>1.558945586199914</v>
      </c>
      <c r="CA91">
        <v>1.348595022368301</v>
      </c>
      <c r="CB91" s="7">
        <v>1.4280508469944311</v>
      </c>
      <c r="CC91">
        <v>1.525819004882041</v>
      </c>
    </row>
    <row r="92" spans="1:81" x14ac:dyDescent="0.35">
      <c r="A92" t="s">
        <v>83</v>
      </c>
      <c r="B92">
        <v>-0.1414690386383648</v>
      </c>
      <c r="C92">
        <v>-0.1696466073560981</v>
      </c>
      <c r="D92">
        <v>-0.26320421423946072</v>
      </c>
      <c r="E92">
        <v>-0.29358189049577471</v>
      </c>
      <c r="F92">
        <v>-1.513270028549461E-2</v>
      </c>
      <c r="G92">
        <v>0.21118918176504409</v>
      </c>
      <c r="H92">
        <v>-1.34754679968871E-2</v>
      </c>
      <c r="I92">
        <v>-0.1063254903902886</v>
      </c>
      <c r="J92">
        <v>0.15447291514857239</v>
      </c>
      <c r="K92">
        <v>0.2293036599398347</v>
      </c>
      <c r="L92">
        <v>0.43667956254034002</v>
      </c>
      <c r="M92">
        <v>0.59118406466577911</v>
      </c>
      <c r="N92">
        <v>0.3976827735564708</v>
      </c>
      <c r="O92">
        <v>0.44166389355460162</v>
      </c>
      <c r="P92">
        <v>0.43920457620375891</v>
      </c>
      <c r="Q92">
        <v>0.54803744644387387</v>
      </c>
      <c r="R92">
        <v>0.59363253640419666</v>
      </c>
      <c r="S92">
        <v>0.80142440052728592</v>
      </c>
      <c r="T92">
        <v>1.0558648024369259</v>
      </c>
      <c r="U92">
        <v>0.89059097706446855</v>
      </c>
      <c r="V92">
        <v>0.85096627574749528</v>
      </c>
      <c r="W92">
        <v>0.46968074198131221</v>
      </c>
      <c r="X92">
        <v>0.19312040302519831</v>
      </c>
      <c r="Y92">
        <v>8.9138620226436108E-2</v>
      </c>
      <c r="Z92">
        <v>-3.8797444404637373E-2</v>
      </c>
      <c r="AA92">
        <v>-1.065767633267279</v>
      </c>
      <c r="AB92">
        <v>-0.19281147612062119</v>
      </c>
      <c r="AC92">
        <v>-0.41519993644809189</v>
      </c>
      <c r="AD92">
        <v>-0.53812812422556944</v>
      </c>
      <c r="AE92">
        <v>-0.69793427145567699</v>
      </c>
      <c r="AF92">
        <v>-0.83402882944904155</v>
      </c>
      <c r="AG92">
        <v>-0.91547352969018703</v>
      </c>
      <c r="AH92">
        <v>-1.094095970643975</v>
      </c>
      <c r="AI92">
        <v>-1.058574181129575</v>
      </c>
      <c r="AJ92">
        <v>-0.93550113703611415</v>
      </c>
      <c r="AK92">
        <v>-1.1967419383407849</v>
      </c>
      <c r="AL92">
        <v>-1.292744147086917</v>
      </c>
      <c r="AM92">
        <v>-1.238168389456525</v>
      </c>
      <c r="AN92">
        <v>-1.197104924630874</v>
      </c>
      <c r="AO92">
        <v>-0.68025936744093385</v>
      </c>
      <c r="AP92">
        <v>-0.64941196861654082</v>
      </c>
      <c r="AQ92">
        <v>-0.71924531698431626</v>
      </c>
      <c r="AR92">
        <v>-0.99786367629280903</v>
      </c>
      <c r="AS92">
        <v>-0.84745998414355572</v>
      </c>
      <c r="AT92">
        <v>-0.8514159914024827</v>
      </c>
      <c r="AU92">
        <v>-0.60386599923684781</v>
      </c>
      <c r="AV92">
        <v>-0.8011065639932603</v>
      </c>
      <c r="AW92">
        <v>-0.29173030231421698</v>
      </c>
      <c r="AX92">
        <v>-0.34172337035577388</v>
      </c>
      <c r="AY92">
        <v>-0.54386313653151086</v>
      </c>
      <c r="AZ92">
        <v>-0.83770217860577434</v>
      </c>
      <c r="BA92">
        <v>-0.46420625783111619</v>
      </c>
      <c r="BB92">
        <v>-7.0943966638340752E-2</v>
      </c>
      <c r="BC92">
        <v>1.571442133355154E-2</v>
      </c>
      <c r="BD92">
        <v>0.1333828231082092</v>
      </c>
      <c r="BE92">
        <v>-0.2146719782277689</v>
      </c>
      <c r="BF92">
        <v>-0.20814397156099321</v>
      </c>
      <c r="BG92">
        <v>0.41024387039140547</v>
      </c>
      <c r="BH92">
        <v>0.79211633720105257</v>
      </c>
      <c r="BI92">
        <v>1.163720806819778</v>
      </c>
      <c r="BJ92">
        <v>1.3285774686947791</v>
      </c>
      <c r="BK92">
        <v>0.92620448894540164</v>
      </c>
      <c r="BL92">
        <v>0.88667403316707527</v>
      </c>
      <c r="BM92">
        <v>0.99633531275448717</v>
      </c>
      <c r="BN92">
        <v>1.324010378805198</v>
      </c>
      <c r="BO92">
        <v>1.6746143478221229</v>
      </c>
      <c r="BP92">
        <v>1.808191636029177</v>
      </c>
      <c r="BQ92">
        <v>1.6935668188105291</v>
      </c>
      <c r="BR92">
        <v>1.723683450956625</v>
      </c>
      <c r="BS92">
        <v>2.2868435205013871</v>
      </c>
      <c r="BT92">
        <v>2.097637494786345</v>
      </c>
      <c r="BU92">
        <v>2.6736731389619979</v>
      </c>
      <c r="BV92">
        <v>2.1196391079785641</v>
      </c>
      <c r="BW92">
        <v>1.530847561140442</v>
      </c>
      <c r="BX92">
        <v>1.4883585628826701</v>
      </c>
      <c r="BY92">
        <v>1.860246847262188</v>
      </c>
      <c r="BZ92">
        <v>2.0988314456939459</v>
      </c>
      <c r="CA92">
        <v>1.5371612182611649</v>
      </c>
      <c r="CB92" s="7">
        <v>1.5630092837798799</v>
      </c>
      <c r="CC92">
        <v>1.632919046406222</v>
      </c>
    </row>
    <row r="93" spans="1:81" x14ac:dyDescent="0.35">
      <c r="A93" t="s">
        <v>84</v>
      </c>
      <c r="B93">
        <v>-1.618869143618844</v>
      </c>
      <c r="C93">
        <v>-1.314741103201726</v>
      </c>
      <c r="D93">
        <v>-0.71970089035440554</v>
      </c>
      <c r="E93">
        <v>-1.168648789227805</v>
      </c>
      <c r="F93">
        <v>-1.755907193158819</v>
      </c>
      <c r="G93">
        <v>-1.0592483786784439</v>
      </c>
      <c r="H93">
        <v>0.41190495451537162</v>
      </c>
      <c r="I93">
        <v>1.1581610435483101</v>
      </c>
      <c r="J93">
        <v>0.73918035041908059</v>
      </c>
      <c r="K93">
        <v>-0.24817354584066109</v>
      </c>
      <c r="L93">
        <v>-1.1521035450741841</v>
      </c>
      <c r="M93">
        <v>-0.91418377231738446</v>
      </c>
      <c r="N93">
        <v>-0.81188376381542016</v>
      </c>
      <c r="O93">
        <v>1.6249143370842791E-2</v>
      </c>
      <c r="P93">
        <v>2.0976858119527888</v>
      </c>
      <c r="Q93">
        <v>3.0459936184284899</v>
      </c>
      <c r="R93">
        <v>3.4736231059468792</v>
      </c>
      <c r="S93">
        <v>3.3616549202884451</v>
      </c>
      <c r="T93">
        <v>2.8219989325043668</v>
      </c>
      <c r="U93">
        <v>2.0344620466502841</v>
      </c>
      <c r="V93">
        <v>1.936547419973309</v>
      </c>
      <c r="W93">
        <v>2.1433341304450519</v>
      </c>
      <c r="X93">
        <v>1.9096470671086949</v>
      </c>
      <c r="Y93">
        <v>1.910189149466641</v>
      </c>
      <c r="Z93">
        <v>1.133041609631217</v>
      </c>
      <c r="AA93">
        <v>0.43975660343363998</v>
      </c>
      <c r="AB93">
        <v>1.766234226585925</v>
      </c>
      <c r="AC93">
        <v>1.3413794028781909</v>
      </c>
      <c r="AD93">
        <v>1.274048900769569</v>
      </c>
      <c r="AE93">
        <v>1.562082326703564</v>
      </c>
      <c r="AF93">
        <v>1.2971540897307949</v>
      </c>
      <c r="AG93">
        <v>0.44242422807638848</v>
      </c>
      <c r="AH93">
        <v>0.32510329499613072</v>
      </c>
      <c r="AI93">
        <v>-5.8428677008292733E-2</v>
      </c>
      <c r="AJ93">
        <v>-0.77648702208662879</v>
      </c>
      <c r="AK93">
        <v>-1.0443467305625651</v>
      </c>
      <c r="AL93">
        <v>-1.210937170528916</v>
      </c>
      <c r="AM93">
        <v>-0.85162550662434455</v>
      </c>
      <c r="AN93">
        <v>-1.767749410693342</v>
      </c>
      <c r="AO93">
        <v>-1.570020788269912</v>
      </c>
      <c r="AP93">
        <v>0.38470045432318628</v>
      </c>
      <c r="AQ93">
        <v>0.67513177761833687</v>
      </c>
      <c r="AR93">
        <v>0.54066081526602361</v>
      </c>
      <c r="AS93">
        <v>0.57671813429377461</v>
      </c>
      <c r="AT93">
        <v>2.1483081691990161E-2</v>
      </c>
      <c r="AU93">
        <v>0.73082331741079398</v>
      </c>
      <c r="AV93">
        <v>2.9422764428554919</v>
      </c>
      <c r="AW93">
        <v>-0.30955281068789409</v>
      </c>
      <c r="AX93">
        <v>-0.44703199097395002</v>
      </c>
      <c r="AY93">
        <v>-1.718322248308024</v>
      </c>
      <c r="AZ93">
        <v>0.66796746907901861</v>
      </c>
      <c r="BA93">
        <v>1.413092047607841</v>
      </c>
      <c r="BB93">
        <v>1.787455792334568</v>
      </c>
      <c r="BC93">
        <v>1.944369695476128</v>
      </c>
      <c r="BD93">
        <v>1.430307812683596</v>
      </c>
      <c r="BE93">
        <v>1.117659003662699</v>
      </c>
      <c r="BF93">
        <v>1.0846945538872279</v>
      </c>
      <c r="BG93">
        <v>1.267281981993152</v>
      </c>
      <c r="BH93">
        <v>1.223801430899726</v>
      </c>
      <c r="BI93">
        <v>1.482757120472225</v>
      </c>
      <c r="BJ93">
        <v>1.5230031319443871</v>
      </c>
      <c r="BK93">
        <v>1.413524969454045</v>
      </c>
      <c r="BL93">
        <v>1.8341198962008951</v>
      </c>
      <c r="BM93">
        <v>2.2910330229916438</v>
      </c>
      <c r="BN93">
        <v>2.3748926330405982</v>
      </c>
      <c r="BO93">
        <v>2.476026514137867</v>
      </c>
      <c r="BP93">
        <v>2.3225866261094499</v>
      </c>
      <c r="BQ93">
        <v>2.0456502416131319</v>
      </c>
      <c r="BR93">
        <v>1.7574775463947989</v>
      </c>
      <c r="BS93">
        <v>2.0541007239821081</v>
      </c>
      <c r="BT93">
        <v>1.754844453980881</v>
      </c>
      <c r="BU93">
        <v>2.192241482767062</v>
      </c>
      <c r="BV93">
        <v>1.8506187826521701</v>
      </c>
      <c r="BW93">
        <v>1.8844845176845939</v>
      </c>
      <c r="BX93">
        <v>1.935883015929363</v>
      </c>
      <c r="BY93">
        <v>2.230833860955435</v>
      </c>
      <c r="BZ93">
        <v>2.7161727591685301</v>
      </c>
      <c r="CA93">
        <v>2.5953519883206049</v>
      </c>
      <c r="CB93" s="7">
        <v>2.5899510472347038</v>
      </c>
      <c r="CC93">
        <v>2.2315941972052369</v>
      </c>
    </row>
    <row r="94" spans="1:81" x14ac:dyDescent="0.35">
      <c r="A94" t="s">
        <v>85</v>
      </c>
      <c r="B94">
        <v>0.65163803189484282</v>
      </c>
      <c r="C94">
        <v>0.29569924075695658</v>
      </c>
      <c r="D94">
        <v>0.3332941885354066</v>
      </c>
      <c r="E94">
        <v>0.10292931401982409</v>
      </c>
      <c r="F94">
        <v>0.2049266799595206</v>
      </c>
      <c r="G94">
        <v>0.17719383572928599</v>
      </c>
      <c r="H94">
        <v>9.4848056714484555E-2</v>
      </c>
      <c r="I94">
        <v>-0.1474916029200293</v>
      </c>
      <c r="J94">
        <v>0.10439419659208581</v>
      </c>
      <c r="K94">
        <v>0.1581511227503071</v>
      </c>
      <c r="L94">
        <v>8.4815888681454538E-2</v>
      </c>
      <c r="M94">
        <v>0.16048437860096221</v>
      </c>
      <c r="N94">
        <v>3.0958731341869359E-2</v>
      </c>
      <c r="O94">
        <v>-1.5198179747937111E-2</v>
      </c>
      <c r="P94">
        <v>0.19077825836729259</v>
      </c>
      <c r="Q94">
        <v>0.1514521652718859</v>
      </c>
      <c r="R94">
        <v>0.1178735747823416</v>
      </c>
      <c r="S94">
        <v>0.20827626495356719</v>
      </c>
      <c r="T94">
        <v>0.47446251157839969</v>
      </c>
      <c r="U94">
        <v>0.53673907737196702</v>
      </c>
      <c r="V94">
        <v>0.59839132928497007</v>
      </c>
      <c r="W94">
        <v>0.50247432531696723</v>
      </c>
      <c r="X94">
        <v>0.49014972729591749</v>
      </c>
      <c r="Y94">
        <v>0.421593406637983</v>
      </c>
      <c r="Z94">
        <v>7.2339441399056251E-2</v>
      </c>
      <c r="AA94">
        <v>-0.18617014365284121</v>
      </c>
      <c r="AB94">
        <v>7.8904643784428768E-2</v>
      </c>
      <c r="AC94">
        <v>5.7268693401705623E-2</v>
      </c>
      <c r="AD94">
        <v>3.6133148893265243E-2</v>
      </c>
      <c r="AE94">
        <v>-2.9298808053686743E-4</v>
      </c>
      <c r="AF94">
        <v>2.8107074305466131E-2</v>
      </c>
      <c r="AG94">
        <v>-3.3547359842811757E-2</v>
      </c>
      <c r="AH94">
        <v>3.90340290477343E-2</v>
      </c>
      <c r="AI94">
        <v>-4.4705642076293108E-2</v>
      </c>
      <c r="AJ94">
        <v>-1.704687941682733E-2</v>
      </c>
      <c r="AK94">
        <v>2.6021101761070569E-2</v>
      </c>
      <c r="AL94">
        <v>-0.27276336030033149</v>
      </c>
      <c r="AM94">
        <v>-0.26341318493329707</v>
      </c>
      <c r="AN94">
        <v>-0.27406839824863549</v>
      </c>
      <c r="AO94">
        <v>-0.25178267210634181</v>
      </c>
      <c r="AP94">
        <v>-0.2773833733610952</v>
      </c>
      <c r="AQ94">
        <v>-0.17607628883348511</v>
      </c>
      <c r="AR94">
        <v>-0.10706825687862009</v>
      </c>
      <c r="AS94">
        <v>-8.5631920778898848E-2</v>
      </c>
      <c r="AT94">
        <v>-2.6514388459273432E-2</v>
      </c>
      <c r="AU94">
        <v>-0.1388497285164623</v>
      </c>
      <c r="AV94">
        <v>-1.0383681254906759E-2</v>
      </c>
      <c r="AW94">
        <v>3.1586070931397259E-2</v>
      </c>
      <c r="AX94">
        <v>-0.23691730306999911</v>
      </c>
      <c r="AY94">
        <v>-0.35907026272079012</v>
      </c>
      <c r="AZ94">
        <v>-2.2201586866800349E-2</v>
      </c>
      <c r="BA94">
        <v>8.5481195937477744E-2</v>
      </c>
      <c r="BB94">
        <v>0.1023807699963878</v>
      </c>
      <c r="BC94">
        <v>0.24984856477651721</v>
      </c>
      <c r="BD94">
        <v>0.2044321420244645</v>
      </c>
      <c r="BE94">
        <v>-1.7029956329716971E-2</v>
      </c>
      <c r="BF94">
        <v>-2.6630261716095179E-2</v>
      </c>
      <c r="BG94">
        <v>2.7539923565973751E-2</v>
      </c>
      <c r="BH94">
        <v>1.135543447050151E-2</v>
      </c>
      <c r="BI94">
        <v>-7.1902000037743385E-2</v>
      </c>
      <c r="BJ94">
        <v>-0.24018918217358581</v>
      </c>
      <c r="BK94">
        <v>-0.1761474084878718</v>
      </c>
      <c r="BL94">
        <v>-0.1671408844541015</v>
      </c>
      <c r="BM94">
        <v>-5.9301424080040611E-2</v>
      </c>
      <c r="BN94">
        <v>-8.9556783151569078E-2</v>
      </c>
      <c r="BO94">
        <v>-0.1120942193510899</v>
      </c>
      <c r="BP94">
        <v>-9.6949966342185695E-2</v>
      </c>
      <c r="BQ94">
        <v>-0.1430724767447899</v>
      </c>
      <c r="BR94">
        <v>7.6476673944231313E-2</v>
      </c>
      <c r="BS94">
        <v>0.1991613751386741</v>
      </c>
      <c r="BT94">
        <v>0.26643749836594222</v>
      </c>
      <c r="BU94">
        <v>0.3573722079034658</v>
      </c>
      <c r="BV94">
        <v>0.1523002570052871</v>
      </c>
      <c r="BW94">
        <v>0.21185411442812169</v>
      </c>
      <c r="BX94">
        <v>0.34534354066070572</v>
      </c>
      <c r="BY94">
        <v>0.38894212154020108</v>
      </c>
      <c r="BZ94">
        <v>0.52948167423290937</v>
      </c>
      <c r="CA94">
        <v>0.51801908127148899</v>
      </c>
      <c r="CB94" s="7">
        <v>0.67341515837840626</v>
      </c>
      <c r="CC94">
        <v>0.62261605225784566</v>
      </c>
    </row>
    <row r="95" spans="1:81" x14ac:dyDescent="0.35">
      <c r="A95" t="s">
        <v>86</v>
      </c>
      <c r="B95">
        <v>134.89092074359081</v>
      </c>
      <c r="C95">
        <v>135.71165963541961</v>
      </c>
      <c r="D95">
        <v>135.63374585465999</v>
      </c>
      <c r="E95">
        <v>134.1015670397687</v>
      </c>
      <c r="F95">
        <v>137.60473351520039</v>
      </c>
      <c r="G95">
        <v>139.73360240468031</v>
      </c>
      <c r="H95">
        <v>141.0864242424511</v>
      </c>
      <c r="I95">
        <v>141.0658936042324</v>
      </c>
      <c r="J95">
        <v>140.9405740056603</v>
      </c>
      <c r="K95">
        <v>139.19299927873041</v>
      </c>
      <c r="L95">
        <v>137.83319874254121</v>
      </c>
      <c r="M95">
        <v>138.33715013380231</v>
      </c>
      <c r="N95">
        <v>138.07306193352821</v>
      </c>
      <c r="O95">
        <v>138.1976503377258</v>
      </c>
      <c r="P95">
        <v>140.17541163010191</v>
      </c>
      <c r="Q95">
        <v>141.03453236553889</v>
      </c>
      <c r="R95">
        <v>141.3152228370912</v>
      </c>
      <c r="S95">
        <v>141.02655129048239</v>
      </c>
      <c r="T95">
        <v>139.9497008973228</v>
      </c>
      <c r="U95">
        <v>140.51614538898099</v>
      </c>
      <c r="V95">
        <v>138.3143262016265</v>
      </c>
      <c r="W95">
        <v>138.00352684332461</v>
      </c>
      <c r="X95">
        <v>136.2862007906044</v>
      </c>
      <c r="Y95">
        <v>135.73585955865519</v>
      </c>
      <c r="Z95">
        <v>134.04043405726199</v>
      </c>
      <c r="AA95">
        <v>131.68516771819009</v>
      </c>
      <c r="AB95">
        <v>135.8159867748729</v>
      </c>
      <c r="AC95">
        <v>136.45014076849299</v>
      </c>
      <c r="AD95">
        <v>136.3804401508232</v>
      </c>
      <c r="AE95">
        <v>136.93910773023401</v>
      </c>
      <c r="AF95">
        <v>137.11899146763491</v>
      </c>
      <c r="AG95">
        <v>136.24983804027781</v>
      </c>
      <c r="AH95">
        <v>135.5081198909935</v>
      </c>
      <c r="AI95">
        <v>135.87242099403039</v>
      </c>
      <c r="AJ95">
        <v>136.49000243467609</v>
      </c>
      <c r="AK95">
        <v>136.2278281682475</v>
      </c>
      <c r="AL95">
        <v>136.46056891752721</v>
      </c>
      <c r="AM95">
        <v>136.90589267981269</v>
      </c>
      <c r="AN95">
        <v>135.87266102780401</v>
      </c>
      <c r="AO95">
        <v>138.0836433867855</v>
      </c>
      <c r="AP95">
        <v>139.80150906473179</v>
      </c>
      <c r="AQ95">
        <v>139.11054765364801</v>
      </c>
      <c r="AR95">
        <v>137.8164222278219</v>
      </c>
      <c r="AS95">
        <v>139.14918069892391</v>
      </c>
      <c r="AT95">
        <v>139.18836285253519</v>
      </c>
      <c r="AU95">
        <v>139.60691475500411</v>
      </c>
      <c r="AV95">
        <v>140.43810137932039</v>
      </c>
      <c r="AW95">
        <v>139.7213116187765</v>
      </c>
      <c r="AX95">
        <v>138.5823940532178</v>
      </c>
      <c r="AY95">
        <v>135.93553937627641</v>
      </c>
      <c r="AZ95">
        <v>138.75452029799709</v>
      </c>
      <c r="BA95">
        <v>141.05823721491561</v>
      </c>
      <c r="BB95">
        <v>142.66234638044659</v>
      </c>
      <c r="BC95">
        <v>143.1565433016458</v>
      </c>
      <c r="BD95">
        <v>142.43023649920491</v>
      </c>
      <c r="BE95">
        <v>141.83232761234009</v>
      </c>
      <c r="BF95">
        <v>141.87531682774201</v>
      </c>
      <c r="BG95">
        <v>142.0120176483274</v>
      </c>
      <c r="BH95">
        <v>141.44406285581161</v>
      </c>
      <c r="BI95">
        <v>141.56001988519961</v>
      </c>
      <c r="BJ95">
        <v>141.73367948459119</v>
      </c>
      <c r="BK95">
        <v>140.97878271869331</v>
      </c>
      <c r="BL95">
        <v>141.23527167164011</v>
      </c>
      <c r="BM95">
        <v>143.13177578001799</v>
      </c>
      <c r="BN95">
        <v>144.4399515503128</v>
      </c>
      <c r="BO95">
        <v>145.22690806001251</v>
      </c>
      <c r="BP95">
        <v>145.18047171222361</v>
      </c>
      <c r="BQ95">
        <v>144.09677024016179</v>
      </c>
      <c r="BR95">
        <v>144.43223434146421</v>
      </c>
      <c r="BS95">
        <v>145.94321879759269</v>
      </c>
      <c r="BT95">
        <v>145.78124696916751</v>
      </c>
      <c r="BU95">
        <v>148.30237450436829</v>
      </c>
      <c r="BV95">
        <v>147.25206015753989</v>
      </c>
      <c r="BW95">
        <v>146.5516167494271</v>
      </c>
      <c r="BX95">
        <v>146.80014179396389</v>
      </c>
      <c r="BY95">
        <v>148.3040797544771</v>
      </c>
      <c r="BZ95">
        <v>149.37506709831121</v>
      </c>
      <c r="CA95">
        <v>148.6847835977577</v>
      </c>
      <c r="CB95" s="7">
        <v>149.1821230026888</v>
      </c>
      <c r="CC95">
        <v>149.41495050079041</v>
      </c>
    </row>
    <row r="96" spans="1:81" x14ac:dyDescent="0.35">
      <c r="A96" t="s">
        <v>87</v>
      </c>
      <c r="B96">
        <v>116950055.48999999</v>
      </c>
      <c r="C96">
        <v>128607222.70999999</v>
      </c>
      <c r="D96">
        <v>196896655.19</v>
      </c>
      <c r="E96">
        <v>93944010.359999999</v>
      </c>
      <c r="F96">
        <v>137130845.09999999</v>
      </c>
      <c r="G96">
        <v>164500647.91999999</v>
      </c>
      <c r="H96">
        <v>172170808.16999999</v>
      </c>
      <c r="I96">
        <v>150820209.15000001</v>
      </c>
      <c r="J96">
        <v>140765964.52000001</v>
      </c>
      <c r="K96">
        <v>135800147.63</v>
      </c>
      <c r="L96">
        <v>131786476.31999999</v>
      </c>
      <c r="M96">
        <v>122497617.27</v>
      </c>
      <c r="N96">
        <v>139530653.66999999</v>
      </c>
      <c r="O96">
        <v>153223910.06</v>
      </c>
      <c r="P96">
        <v>323833284.61000001</v>
      </c>
      <c r="Q96">
        <v>285309997.57999998</v>
      </c>
      <c r="R96">
        <v>219642722.66</v>
      </c>
      <c r="S96">
        <v>221507824.91999999</v>
      </c>
      <c r="T96">
        <v>212818282.41999999</v>
      </c>
      <c r="U96">
        <v>208201982.56</v>
      </c>
      <c r="V96">
        <v>197642874.41</v>
      </c>
      <c r="W96">
        <v>181494804.06</v>
      </c>
      <c r="X96">
        <v>181645101.40000001</v>
      </c>
      <c r="Y96">
        <v>159778854.71000001</v>
      </c>
      <c r="Z96">
        <v>116529666.91</v>
      </c>
      <c r="AA96">
        <v>76900757.11999999</v>
      </c>
      <c r="AB96">
        <v>260138668.84</v>
      </c>
      <c r="AC96">
        <v>197625616.11000001</v>
      </c>
      <c r="AD96">
        <v>202465382.81999999</v>
      </c>
      <c r="AE96">
        <v>179477775.22999999</v>
      </c>
      <c r="AF96">
        <v>157305331.22999999</v>
      </c>
      <c r="AG96">
        <v>168506748.25</v>
      </c>
      <c r="AH96">
        <v>157486145.46000001</v>
      </c>
      <c r="AI96">
        <v>137319289.59999999</v>
      </c>
      <c r="AJ96">
        <v>118336283.77</v>
      </c>
      <c r="AK96">
        <v>108681487.66</v>
      </c>
      <c r="AL96">
        <v>112723734.79000001</v>
      </c>
      <c r="AM96">
        <v>134837690.47</v>
      </c>
      <c r="AN96">
        <v>134903241.41</v>
      </c>
      <c r="AO96">
        <v>96632364.590000004</v>
      </c>
      <c r="AP96">
        <v>144426781.99000001</v>
      </c>
      <c r="AQ96">
        <v>143850904.03999999</v>
      </c>
      <c r="AR96">
        <v>104933677.83</v>
      </c>
      <c r="AS96">
        <v>115681849.33</v>
      </c>
      <c r="AT96">
        <v>107567968.05</v>
      </c>
      <c r="AU96">
        <v>121404570.17</v>
      </c>
      <c r="AV96">
        <v>97711907.230000004</v>
      </c>
      <c r="AW96">
        <v>142339300.11000001</v>
      </c>
      <c r="AX96">
        <v>168009721.66999999</v>
      </c>
      <c r="AY96">
        <v>251358903.47</v>
      </c>
      <c r="AZ96">
        <v>356076114.87</v>
      </c>
      <c r="BA96">
        <v>269325484.44999999</v>
      </c>
      <c r="BB96">
        <v>248877014.47999999</v>
      </c>
      <c r="BC96">
        <v>225607777.18000001</v>
      </c>
      <c r="BD96">
        <v>231898387.40000001</v>
      </c>
      <c r="BE96">
        <v>196524524.84</v>
      </c>
      <c r="BF96">
        <v>180491028.91999999</v>
      </c>
      <c r="BG96">
        <v>206122770.74000001</v>
      </c>
      <c r="BH96">
        <v>199413963.24000001</v>
      </c>
      <c r="BI96">
        <v>215252958.19</v>
      </c>
      <c r="BJ96">
        <v>235770927.12</v>
      </c>
      <c r="BK96">
        <v>281485708.87</v>
      </c>
      <c r="BL96">
        <v>456489531.32000011</v>
      </c>
      <c r="BM96">
        <v>333827315.25</v>
      </c>
      <c r="BN96">
        <v>298836942.58999997</v>
      </c>
      <c r="BO96">
        <v>273349876.94999999</v>
      </c>
      <c r="BP96">
        <v>278681769.49000001</v>
      </c>
      <c r="BQ96">
        <v>265718500.56</v>
      </c>
      <c r="BR96">
        <v>277094937.72000003</v>
      </c>
      <c r="BS96">
        <v>260788714.5</v>
      </c>
      <c r="BT96">
        <v>208796811.72999999</v>
      </c>
      <c r="BU96">
        <v>232144308.50999999</v>
      </c>
      <c r="BV96">
        <v>245063992.49000001</v>
      </c>
      <c r="BW96">
        <v>304846872.49000001</v>
      </c>
      <c r="BX96">
        <v>478857754.04000002</v>
      </c>
      <c r="BY96">
        <v>328730160.23000002</v>
      </c>
      <c r="BZ96">
        <v>312962849.06999999</v>
      </c>
      <c r="CA96">
        <v>312623750.91000003</v>
      </c>
      <c r="CB96" s="7">
        <v>305337082.80000001</v>
      </c>
      <c r="CC96">
        <v>118708614.34999999</v>
      </c>
    </row>
    <row r="97" spans="1:81" x14ac:dyDescent="0.35">
      <c r="A97" t="s">
        <v>88</v>
      </c>
      <c r="B97">
        <v>1.8027821790813801</v>
      </c>
      <c r="C97">
        <v>1.7668119298423071</v>
      </c>
      <c r="D97">
        <v>1.7147906305756271</v>
      </c>
      <c r="E97">
        <v>1.7632319360396029</v>
      </c>
      <c r="F97">
        <v>1.801695018898047</v>
      </c>
      <c r="G97">
        <v>1.7466159835875119</v>
      </c>
      <c r="H97">
        <v>1.6256772060247331</v>
      </c>
      <c r="I97">
        <v>1.5707225509906031</v>
      </c>
      <c r="J97">
        <v>1.5967875610252491</v>
      </c>
      <c r="K97">
        <v>1.666926432644156</v>
      </c>
      <c r="L97">
        <v>1.7337918344543199</v>
      </c>
      <c r="M97">
        <v>1.7009007180157281</v>
      </c>
      <c r="N97">
        <v>1.69388235504746</v>
      </c>
      <c r="O97">
        <v>1.6222697190926461</v>
      </c>
      <c r="P97">
        <v>1.492982071050436</v>
      </c>
      <c r="Q97">
        <v>1.431677326633225</v>
      </c>
      <c r="R97">
        <v>1.4094496422525991</v>
      </c>
      <c r="S97">
        <v>1.417270032491617</v>
      </c>
      <c r="T97">
        <v>1.447084412041429</v>
      </c>
      <c r="U97">
        <v>1.4952812740693231</v>
      </c>
      <c r="V97">
        <v>1.5037495023197469</v>
      </c>
      <c r="W97">
        <v>1.496313303784937</v>
      </c>
      <c r="X97">
        <v>1.514628335876314</v>
      </c>
      <c r="Y97">
        <v>1.5184616784806499</v>
      </c>
      <c r="Z97">
        <v>1.558688749205787</v>
      </c>
      <c r="AA97">
        <v>1.7202421293882191</v>
      </c>
      <c r="AB97">
        <v>1.5158129575230599</v>
      </c>
      <c r="AC97">
        <v>1.543892771065301</v>
      </c>
      <c r="AD97">
        <v>1.5438939727090051</v>
      </c>
      <c r="AE97">
        <v>1.5268068930015599</v>
      </c>
      <c r="AF97">
        <v>1.544816267816395</v>
      </c>
      <c r="AG97">
        <v>1.597461905700831</v>
      </c>
      <c r="AH97">
        <v>1.604589876552478</v>
      </c>
      <c r="AI97">
        <v>1.619041549378718</v>
      </c>
      <c r="AJ97">
        <v>1.658265884067317</v>
      </c>
      <c r="AK97">
        <v>1.67267668548687</v>
      </c>
      <c r="AL97">
        <v>1.680606383200445</v>
      </c>
      <c r="AM97">
        <v>1.650868437929965</v>
      </c>
      <c r="AN97">
        <v>1.717164986460552</v>
      </c>
      <c r="AO97">
        <v>1.712806246902393</v>
      </c>
      <c r="AP97">
        <v>1.5771961284273139</v>
      </c>
      <c r="AQ97">
        <v>1.5503919696989901</v>
      </c>
      <c r="AR97">
        <v>1.576096075372136</v>
      </c>
      <c r="AS97">
        <v>1.58567471642083</v>
      </c>
      <c r="AT97">
        <v>1.636674853130893</v>
      </c>
      <c r="AU97">
        <v>1.590925983756553</v>
      </c>
      <c r="AV97">
        <v>1.522397815003196</v>
      </c>
      <c r="AW97">
        <v>1.676030072177618</v>
      </c>
      <c r="AX97">
        <v>1.6761067704523991</v>
      </c>
      <c r="AY97">
        <v>1.7822086222570439</v>
      </c>
      <c r="AZ97">
        <v>1.601261241262022</v>
      </c>
      <c r="BA97">
        <v>1.55442010912563</v>
      </c>
      <c r="BB97">
        <v>1.5341358413953881</v>
      </c>
      <c r="BC97">
        <v>1.52815829425178</v>
      </c>
      <c r="BD97">
        <v>1.5549741008652831</v>
      </c>
      <c r="BE97">
        <v>1.5646643954008359</v>
      </c>
      <c r="BF97">
        <v>1.5699318387872701</v>
      </c>
      <c r="BG97">
        <v>1.567693287651839</v>
      </c>
      <c r="BH97">
        <v>1.5604725159509309</v>
      </c>
      <c r="BI97">
        <v>1.546424344615617</v>
      </c>
      <c r="BJ97">
        <v>1.547608414865838</v>
      </c>
      <c r="BK97">
        <v>1.541593284071735</v>
      </c>
      <c r="BL97">
        <v>1.5206999636498839</v>
      </c>
      <c r="BM97">
        <v>1.4994341455676881</v>
      </c>
      <c r="BN97">
        <v>1.498387753050616</v>
      </c>
      <c r="BO97">
        <v>1.490926231714351</v>
      </c>
      <c r="BP97">
        <v>1.5008796523902861</v>
      </c>
      <c r="BQ97">
        <v>1.5121896152089671</v>
      </c>
      <c r="BR97">
        <v>1.520233247775632</v>
      </c>
      <c r="BS97">
        <v>1.5001391459857669</v>
      </c>
      <c r="BT97">
        <v>1.5166171792247329</v>
      </c>
      <c r="BU97">
        <v>1.500287153578501</v>
      </c>
      <c r="BV97">
        <v>1.5157947612515019</v>
      </c>
      <c r="BW97">
        <v>1.5166753417700469</v>
      </c>
      <c r="BX97">
        <v>1.516585374794865</v>
      </c>
      <c r="BY97">
        <v>1.5142959642799041</v>
      </c>
      <c r="BZ97">
        <v>1.491020883323017</v>
      </c>
      <c r="CA97">
        <v>1.497036633196146</v>
      </c>
      <c r="CB97" s="7">
        <v>1.4985938415751681</v>
      </c>
      <c r="CC97">
        <v>1.526811643582519</v>
      </c>
    </row>
    <row r="98" spans="1:81" x14ac:dyDescent="0.35">
      <c r="A98" t="s">
        <v>89</v>
      </c>
      <c r="B98">
        <v>0.23977749498984871</v>
      </c>
      <c r="C98">
        <v>0.24455229106153831</v>
      </c>
      <c r="D98">
        <v>0.24370970297781419</v>
      </c>
      <c r="E98">
        <v>0.24542105649475071</v>
      </c>
      <c r="F98">
        <v>0.2457526109825309</v>
      </c>
      <c r="G98">
        <v>0.24642855155544291</v>
      </c>
      <c r="H98">
        <v>0.2474288197925173</v>
      </c>
      <c r="I98">
        <v>0.2494393775894389</v>
      </c>
      <c r="J98">
        <v>0.24718926159487381</v>
      </c>
      <c r="K98">
        <v>0.246485196900047</v>
      </c>
      <c r="L98">
        <v>0.24738062595406379</v>
      </c>
      <c r="M98">
        <v>0.2460386492602184</v>
      </c>
      <c r="N98">
        <v>0.24761326578494031</v>
      </c>
      <c r="O98">
        <v>0.24787666192564059</v>
      </c>
      <c r="P98">
        <v>0.24573688855413181</v>
      </c>
      <c r="Q98">
        <v>0.24520590627517891</v>
      </c>
      <c r="R98">
        <v>0.24558712527781601</v>
      </c>
      <c r="S98">
        <v>0.24464507296003721</v>
      </c>
      <c r="T98">
        <v>0.24254155220856671</v>
      </c>
      <c r="U98">
        <v>0.24196853382886441</v>
      </c>
      <c r="V98">
        <v>0.24138487247226131</v>
      </c>
      <c r="W98">
        <v>0.2425906585400239</v>
      </c>
      <c r="X98">
        <v>0.24296917683567659</v>
      </c>
      <c r="Y98">
        <v>0.2431705957518438</v>
      </c>
      <c r="Z98">
        <v>0.24634315310266111</v>
      </c>
      <c r="AA98">
        <v>0.2475712350658836</v>
      </c>
      <c r="AB98">
        <v>0.24757491596530029</v>
      </c>
      <c r="AC98">
        <v>0.24764980330694841</v>
      </c>
      <c r="AD98">
        <v>0.247762784991261</v>
      </c>
      <c r="AE98">
        <v>0.24816875017090659</v>
      </c>
      <c r="AF98">
        <v>0.24796654000842919</v>
      </c>
      <c r="AG98">
        <v>0.248390110800705</v>
      </c>
      <c r="AH98">
        <v>0.24769118448567051</v>
      </c>
      <c r="AI98">
        <v>0.24866722273706129</v>
      </c>
      <c r="AJ98">
        <v>0.2483217336152789</v>
      </c>
      <c r="AK98">
        <v>0.24696529411613499</v>
      </c>
      <c r="AL98">
        <v>0.2497421511464919</v>
      </c>
      <c r="AM98">
        <v>0.25028972271225858</v>
      </c>
      <c r="AN98">
        <v>0.25018950798495121</v>
      </c>
      <c r="AO98">
        <v>0.25125588830524748</v>
      </c>
      <c r="AP98">
        <v>0.25077278191942082</v>
      </c>
      <c r="AQ98">
        <v>0.24854731839352301</v>
      </c>
      <c r="AR98">
        <v>0.2470566130663277</v>
      </c>
      <c r="AS98">
        <v>0.24710011338059579</v>
      </c>
      <c r="AT98">
        <v>0.2468249654063164</v>
      </c>
      <c r="AU98">
        <v>0.24807723710365159</v>
      </c>
      <c r="AV98">
        <v>0.24504169889462299</v>
      </c>
      <c r="AW98">
        <v>0.24670644592732499</v>
      </c>
      <c r="AX98">
        <v>0.24961370999195709</v>
      </c>
      <c r="AY98">
        <v>0.2515312366485421</v>
      </c>
      <c r="AZ98">
        <v>0.24755283981741619</v>
      </c>
      <c r="BA98">
        <v>0.24635199096021901</v>
      </c>
      <c r="BB98">
        <v>0.24659581226365879</v>
      </c>
      <c r="BC98">
        <v>0.24479710442481631</v>
      </c>
      <c r="BD98">
        <v>0.24498669066561271</v>
      </c>
      <c r="BE98">
        <v>0.2483445931645627</v>
      </c>
      <c r="BF98">
        <v>0.24837271391995899</v>
      </c>
      <c r="BG98">
        <v>0.24789242680268631</v>
      </c>
      <c r="BH98">
        <v>0.24801817215843019</v>
      </c>
      <c r="BI98">
        <v>0.24814797051452309</v>
      </c>
      <c r="BJ98">
        <v>0.249808062833005</v>
      </c>
      <c r="BK98">
        <v>0.24961141473303561</v>
      </c>
      <c r="BL98">
        <v>0.24923330039405939</v>
      </c>
      <c r="BM98">
        <v>0.24789853715848381</v>
      </c>
      <c r="BN98">
        <v>0.24845923176663359</v>
      </c>
      <c r="BO98">
        <v>0.2485688664942419</v>
      </c>
      <c r="BP98">
        <v>0.24841369506247199</v>
      </c>
      <c r="BQ98">
        <v>0.24904963205600891</v>
      </c>
      <c r="BR98">
        <v>0.24679946930192509</v>
      </c>
      <c r="BS98">
        <v>0.24536803266170029</v>
      </c>
      <c r="BT98">
        <v>0.2449356526759548</v>
      </c>
      <c r="BU98">
        <v>0.2444644595396461</v>
      </c>
      <c r="BV98">
        <v>0.24611356740915369</v>
      </c>
      <c r="BW98">
        <v>0.24598083620450159</v>
      </c>
      <c r="BX98">
        <v>0.24446482093112859</v>
      </c>
      <c r="BY98">
        <v>0.24385625635845051</v>
      </c>
      <c r="BZ98">
        <v>0.24259502972780281</v>
      </c>
      <c r="CA98">
        <v>0.2430302948768078</v>
      </c>
      <c r="CB98" s="7">
        <v>0.2413652866437376</v>
      </c>
      <c r="CC98">
        <v>0.24243528777148091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8"/>
  <sheetViews>
    <sheetView tabSelected="1" topLeftCell="A21" zoomScale="190" zoomScaleNormal="190" workbookViewId="0">
      <selection activeCell="J25" sqref="J25"/>
    </sheetView>
  </sheetViews>
  <sheetFormatPr defaultRowHeight="14.5" x14ac:dyDescent="0.35"/>
  <cols>
    <col min="2" max="15" width="13" customWidth="1"/>
    <col min="17" max="19" width="13" customWidth="1"/>
    <col min="21" max="23" width="13" customWidth="1"/>
    <col min="25" max="25" width="13" customWidth="1"/>
  </cols>
  <sheetData>
    <row r="1" spans="1:28" x14ac:dyDescent="0.35">
      <c r="A1" t="s">
        <v>0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I1" t="s">
        <v>105</v>
      </c>
      <c r="J1" t="s">
        <v>106</v>
      </c>
      <c r="K1" t="s">
        <v>107</v>
      </c>
      <c r="L1" t="s">
        <v>108</v>
      </c>
      <c r="M1" t="s">
        <v>109</v>
      </c>
      <c r="N1" t="s">
        <v>110</v>
      </c>
      <c r="O1" t="s">
        <v>111</v>
      </c>
      <c r="P1" t="s">
        <v>112</v>
      </c>
      <c r="Q1" t="s">
        <v>113</v>
      </c>
      <c r="R1" t="s">
        <v>114</v>
      </c>
      <c r="S1" t="s">
        <v>115</v>
      </c>
      <c r="T1" t="s">
        <v>116</v>
      </c>
      <c r="U1" t="s">
        <v>117</v>
      </c>
      <c r="V1" t="s">
        <v>118</v>
      </c>
      <c r="W1" t="s">
        <v>119</v>
      </c>
      <c r="X1" t="s">
        <v>120</v>
      </c>
      <c r="Y1" t="s">
        <v>121</v>
      </c>
      <c r="Z1" t="s">
        <v>122</v>
      </c>
      <c r="AA1" t="s">
        <v>123</v>
      </c>
      <c r="AB1" t="s">
        <v>124</v>
      </c>
    </row>
    <row r="2" spans="1:28" x14ac:dyDescent="0.35">
      <c r="A2" t="s">
        <v>81</v>
      </c>
      <c r="B2">
        <v>131.7721135565809</v>
      </c>
      <c r="C2">
        <v>133.6762745166736</v>
      </c>
      <c r="D2">
        <v>135.30849007606599</v>
      </c>
      <c r="E2">
        <v>135.80534351047649</v>
      </c>
      <c r="F2">
        <v>134.5779548085435</v>
      </c>
      <c r="G2">
        <v>135.17083101332781</v>
      </c>
      <c r="H2">
        <v>135.36133606994619</v>
      </c>
      <c r="I2">
        <v>134.4036045995351</v>
      </c>
      <c r="J2">
        <v>134.09620938166361</v>
      </c>
      <c r="K2">
        <v>135.85072691788909</v>
      </c>
      <c r="L2">
        <v>136.13007717311399</v>
      </c>
      <c r="M2">
        <v>136.74340071107011</v>
      </c>
      <c r="N2">
        <v>136.6539223916246</v>
      </c>
      <c r="O2">
        <v>136.84109925674059</v>
      </c>
      <c r="P2">
        <v>136.41646386522669</v>
      </c>
      <c r="Q2">
        <v>137.0002354426118</v>
      </c>
      <c r="R2">
        <v>136.35420553748409</v>
      </c>
      <c r="S2">
        <v>137.11731341219601</v>
      </c>
      <c r="T2">
        <v>138.05869277886561</v>
      </c>
      <c r="U2">
        <v>136.78342021347899</v>
      </c>
      <c r="V2">
        <v>136.76661070065819</v>
      </c>
      <c r="W2">
        <v>137.97459986624801</v>
      </c>
      <c r="X2">
        <v>138.5137279255751</v>
      </c>
      <c r="Y2">
        <v>139.3486693985632</v>
      </c>
      <c r="Z2">
        <v>140.24932411810539</v>
      </c>
      <c r="AA2">
        <v>140.94644639690361</v>
      </c>
      <c r="AB2">
        <v>141.19539194064379</v>
      </c>
    </row>
    <row r="3" spans="1:28" x14ac:dyDescent="0.35">
      <c r="A3" t="s">
        <v>82</v>
      </c>
      <c r="B3">
        <v>1.410008851174041</v>
      </c>
      <c r="C3">
        <v>1.298966249332494</v>
      </c>
      <c r="D3">
        <v>0.58641458712045846</v>
      </c>
      <c r="E3">
        <v>1.0566682482509291</v>
      </c>
      <c r="F3">
        <v>1.298927194052482</v>
      </c>
      <c r="G3">
        <v>1.3540843182085209</v>
      </c>
      <c r="H3">
        <v>1.128679855868995</v>
      </c>
      <c r="I3">
        <v>0.84477224537263851</v>
      </c>
      <c r="J3">
        <v>1.2569163250738029</v>
      </c>
      <c r="K3">
        <v>1.1871469015495391</v>
      </c>
      <c r="L3">
        <v>1.240265116599915</v>
      </c>
      <c r="M3">
        <v>1.187732441651292</v>
      </c>
      <c r="N3">
        <v>0.74843361817050891</v>
      </c>
      <c r="O3">
        <v>1.1615577662117</v>
      </c>
      <c r="P3">
        <v>0.66140582035225748</v>
      </c>
      <c r="Q3">
        <v>0.78142273288145248</v>
      </c>
      <c r="R3">
        <v>0.57044184599214987</v>
      </c>
      <c r="S3">
        <v>1.115343459215751</v>
      </c>
      <c r="T3">
        <v>0.9348814254568083</v>
      </c>
      <c r="U3">
        <v>1.0687659789821851</v>
      </c>
      <c r="V3">
        <v>1.3805400595263111</v>
      </c>
      <c r="W3">
        <v>2.4509597324685899</v>
      </c>
      <c r="X3">
        <v>2.8802446618465471</v>
      </c>
      <c r="Y3">
        <v>2.863967651678109</v>
      </c>
      <c r="Z3">
        <v>2.954474348482194</v>
      </c>
      <c r="AA3">
        <v>3.3393111769477462</v>
      </c>
      <c r="AB3">
        <v>3.476447092407255</v>
      </c>
    </row>
    <row r="4" spans="1:28" x14ac:dyDescent="0.35">
      <c r="A4" t="s">
        <v>83</v>
      </c>
      <c r="B4">
        <v>-0.43974309059266958</v>
      </c>
      <c r="C4">
        <v>-0.87578067274837723</v>
      </c>
      <c r="D4">
        <v>-0.20384919984806191</v>
      </c>
      <c r="E4">
        <v>0.72943866774480692</v>
      </c>
      <c r="F4">
        <v>0.46588712100639912</v>
      </c>
      <c r="G4">
        <v>0.28314368534312712</v>
      </c>
      <c r="H4">
        <v>4.4137393235399863E-2</v>
      </c>
      <c r="I4">
        <v>-0.70480583086989568</v>
      </c>
      <c r="J4">
        <v>-1.513186290424289</v>
      </c>
      <c r="K4">
        <v>-1.5179582364564479</v>
      </c>
      <c r="L4">
        <v>-2.0096560276172721</v>
      </c>
      <c r="M4">
        <v>-1.351690520421569</v>
      </c>
      <c r="N4">
        <v>-1.476427757687385</v>
      </c>
      <c r="O4">
        <v>-1.2898783693182501</v>
      </c>
      <c r="P4">
        <v>-1.218331382217873</v>
      </c>
      <c r="Q4">
        <v>-1.156719117809452</v>
      </c>
      <c r="R4">
        <v>-0.7917979446939104</v>
      </c>
      <c r="S4">
        <v>-0.2390251814199518</v>
      </c>
      <c r="T4">
        <v>0.73372676303099904</v>
      </c>
      <c r="U4">
        <v>1.277640931268017</v>
      </c>
      <c r="V4">
        <v>0.80933115449567794</v>
      </c>
      <c r="W4">
        <v>1.445086738398313</v>
      </c>
      <c r="X4">
        <v>2.6758139564709889</v>
      </c>
      <c r="Y4">
        <v>2.8144529568881489</v>
      </c>
      <c r="Z4">
        <v>2.137603227317082</v>
      </c>
      <c r="AA4">
        <v>3.1780744139333059</v>
      </c>
      <c r="AB4">
        <v>3.4822934998376849</v>
      </c>
    </row>
    <row r="5" spans="1:28" x14ac:dyDescent="0.35">
      <c r="A5" t="s">
        <v>84</v>
      </c>
      <c r="B5">
        <v>0.34870294829177012</v>
      </c>
      <c r="C5">
        <v>1.6418932018137818E-2</v>
      </c>
      <c r="D5">
        <v>2.909565610561454</v>
      </c>
      <c r="E5">
        <v>2.8281569169765972</v>
      </c>
      <c r="F5">
        <v>2.4989349305685238</v>
      </c>
      <c r="G5">
        <v>4.7648606059512506</v>
      </c>
      <c r="H5">
        <v>3.7354331678277108</v>
      </c>
      <c r="I5">
        <v>4.0391729114631572</v>
      </c>
      <c r="J5">
        <v>3.4677114096348971</v>
      </c>
      <c r="K5">
        <v>2.4290434933967751</v>
      </c>
      <c r="L5">
        <v>1.882853743344578</v>
      </c>
      <c r="M5">
        <v>1.1948779844051001</v>
      </c>
      <c r="N5">
        <v>1.0505544501141959</v>
      </c>
      <c r="O5">
        <v>2.2745117414890572</v>
      </c>
      <c r="P5">
        <v>2.7569129113771629</v>
      </c>
      <c r="Q5">
        <v>2.265353606820097</v>
      </c>
      <c r="R5">
        <v>2.01447076866959</v>
      </c>
      <c r="S5">
        <v>2.5151907730589631</v>
      </c>
      <c r="T5">
        <v>3.7110992403851761</v>
      </c>
      <c r="U5">
        <v>3.3616525018419332</v>
      </c>
      <c r="V5">
        <v>3.474624202986027</v>
      </c>
      <c r="W5">
        <v>4.0700456222121497</v>
      </c>
      <c r="X5">
        <v>3.9469377807236539</v>
      </c>
      <c r="Y5">
        <v>4.2414913387119011</v>
      </c>
      <c r="Z5">
        <v>4.2169237533960571</v>
      </c>
      <c r="AA5">
        <v>4.1464899812612073</v>
      </c>
      <c r="AB5">
        <v>4.141325764904904</v>
      </c>
    </row>
    <row r="6" spans="1:28" x14ac:dyDescent="0.35">
      <c r="A6" t="s">
        <v>85</v>
      </c>
      <c r="B6">
        <v>0.48046266058254072</v>
      </c>
      <c r="C6">
        <v>6.746070853331787E-2</v>
      </c>
      <c r="D6">
        <v>0.27942148701708802</v>
      </c>
      <c r="E6">
        <v>0.72145834615123916</v>
      </c>
      <c r="F6">
        <v>0.1377956779106376</v>
      </c>
      <c r="G6">
        <v>0.24985629895814729</v>
      </c>
      <c r="H6">
        <v>0.1232931809592402</v>
      </c>
      <c r="I6">
        <v>0.1189580439210336</v>
      </c>
      <c r="J6">
        <v>-0.1178551120906596</v>
      </c>
      <c r="K6">
        <v>-0.29968986419035171</v>
      </c>
      <c r="L6">
        <v>-0.32240139054978739</v>
      </c>
      <c r="M6">
        <v>-0.47329826488132332</v>
      </c>
      <c r="N6">
        <v>-0.58603858650714769</v>
      </c>
      <c r="O6">
        <v>-0.75177024485248323</v>
      </c>
      <c r="P6">
        <v>-0.53072620971807871</v>
      </c>
      <c r="Q6">
        <v>-0.4918692269557528</v>
      </c>
      <c r="R6">
        <v>-0.56619393645202243</v>
      </c>
      <c r="S6">
        <v>-0.19800784324240589</v>
      </c>
      <c r="T6">
        <v>-0.16103313276244979</v>
      </c>
      <c r="U6">
        <v>-3.3629656779599608E-2</v>
      </c>
      <c r="V6">
        <v>-8.5810652799898635E-2</v>
      </c>
      <c r="W6">
        <v>0.38202424781296868</v>
      </c>
      <c r="X6">
        <v>0.69830467506577287</v>
      </c>
      <c r="Y6">
        <v>0.54774548156698211</v>
      </c>
      <c r="Z6">
        <v>0.56389542057425801</v>
      </c>
      <c r="AA6">
        <v>1.3050038586649459</v>
      </c>
      <c r="AB6">
        <v>1.489795389918962</v>
      </c>
    </row>
    <row r="7" spans="1:28" x14ac:dyDescent="0.35">
      <c r="A7" t="s">
        <v>86</v>
      </c>
      <c r="B7">
        <v>133.57154492603649</v>
      </c>
      <c r="C7">
        <v>134.18333973380919</v>
      </c>
      <c r="D7">
        <v>138.88004256091691</v>
      </c>
      <c r="E7">
        <v>141.14106568960011</v>
      </c>
      <c r="F7">
        <v>138.97949973208159</v>
      </c>
      <c r="G7">
        <v>141.8227759217888</v>
      </c>
      <c r="H7">
        <v>140.3928796678376</v>
      </c>
      <c r="I7">
        <v>138.701701969422</v>
      </c>
      <c r="J7">
        <v>137.18979571385731</v>
      </c>
      <c r="K7">
        <v>137.64926921218861</v>
      </c>
      <c r="L7">
        <v>136.9211386148915</v>
      </c>
      <c r="M7">
        <v>137.30102235182349</v>
      </c>
      <c r="N7">
        <v>136.39044411571481</v>
      </c>
      <c r="O7">
        <v>138.23552015027059</v>
      </c>
      <c r="P7">
        <v>138.08572500502021</v>
      </c>
      <c r="Q7">
        <v>138.3984234375481</v>
      </c>
      <c r="R7">
        <v>137.5811262709999</v>
      </c>
      <c r="S7">
        <v>140.31081461980841</v>
      </c>
      <c r="T7">
        <v>143.27736707497621</v>
      </c>
      <c r="U7">
        <v>142.45784996879161</v>
      </c>
      <c r="V7">
        <v>142.3452954648663</v>
      </c>
      <c r="W7">
        <v>146.32271620713999</v>
      </c>
      <c r="X7">
        <v>148.71502899968209</v>
      </c>
      <c r="Y7">
        <v>149.81632682740829</v>
      </c>
      <c r="Z7">
        <v>150.122220867875</v>
      </c>
      <c r="AA7">
        <v>152.9153258277108</v>
      </c>
      <c r="AB7">
        <v>153.78525368771261</v>
      </c>
    </row>
    <row r="8" spans="1:28" x14ac:dyDescent="0.35">
      <c r="A8" t="s">
        <v>87</v>
      </c>
      <c r="B8">
        <v>31770982.670000002</v>
      </c>
      <c r="C8">
        <v>27573343.82</v>
      </c>
      <c r="D8">
        <v>26499988.699999999</v>
      </c>
      <c r="E8">
        <v>21825034.949999999</v>
      </c>
      <c r="F8">
        <v>32457353.879999999</v>
      </c>
      <c r="G8">
        <v>39088072.979999997</v>
      </c>
      <c r="H8">
        <v>26347647.030000001</v>
      </c>
      <c r="I8">
        <v>22911537.82</v>
      </c>
      <c r="J8">
        <v>23269548.890000001</v>
      </c>
      <c r="K8">
        <v>23571771.600000001</v>
      </c>
      <c r="L8">
        <v>23527993.210000001</v>
      </c>
      <c r="M8">
        <v>16080104.130000001</v>
      </c>
      <c r="N8">
        <v>16380134.32</v>
      </c>
      <c r="O8">
        <v>16415283.970000001</v>
      </c>
      <c r="P8">
        <v>23269264.289999999</v>
      </c>
      <c r="Q8">
        <v>26893309.170000002</v>
      </c>
      <c r="R8">
        <v>44948600.219999999</v>
      </c>
      <c r="S8">
        <v>43492970.420000002</v>
      </c>
      <c r="T8">
        <v>30748756.629999999</v>
      </c>
      <c r="U8">
        <v>31998297.82</v>
      </c>
      <c r="V8">
        <v>55570631.719999999</v>
      </c>
      <c r="W8">
        <v>57809913.079999998</v>
      </c>
      <c r="X8">
        <v>51238052.810000002</v>
      </c>
      <c r="Y8">
        <v>39321771.869999997</v>
      </c>
      <c r="Z8">
        <v>51612471.109999999</v>
      </c>
      <c r="AA8">
        <v>66184594.179999992</v>
      </c>
      <c r="AB8">
        <v>36112952.049999997</v>
      </c>
    </row>
    <row r="9" spans="1:28" x14ac:dyDescent="0.35">
      <c r="A9" t="s">
        <v>88</v>
      </c>
      <c r="B9">
        <v>1.901006668815397</v>
      </c>
      <c r="C9">
        <v>1.938128118011055</v>
      </c>
      <c r="D9">
        <v>1.6564901839196859</v>
      </c>
      <c r="E9">
        <v>1.6632912548600509</v>
      </c>
      <c r="F9">
        <v>1.6913744323694919</v>
      </c>
      <c r="G9">
        <v>1.515286525243454</v>
      </c>
      <c r="H9">
        <v>1.5905141567609249</v>
      </c>
      <c r="I9">
        <v>1.567552115227443</v>
      </c>
      <c r="J9">
        <v>1.6113183999885361</v>
      </c>
      <c r="K9">
        <v>1.6974587560735399</v>
      </c>
      <c r="L9">
        <v>1.7465580387511119</v>
      </c>
      <c r="M9">
        <v>1.8125980305153619</v>
      </c>
      <c r="N9">
        <v>1.8270906908231479</v>
      </c>
      <c r="O9">
        <v>1.7110679866929861</v>
      </c>
      <c r="P9">
        <v>1.6692891317554079</v>
      </c>
      <c r="Q9">
        <v>1.7118813738422529</v>
      </c>
      <c r="R9">
        <v>1.734468468843299</v>
      </c>
      <c r="S9">
        <v>1.6899655444582911</v>
      </c>
      <c r="T9">
        <v>1.592382886934911</v>
      </c>
      <c r="U9">
        <v>1.619711366600358</v>
      </c>
      <c r="V9">
        <v>1.6107743748083141</v>
      </c>
      <c r="W9">
        <v>1.5652552724058799</v>
      </c>
      <c r="X9">
        <v>1.574454478513309</v>
      </c>
      <c r="Y9">
        <v>1.552621681505717</v>
      </c>
      <c r="Z9">
        <v>1.5544194994206499</v>
      </c>
      <c r="AA9">
        <v>1.5595968895653589</v>
      </c>
      <c r="AB9">
        <v>1.5599778541205569</v>
      </c>
    </row>
    <row r="10" spans="1:28" x14ac:dyDescent="0.35">
      <c r="A10" t="s">
        <v>89</v>
      </c>
      <c r="B10">
        <v>0.2431362477059637</v>
      </c>
      <c r="C10">
        <v>0.2490362755923812</v>
      </c>
      <c r="D10">
        <v>0.24600826447118451</v>
      </c>
      <c r="E10">
        <v>0.23969345219783941</v>
      </c>
      <c r="F10">
        <v>0.24803149031556229</v>
      </c>
      <c r="G10">
        <v>0.24643062430059789</v>
      </c>
      <c r="H10">
        <v>0.2482386688434394</v>
      </c>
      <c r="I10">
        <v>0.24830059937255669</v>
      </c>
      <c r="J10">
        <v>0.25168364445843799</v>
      </c>
      <c r="K10">
        <v>0.25428128377414788</v>
      </c>
      <c r="L10">
        <v>0.25460573415071119</v>
      </c>
      <c r="M10">
        <v>0.2567614037840189</v>
      </c>
      <c r="N10">
        <v>0.25837197980724502</v>
      </c>
      <c r="O10">
        <v>0.26073957492646399</v>
      </c>
      <c r="P10">
        <v>0.25758180299597261</v>
      </c>
      <c r="Q10">
        <v>0.25702670324222499</v>
      </c>
      <c r="R10">
        <v>0.25808848480645752</v>
      </c>
      <c r="S10">
        <v>0.25282868347489151</v>
      </c>
      <c r="T10">
        <v>0.25230047332517791</v>
      </c>
      <c r="U10">
        <v>0.25048042366827999</v>
      </c>
      <c r="V10">
        <v>0.25122586646856998</v>
      </c>
      <c r="W10">
        <v>0.24454251074552899</v>
      </c>
      <c r="X10">
        <v>0.24002421892763179</v>
      </c>
      <c r="Y10">
        <v>0.24217506454904311</v>
      </c>
      <c r="Z10">
        <v>0.24194435113465351</v>
      </c>
      <c r="AA10">
        <v>0.23135708773335789</v>
      </c>
      <c r="AB10">
        <v>0.2287172087154434</v>
      </c>
    </row>
    <row r="12" spans="1:28" x14ac:dyDescent="0.35">
      <c r="A12" t="s">
        <v>90</v>
      </c>
      <c r="B12" t="s">
        <v>98</v>
      </c>
      <c r="C12" t="s">
        <v>99</v>
      </c>
      <c r="D12" t="s">
        <v>100</v>
      </c>
      <c r="E12" t="s">
        <v>101</v>
      </c>
      <c r="F12" t="s">
        <v>102</v>
      </c>
      <c r="G12" t="s">
        <v>103</v>
      </c>
      <c r="H12" t="s">
        <v>104</v>
      </c>
      <c r="I12" t="s">
        <v>105</v>
      </c>
      <c r="J12" t="s">
        <v>106</v>
      </c>
      <c r="K12" t="s">
        <v>107</v>
      </c>
      <c r="L12" t="s">
        <v>108</v>
      </c>
      <c r="M12" t="s">
        <v>109</v>
      </c>
      <c r="N12" t="s">
        <v>110</v>
      </c>
      <c r="O12" t="s">
        <v>111</v>
      </c>
      <c r="P12" t="s">
        <v>112</v>
      </c>
      <c r="Q12" t="s">
        <v>113</v>
      </c>
      <c r="R12" t="s">
        <v>114</v>
      </c>
      <c r="S12" t="s">
        <v>115</v>
      </c>
      <c r="T12" t="s">
        <v>116</v>
      </c>
      <c r="U12" t="s">
        <v>117</v>
      </c>
      <c r="V12" t="s">
        <v>118</v>
      </c>
      <c r="W12" t="s">
        <v>119</v>
      </c>
      <c r="X12" t="s">
        <v>120</v>
      </c>
      <c r="Y12" t="s">
        <v>121</v>
      </c>
      <c r="Z12" t="s">
        <v>122</v>
      </c>
      <c r="AA12" t="s">
        <v>123</v>
      </c>
      <c r="AB12" t="s">
        <v>124</v>
      </c>
    </row>
    <row r="13" spans="1:28" x14ac:dyDescent="0.35">
      <c r="A13" t="s">
        <v>81</v>
      </c>
      <c r="B13">
        <v>131.02374056102511</v>
      </c>
      <c r="C13">
        <v>132.8617911649242</v>
      </c>
      <c r="D13">
        <v>133.9770238880532</v>
      </c>
      <c r="E13">
        <v>132.88551358739431</v>
      </c>
      <c r="F13">
        <v>135.44222542653091</v>
      </c>
      <c r="G13">
        <v>135.14214550215371</v>
      </c>
      <c r="H13">
        <v>134.9174650654553</v>
      </c>
      <c r="I13">
        <v>132.88314373931999</v>
      </c>
      <c r="J13">
        <v>134.0458546506193</v>
      </c>
      <c r="K13">
        <v>136.69503728100551</v>
      </c>
      <c r="L13">
        <v>137.8900692946446</v>
      </c>
      <c r="M13">
        <v>139.67200216083279</v>
      </c>
      <c r="N13">
        <v>141.24218744766199</v>
      </c>
      <c r="O13">
        <v>140.53478907220429</v>
      </c>
      <c r="P13">
        <v>140.6901144550194</v>
      </c>
      <c r="Q13">
        <v>138.93060381512291</v>
      </c>
      <c r="R13">
        <v>138.077915992643</v>
      </c>
      <c r="S13">
        <v>140.13019299246139</v>
      </c>
      <c r="T13">
        <v>141.48693992933181</v>
      </c>
      <c r="U13">
        <v>139.87967032459511</v>
      </c>
      <c r="V13">
        <v>139.75792256188049</v>
      </c>
      <c r="W13">
        <v>140.54572163897851</v>
      </c>
      <c r="X13">
        <v>140.88101945499329</v>
      </c>
      <c r="Y13">
        <v>141.7057413869658</v>
      </c>
      <c r="Z13">
        <v>142.76907461715399</v>
      </c>
      <c r="AA13">
        <v>143.0878158692305</v>
      </c>
      <c r="AB13">
        <v>143.75044725648189</v>
      </c>
    </row>
    <row r="14" spans="1:28" x14ac:dyDescent="0.35">
      <c r="A14" t="s">
        <v>82</v>
      </c>
      <c r="B14">
        <v>1.3248783906364849</v>
      </c>
      <c r="C14">
        <v>1.5276006940749201</v>
      </c>
      <c r="D14">
        <v>0.54624795820950567</v>
      </c>
      <c r="E14">
        <v>-1.5929319370400211E-2</v>
      </c>
      <c r="F14">
        <v>0.53194876801660484</v>
      </c>
      <c r="G14">
        <v>0.89404096972444336</v>
      </c>
      <c r="H14">
        <v>0.46661431028130101</v>
      </c>
      <c r="I14">
        <v>-0.73000100366618881</v>
      </c>
      <c r="J14">
        <v>-0.65887541195016297</v>
      </c>
      <c r="K14">
        <v>0.53841983721525821</v>
      </c>
      <c r="L14">
        <v>0.46781862701939758</v>
      </c>
      <c r="M14">
        <v>0.25406880264529258</v>
      </c>
      <c r="N14">
        <v>0.87445681465143821</v>
      </c>
      <c r="O14">
        <v>1.500501732177185</v>
      </c>
      <c r="P14">
        <v>1.532794754248783</v>
      </c>
      <c r="Q14">
        <v>0.85054972803516193</v>
      </c>
      <c r="R14">
        <v>-0.30867470082952758</v>
      </c>
      <c r="S14">
        <v>0.2445500717346647</v>
      </c>
      <c r="T14">
        <v>0.65630994753482241</v>
      </c>
      <c r="U14">
        <v>0.42512198873689039</v>
      </c>
      <c r="V14">
        <v>0.54585159267887207</v>
      </c>
      <c r="W14">
        <v>1.2317836705447289</v>
      </c>
      <c r="X14">
        <v>1.720470461501947</v>
      </c>
      <c r="Y14">
        <v>2.746198106842257</v>
      </c>
      <c r="Z14">
        <v>2.6458879096715009</v>
      </c>
      <c r="AA14">
        <v>2.931143540318573</v>
      </c>
      <c r="AB14">
        <v>3.0569265859440971</v>
      </c>
    </row>
    <row r="15" spans="1:28" x14ac:dyDescent="0.35">
      <c r="A15" t="s">
        <v>83</v>
      </c>
      <c r="B15">
        <v>-0.18257503028465619</v>
      </c>
      <c r="C15">
        <v>4.133632035846363E-2</v>
      </c>
      <c r="D15">
        <v>4.1703201243894032E-2</v>
      </c>
      <c r="E15">
        <v>0.99355775828177306</v>
      </c>
      <c r="F15">
        <v>0.772777244917214</v>
      </c>
      <c r="G15">
        <v>0.45517290749743361</v>
      </c>
      <c r="H15">
        <v>0.17804901301981979</v>
      </c>
      <c r="I15">
        <v>-0.7266492845636302</v>
      </c>
      <c r="J15">
        <v>-1.4486639456826069</v>
      </c>
      <c r="K15">
        <v>-1.420234621117489</v>
      </c>
      <c r="L15">
        <v>-1.521627298599479</v>
      </c>
      <c r="M15">
        <v>-1.309070291592568</v>
      </c>
      <c r="N15">
        <v>-1.65922832548635</v>
      </c>
      <c r="O15">
        <v>-1.1144141424234479</v>
      </c>
      <c r="P15">
        <v>-1.1775113914859781</v>
      </c>
      <c r="Q15">
        <v>-1.2460339254351549</v>
      </c>
      <c r="R15">
        <v>-1.359138505434234</v>
      </c>
      <c r="S15">
        <v>-0.881706229101481</v>
      </c>
      <c r="T15">
        <v>-0.2721982089312926</v>
      </c>
      <c r="U15">
        <v>1.290112774667951</v>
      </c>
      <c r="V15">
        <v>1.451286345007168</v>
      </c>
      <c r="W15">
        <v>1.737565002591736</v>
      </c>
      <c r="X15">
        <v>2.4429118847998872</v>
      </c>
      <c r="Y15">
        <v>3.8567733771017401</v>
      </c>
      <c r="Z15">
        <v>2.6861201469922049</v>
      </c>
      <c r="AA15">
        <v>2.815353687316501</v>
      </c>
      <c r="AB15">
        <v>2.6283947028807129</v>
      </c>
    </row>
    <row r="16" spans="1:28" x14ac:dyDescent="0.35">
      <c r="A16" t="s">
        <v>84</v>
      </c>
      <c r="B16">
        <v>0.23433521212948019</v>
      </c>
      <c r="C16">
        <v>-2.9192193982391368E-3</v>
      </c>
      <c r="D16">
        <v>0.45363419508357289</v>
      </c>
      <c r="E16">
        <v>-0.71678202705200245</v>
      </c>
      <c r="F16">
        <v>2.0231545660734711</v>
      </c>
      <c r="G16">
        <v>4.8592087615595769</v>
      </c>
      <c r="H16">
        <v>3.4355532645332949</v>
      </c>
      <c r="I16">
        <v>2.6253772699396989</v>
      </c>
      <c r="J16">
        <v>2.8835477741930089</v>
      </c>
      <c r="K16">
        <v>2.868432468890509</v>
      </c>
      <c r="L16">
        <v>2.803763723141715</v>
      </c>
      <c r="M16">
        <v>2.5685928036445098</v>
      </c>
      <c r="N16">
        <v>2.4696953958607222</v>
      </c>
      <c r="O16">
        <v>4.5131815253417429</v>
      </c>
      <c r="P16">
        <v>4.9295049492201333</v>
      </c>
      <c r="Q16">
        <v>5.4851598847267757</v>
      </c>
      <c r="R16">
        <v>5.1975195296775896</v>
      </c>
      <c r="S16">
        <v>5.2310868740872767</v>
      </c>
      <c r="T16">
        <v>5.122743966429768</v>
      </c>
      <c r="U16">
        <v>5.1513329628964977</v>
      </c>
      <c r="V16">
        <v>5.1143329105697806</v>
      </c>
      <c r="W16">
        <v>6.0308609186822846</v>
      </c>
      <c r="X16">
        <v>6.1215411300011411</v>
      </c>
      <c r="Y16">
        <v>6.0518627039975366</v>
      </c>
      <c r="Z16">
        <v>5.0550155457418127</v>
      </c>
      <c r="AA16">
        <v>5.0075646573845827</v>
      </c>
      <c r="AB16">
        <v>4.7679986417240521</v>
      </c>
    </row>
    <row r="17" spans="1:28" x14ac:dyDescent="0.35">
      <c r="A17" t="s">
        <v>85</v>
      </c>
      <c r="B17">
        <v>0.24207717586248481</v>
      </c>
      <c r="C17">
        <v>3.8688369628254733E-2</v>
      </c>
      <c r="D17">
        <v>-0.42809206954141749</v>
      </c>
      <c r="E17">
        <v>-0.49267772086232231</v>
      </c>
      <c r="F17">
        <v>-0.43394004810756392</v>
      </c>
      <c r="G17">
        <v>-0.35112978427429659</v>
      </c>
      <c r="H17">
        <v>-0.21344940326447459</v>
      </c>
      <c r="I17">
        <v>-0.34220452824247127</v>
      </c>
      <c r="J17">
        <v>-0.48695371132419341</v>
      </c>
      <c r="K17">
        <v>-0.33614321313535311</v>
      </c>
      <c r="L17">
        <v>-0.24783463372173289</v>
      </c>
      <c r="M17">
        <v>-0.27061734841458412</v>
      </c>
      <c r="N17">
        <v>-0.37006695781492788</v>
      </c>
      <c r="O17">
        <v>-0.448606137030017</v>
      </c>
      <c r="P17">
        <v>-0.2583965741719485</v>
      </c>
      <c r="Q17">
        <v>6.1147676748039267E-2</v>
      </c>
      <c r="R17">
        <v>8.78913679062443E-2</v>
      </c>
      <c r="S17">
        <v>5.1936224884864823E-2</v>
      </c>
      <c r="T17">
        <v>-0.17385785225502831</v>
      </c>
      <c r="U17">
        <v>-0.47058559525398891</v>
      </c>
      <c r="V17">
        <v>-0.48672241639745423</v>
      </c>
      <c r="W17">
        <v>-0.39489591806701307</v>
      </c>
      <c r="X17">
        <v>-0.47358276319589099</v>
      </c>
      <c r="Y17">
        <v>-0.5489125547162671</v>
      </c>
      <c r="Z17">
        <v>-0.39192735244038379</v>
      </c>
      <c r="AA17">
        <v>-0.33481510605200993</v>
      </c>
      <c r="AB17">
        <v>-0.43099726178588699</v>
      </c>
    </row>
    <row r="18" spans="1:28" x14ac:dyDescent="0.35">
      <c r="A18" t="s">
        <v>86</v>
      </c>
      <c r="B18">
        <v>132.6424563093689</v>
      </c>
      <c r="C18">
        <v>134.46649732958761</v>
      </c>
      <c r="D18">
        <v>134.5905171730488</v>
      </c>
      <c r="E18">
        <v>132.6536822783913</v>
      </c>
      <c r="F18">
        <v>138.33616595743061</v>
      </c>
      <c r="G18">
        <v>140.9994383566609</v>
      </c>
      <c r="H18">
        <v>138.7842322500253</v>
      </c>
      <c r="I18">
        <v>133.70966619278741</v>
      </c>
      <c r="J18">
        <v>134.33490935585539</v>
      </c>
      <c r="K18">
        <v>138.3455117528585</v>
      </c>
      <c r="L18">
        <v>139.39218971248451</v>
      </c>
      <c r="M18">
        <v>140.91497612711549</v>
      </c>
      <c r="N18">
        <v>142.5570443748729</v>
      </c>
      <c r="O18">
        <v>144.98545205026971</v>
      </c>
      <c r="P18">
        <v>145.71650619283039</v>
      </c>
      <c r="Q18">
        <v>144.0814271791977</v>
      </c>
      <c r="R18">
        <v>141.6955136839631</v>
      </c>
      <c r="S18">
        <v>144.77605993406681</v>
      </c>
      <c r="T18">
        <v>146.81993778211</v>
      </c>
      <c r="U18">
        <v>146.27565245564239</v>
      </c>
      <c r="V18">
        <v>146.38267099373891</v>
      </c>
      <c r="W18">
        <v>149.15103531273019</v>
      </c>
      <c r="X18">
        <v>150.69236016810041</v>
      </c>
      <c r="Y18">
        <v>153.81166302019111</v>
      </c>
      <c r="Z18">
        <v>152.76417086711919</v>
      </c>
      <c r="AA18">
        <v>153.50706264819809</v>
      </c>
      <c r="AB18">
        <v>153.77276992524489</v>
      </c>
    </row>
    <row r="19" spans="1:28" x14ac:dyDescent="0.35">
      <c r="A19" t="s">
        <v>87</v>
      </c>
      <c r="B19">
        <v>25170860.129999999</v>
      </c>
      <c r="C19">
        <v>31331320.100000001</v>
      </c>
      <c r="D19">
        <v>39492329.32</v>
      </c>
      <c r="E19">
        <v>35019247.479999997</v>
      </c>
      <c r="F19">
        <v>47822965.150000013</v>
      </c>
      <c r="G19">
        <v>74524098.950000003</v>
      </c>
      <c r="H19">
        <v>64546320.25</v>
      </c>
      <c r="I19">
        <v>62370455.130000003</v>
      </c>
      <c r="J19">
        <v>60683169.869999997</v>
      </c>
      <c r="K19">
        <v>62044879.040000007</v>
      </c>
      <c r="L19">
        <v>56177246.939999998</v>
      </c>
      <c r="M19">
        <v>31539408.809999999</v>
      </c>
      <c r="N19">
        <v>19394722.109999999</v>
      </c>
      <c r="O19">
        <v>25380181.210000001</v>
      </c>
      <c r="P19">
        <v>42547497.349999987</v>
      </c>
      <c r="Q19">
        <v>74064199.50999999</v>
      </c>
      <c r="R19">
        <v>130550975.02</v>
      </c>
      <c r="S19">
        <v>144364566.97999999</v>
      </c>
      <c r="T19">
        <v>107191110.02</v>
      </c>
      <c r="U19">
        <v>117995058.66</v>
      </c>
      <c r="V19">
        <v>174097392.13999999</v>
      </c>
      <c r="W19">
        <v>177894768.84999999</v>
      </c>
      <c r="X19">
        <v>151112832.16</v>
      </c>
      <c r="Y19">
        <v>116115320.55</v>
      </c>
      <c r="Z19">
        <v>157644647.03</v>
      </c>
      <c r="AA19">
        <v>172258760.97999999</v>
      </c>
      <c r="AB19">
        <v>63407601.739999987</v>
      </c>
    </row>
    <row r="20" spans="1:28" x14ac:dyDescent="0.35">
      <c r="A20" t="s">
        <v>88</v>
      </c>
      <c r="B20">
        <v>1.9136218249247441</v>
      </c>
      <c r="C20">
        <v>1.9403331916642439</v>
      </c>
      <c r="D20">
        <v>1.88957781693912</v>
      </c>
      <c r="E20">
        <v>2.0253981771165299</v>
      </c>
      <c r="F20">
        <v>1.733676708847103</v>
      </c>
      <c r="G20">
        <v>1.50874628444909</v>
      </c>
      <c r="H20">
        <v>1.613854030428336</v>
      </c>
      <c r="I20">
        <v>1.6804772487362909</v>
      </c>
      <c r="J20">
        <v>1.658657719162421</v>
      </c>
      <c r="K20">
        <v>1.659919576022882</v>
      </c>
      <c r="L20">
        <v>1.665340006125259</v>
      </c>
      <c r="M20">
        <v>1.685353685414605</v>
      </c>
      <c r="N20">
        <v>1.693914533815027</v>
      </c>
      <c r="O20">
        <v>1.5330136066183779</v>
      </c>
      <c r="P20">
        <v>1.503909918457728</v>
      </c>
      <c r="Q20">
        <v>1.466745185227788</v>
      </c>
      <c r="R20">
        <v>1.485751592915888</v>
      </c>
      <c r="S20">
        <v>1.483508214726188</v>
      </c>
      <c r="T20">
        <v>1.490773479548722</v>
      </c>
      <c r="U20">
        <v>1.488849454578717</v>
      </c>
      <c r="V20">
        <v>1.4913404864334321</v>
      </c>
      <c r="W20">
        <v>1.4319916270801289</v>
      </c>
      <c r="X20">
        <v>1.426375509079155</v>
      </c>
      <c r="Y20">
        <v>1.430686987142292</v>
      </c>
      <c r="Z20">
        <v>1.495351473754345</v>
      </c>
      <c r="AA20">
        <v>1.4985756267644841</v>
      </c>
      <c r="AB20">
        <v>1.5150680842466251</v>
      </c>
    </row>
    <row r="21" spans="1:28" x14ac:dyDescent="0.35">
      <c r="A21" t="s">
        <v>89</v>
      </c>
      <c r="B21">
        <v>0.2465417546305359</v>
      </c>
      <c r="C21">
        <v>0.24944730900531059</v>
      </c>
      <c r="D21">
        <v>0.25611560099344882</v>
      </c>
      <c r="E21">
        <v>0.25703825315517598</v>
      </c>
      <c r="F21">
        <v>0.25619914354439383</v>
      </c>
      <c r="G21">
        <v>0.25501613977534709</v>
      </c>
      <c r="H21">
        <v>0.25304927718949249</v>
      </c>
      <c r="I21">
        <v>0.25488863611774959</v>
      </c>
      <c r="J21">
        <v>0.25695648159034562</v>
      </c>
      <c r="K21">
        <v>0.25480204590193362</v>
      </c>
      <c r="L21">
        <v>0.25354049476745327</v>
      </c>
      <c r="M21">
        <v>0.25386596212020829</v>
      </c>
      <c r="N21">
        <v>0.25528667082592749</v>
      </c>
      <c r="O21">
        <v>0.25640865910042882</v>
      </c>
      <c r="P21">
        <v>0.25369137963102778</v>
      </c>
      <c r="Q21">
        <v>0.2491264617607423</v>
      </c>
      <c r="R21">
        <v>0.2487444090299108</v>
      </c>
      <c r="S21">
        <v>0.24925805393021619</v>
      </c>
      <c r="T21">
        <v>0.25248368360364332</v>
      </c>
      <c r="U21">
        <v>0.25672265136077133</v>
      </c>
      <c r="V21">
        <v>0.25695317737710649</v>
      </c>
      <c r="W21">
        <v>0.25564137025810019</v>
      </c>
      <c r="X21">
        <v>0.25676546804565559</v>
      </c>
      <c r="Y21">
        <v>0.2578416079245181</v>
      </c>
      <c r="Z21">
        <v>0.25559896217771982</v>
      </c>
      <c r="AA21">
        <v>0.25478307294360009</v>
      </c>
      <c r="AB21">
        <v>0.25615710373979839</v>
      </c>
    </row>
    <row r="23" spans="1:28" x14ac:dyDescent="0.35">
      <c r="A23" t="s">
        <v>91</v>
      </c>
      <c r="B23" t="s">
        <v>98</v>
      </c>
      <c r="C23" t="s">
        <v>99</v>
      </c>
      <c r="D23" t="s">
        <v>100</v>
      </c>
      <c r="E23" t="s">
        <v>101</v>
      </c>
      <c r="F23" t="s">
        <v>102</v>
      </c>
      <c r="G23" t="s">
        <v>103</v>
      </c>
      <c r="H23" t="s">
        <v>104</v>
      </c>
      <c r="I23" t="s">
        <v>105</v>
      </c>
      <c r="J23" t="s">
        <v>106</v>
      </c>
      <c r="K23" t="s">
        <v>107</v>
      </c>
      <c r="L23" t="s">
        <v>108</v>
      </c>
      <c r="M23" t="s">
        <v>109</v>
      </c>
      <c r="N23" t="s">
        <v>110</v>
      </c>
      <c r="O23" t="s">
        <v>111</v>
      </c>
      <c r="P23" t="s">
        <v>112</v>
      </c>
      <c r="Q23" t="s">
        <v>113</v>
      </c>
      <c r="R23" t="s">
        <v>114</v>
      </c>
      <c r="S23" t="s">
        <v>115</v>
      </c>
      <c r="T23" t="s">
        <v>116</v>
      </c>
      <c r="U23" t="s">
        <v>117</v>
      </c>
      <c r="V23" t="s">
        <v>118</v>
      </c>
      <c r="W23" t="s">
        <v>119</v>
      </c>
      <c r="X23" t="s">
        <v>120</v>
      </c>
      <c r="Y23" t="s">
        <v>121</v>
      </c>
      <c r="Z23" t="s">
        <v>122</v>
      </c>
      <c r="AA23" t="s">
        <v>123</v>
      </c>
      <c r="AB23" t="s">
        <v>124</v>
      </c>
    </row>
    <row r="24" spans="1:28" x14ac:dyDescent="0.35">
      <c r="A24" t="s">
        <v>81</v>
      </c>
      <c r="B24">
        <v>130.04845931024329</v>
      </c>
      <c r="C24">
        <v>133.1207717529023</v>
      </c>
      <c r="D24">
        <v>135.5091346012222</v>
      </c>
      <c r="E24">
        <v>135.29709634106169</v>
      </c>
      <c r="F24">
        <v>135.25602005308559</v>
      </c>
      <c r="G24">
        <v>135.44450557465149</v>
      </c>
      <c r="H24">
        <v>135.02436779778921</v>
      </c>
      <c r="I24">
        <v>133.6390065764549</v>
      </c>
      <c r="J24">
        <v>134.3753988708373</v>
      </c>
      <c r="K24">
        <v>136.6500572548444</v>
      </c>
      <c r="L24">
        <v>137.11574532115</v>
      </c>
      <c r="M24">
        <v>138.231604818877</v>
      </c>
      <c r="N24">
        <v>139.1940251931957</v>
      </c>
      <c r="O24">
        <v>137.6876765525258</v>
      </c>
      <c r="P24">
        <v>138.30515917510829</v>
      </c>
      <c r="Q24">
        <v>137.37836866541551</v>
      </c>
      <c r="R24">
        <v>136.65538364985869</v>
      </c>
      <c r="S24">
        <v>137.42339571606601</v>
      </c>
      <c r="T24">
        <v>138.5009252564584</v>
      </c>
      <c r="U24">
        <v>137.12881796354111</v>
      </c>
      <c r="V24">
        <v>136.59243945562051</v>
      </c>
      <c r="W24">
        <v>137.84932732452529</v>
      </c>
      <c r="X24">
        <v>138.47866109598871</v>
      </c>
      <c r="Y24">
        <v>139.9129774417593</v>
      </c>
      <c r="Z24">
        <v>140.9780636993658</v>
      </c>
      <c r="AA24">
        <v>141.15235144889451</v>
      </c>
      <c r="AB24">
        <v>141.2328265690617</v>
      </c>
    </row>
    <row r="25" spans="1:28" x14ac:dyDescent="0.35">
      <c r="A25" t="s">
        <v>82</v>
      </c>
      <c r="B25">
        <v>0.62858224456050493</v>
      </c>
      <c r="C25">
        <v>0.56852601343419451</v>
      </c>
      <c r="D25">
        <v>0.89754926246203581</v>
      </c>
      <c r="E25">
        <v>0.8418977323271406</v>
      </c>
      <c r="F25">
        <v>1.65768215960972</v>
      </c>
      <c r="G25">
        <v>1.8060986976592801</v>
      </c>
      <c r="H25">
        <v>1.3819046374218831</v>
      </c>
      <c r="I25">
        <v>0.91510327931885627</v>
      </c>
      <c r="J25">
        <v>0.26850734975207052</v>
      </c>
      <c r="K25">
        <v>0.57072361795940196</v>
      </c>
      <c r="L25">
        <v>0.1028187549925121</v>
      </c>
      <c r="M25">
        <v>0.75548991750920891</v>
      </c>
      <c r="N25">
        <v>0.32724314096981288</v>
      </c>
      <c r="O25">
        <v>0.26227002024302237</v>
      </c>
      <c r="P25">
        <v>1.453467898249784</v>
      </c>
      <c r="Q25">
        <v>1.1303383277072501</v>
      </c>
      <c r="R25">
        <v>0.92121789859555747</v>
      </c>
      <c r="S25">
        <v>1.9278822769108219</v>
      </c>
      <c r="T25">
        <v>2.1888427552443939</v>
      </c>
      <c r="U25">
        <v>1.9387714784453181</v>
      </c>
      <c r="V25">
        <v>1.727000238595735</v>
      </c>
      <c r="W25">
        <v>2.0084285521355132</v>
      </c>
      <c r="X25">
        <v>2.1845456539765</v>
      </c>
      <c r="Y25">
        <v>2.714632072150152</v>
      </c>
      <c r="Z25">
        <v>2.9900540131267519</v>
      </c>
      <c r="AA25">
        <v>3.1681268678805741</v>
      </c>
      <c r="AB25">
        <v>2.9716205193356018</v>
      </c>
    </row>
    <row r="26" spans="1:28" x14ac:dyDescent="0.35">
      <c r="A26" t="s">
        <v>83</v>
      </c>
      <c r="B26">
        <v>-1.1261748422014779</v>
      </c>
      <c r="C26">
        <v>-1.1022860241022669</v>
      </c>
      <c r="D26">
        <v>-0.77599105538096769</v>
      </c>
      <c r="E26">
        <v>-0.33841284768593483</v>
      </c>
      <c r="F26">
        <v>-0.53915305313122086</v>
      </c>
      <c r="G26">
        <v>-0.4144843925998199</v>
      </c>
      <c r="H26">
        <v>-0.61300720690356447</v>
      </c>
      <c r="I26">
        <v>-0.78526355749445387</v>
      </c>
      <c r="J26">
        <v>-1.1362437572493911</v>
      </c>
      <c r="K26">
        <v>-1.2624477503587721</v>
      </c>
      <c r="L26">
        <v>-1.4578271677359109</v>
      </c>
      <c r="M26">
        <v>-1.2418956005548081</v>
      </c>
      <c r="N26">
        <v>-1.1383491845144</v>
      </c>
      <c r="O26">
        <v>-1.1714938471151739</v>
      </c>
      <c r="P26">
        <v>-1.186952520979794</v>
      </c>
      <c r="Q26">
        <v>-0.60733561199398833</v>
      </c>
      <c r="R26">
        <v>-0.8863355298806902</v>
      </c>
      <c r="S26">
        <v>0.32942480668649837</v>
      </c>
      <c r="T26">
        <v>1.196665705534536</v>
      </c>
      <c r="U26">
        <v>2.400639641998954</v>
      </c>
      <c r="V26">
        <v>2.0700021152811452</v>
      </c>
      <c r="W26">
        <v>2.698513614175476</v>
      </c>
      <c r="X26">
        <v>2.8573562420003751</v>
      </c>
      <c r="Y26">
        <v>4.0106101342849563</v>
      </c>
      <c r="Z26">
        <v>3.3051237605553832</v>
      </c>
      <c r="AA26">
        <v>4.1187265870716754</v>
      </c>
      <c r="AB26">
        <v>3.937791674838115</v>
      </c>
    </row>
    <row r="27" spans="1:28" x14ac:dyDescent="0.35">
      <c r="A27" t="s">
        <v>84</v>
      </c>
      <c r="B27">
        <v>-1.11750905680076</v>
      </c>
      <c r="C27">
        <v>-1.3196160809775741</v>
      </c>
      <c r="D27">
        <v>1.154688322424037</v>
      </c>
      <c r="E27">
        <v>1.4119039077060529</v>
      </c>
      <c r="F27">
        <v>2.4636294987086051</v>
      </c>
      <c r="G27">
        <v>4.1713473904891583</v>
      </c>
      <c r="H27">
        <v>3.8996530183504392</v>
      </c>
      <c r="I27">
        <v>3.5614772337838909</v>
      </c>
      <c r="J27">
        <v>4.081373814661208</v>
      </c>
      <c r="K27">
        <v>4.5523667961901202</v>
      </c>
      <c r="L27">
        <v>4.326917852606468</v>
      </c>
      <c r="M27">
        <v>5.3663455317727156</v>
      </c>
      <c r="N27">
        <v>5.1605467990674398</v>
      </c>
      <c r="O27">
        <v>4.8713061291449158</v>
      </c>
      <c r="P27">
        <v>5.8471204102574301</v>
      </c>
      <c r="Q27">
        <v>5.9801068855315282</v>
      </c>
      <c r="R27">
        <v>4.4837189549914056</v>
      </c>
      <c r="S27">
        <v>5.0510480746859141</v>
      </c>
      <c r="T27">
        <v>5.5867370571891888</v>
      </c>
      <c r="U27">
        <v>5.4836533522929711</v>
      </c>
      <c r="V27">
        <v>5.1731411215190661</v>
      </c>
      <c r="W27">
        <v>6.0449126470784336</v>
      </c>
      <c r="X27">
        <v>5.9579131840595876</v>
      </c>
      <c r="Y27">
        <v>6.213140941598347</v>
      </c>
      <c r="Z27">
        <v>5.2373962954408322</v>
      </c>
      <c r="AA27">
        <v>5.444628315776713</v>
      </c>
      <c r="AB27">
        <v>5.072813145572086</v>
      </c>
    </row>
    <row r="28" spans="1:28" x14ac:dyDescent="0.35">
      <c r="A28" t="s">
        <v>85</v>
      </c>
      <c r="B28">
        <v>2.118782984535161E-2</v>
      </c>
      <c r="C28">
        <v>-0.3332225321696769</v>
      </c>
      <c r="D28">
        <v>-0.43858272818297572</v>
      </c>
      <c r="E28">
        <v>-0.38094139614812622</v>
      </c>
      <c r="F28">
        <v>-0.44904978756037323</v>
      </c>
      <c r="G28">
        <v>-0.24658530458154629</v>
      </c>
      <c r="H28">
        <v>-0.28474509634206341</v>
      </c>
      <c r="I28">
        <v>-0.148061337655192</v>
      </c>
      <c r="J28">
        <v>-0.31375796981027221</v>
      </c>
      <c r="K28">
        <v>-9.2548683569321222E-2</v>
      </c>
      <c r="L28">
        <v>-0.30454788780914399</v>
      </c>
      <c r="M28">
        <v>-3.0305439536429939E-2</v>
      </c>
      <c r="N28">
        <v>-0.61353643961712723</v>
      </c>
      <c r="O28">
        <v>-0.76041252804156023</v>
      </c>
      <c r="P28">
        <v>-0.28199250767740941</v>
      </c>
      <c r="Q28">
        <v>-6.076794653631256E-2</v>
      </c>
      <c r="R28">
        <v>-0.28364092515507028</v>
      </c>
      <c r="S28">
        <v>0.1433384687020611</v>
      </c>
      <c r="T28">
        <v>0.16354408283210581</v>
      </c>
      <c r="U28">
        <v>3.8402199084318363E-2</v>
      </c>
      <c r="V28">
        <v>-6.1729799557208587E-4</v>
      </c>
      <c r="W28">
        <v>0.30972454029176261</v>
      </c>
      <c r="X28">
        <v>0.25237078234014582</v>
      </c>
      <c r="Y28">
        <v>0.46168183612648678</v>
      </c>
      <c r="Z28">
        <v>0.71576815840884767</v>
      </c>
      <c r="AA28">
        <v>0.93370855595526447</v>
      </c>
      <c r="AB28">
        <v>0.98847840437235501</v>
      </c>
    </row>
    <row r="29" spans="1:28" x14ac:dyDescent="0.35">
      <c r="A29" t="s">
        <v>86</v>
      </c>
      <c r="B29">
        <v>128.45454548564689</v>
      </c>
      <c r="C29">
        <v>130.93417312908699</v>
      </c>
      <c r="D29">
        <v>136.34679840254441</v>
      </c>
      <c r="E29">
        <v>136.83154373726089</v>
      </c>
      <c r="F29">
        <v>138.3891288707124</v>
      </c>
      <c r="G29">
        <v>140.76088196561861</v>
      </c>
      <c r="H29">
        <v>139.40817315031589</v>
      </c>
      <c r="I29">
        <v>137.182262194408</v>
      </c>
      <c r="J29">
        <v>137.27527830819091</v>
      </c>
      <c r="K29">
        <v>140.41815123506581</v>
      </c>
      <c r="L29">
        <v>139.78310687320399</v>
      </c>
      <c r="M29">
        <v>143.08123922806769</v>
      </c>
      <c r="N29">
        <v>142.9299295091015</v>
      </c>
      <c r="O29">
        <v>140.88934632675699</v>
      </c>
      <c r="P29">
        <v>144.1368024549582</v>
      </c>
      <c r="Q29">
        <v>143.82071032012399</v>
      </c>
      <c r="R29">
        <v>140.8903440484099</v>
      </c>
      <c r="S29">
        <v>144.87508934305129</v>
      </c>
      <c r="T29">
        <v>147.63671485725871</v>
      </c>
      <c r="U29">
        <v>146.9902846353626</v>
      </c>
      <c r="V29">
        <v>145.56196563302089</v>
      </c>
      <c r="W29">
        <v>148.91090667820649</v>
      </c>
      <c r="X29">
        <v>149.7308469583653</v>
      </c>
      <c r="Y29">
        <v>153.31304242591921</v>
      </c>
      <c r="Z29">
        <v>153.22640592689771</v>
      </c>
      <c r="AA29">
        <v>154.81754177557869</v>
      </c>
      <c r="AB29">
        <v>154.2035303131799</v>
      </c>
    </row>
    <row r="30" spans="1:28" x14ac:dyDescent="0.35">
      <c r="A30" t="s">
        <v>87</v>
      </c>
      <c r="B30">
        <v>72904502.5</v>
      </c>
      <c r="C30">
        <v>59027087.810000002</v>
      </c>
      <c r="D30">
        <v>58449626.489999987</v>
      </c>
      <c r="E30">
        <v>43557036.240000002</v>
      </c>
      <c r="F30">
        <v>62371457.820000008</v>
      </c>
      <c r="G30">
        <v>81436817.859999999</v>
      </c>
      <c r="H30">
        <v>65585923.109999999</v>
      </c>
      <c r="I30">
        <v>58032673.059999987</v>
      </c>
      <c r="J30">
        <v>53435822.409999996</v>
      </c>
      <c r="K30">
        <v>52757869.049999997</v>
      </c>
      <c r="L30">
        <v>36839388.489999987</v>
      </c>
      <c r="M30">
        <v>19983670.75</v>
      </c>
      <c r="N30">
        <v>12207516.710000001</v>
      </c>
      <c r="O30">
        <v>15929965.67</v>
      </c>
      <c r="P30">
        <v>27551427.149999999</v>
      </c>
      <c r="Q30">
        <v>43854976.729999997</v>
      </c>
      <c r="R30">
        <v>67753232.099999994</v>
      </c>
      <c r="S30">
        <v>93581198.459999993</v>
      </c>
      <c r="T30">
        <v>68010607.799999997</v>
      </c>
      <c r="U30">
        <v>69982323.159999996</v>
      </c>
      <c r="V30">
        <v>108722251.33</v>
      </c>
      <c r="W30">
        <v>115245440.55</v>
      </c>
      <c r="X30">
        <v>89260079.859999999</v>
      </c>
      <c r="Y30">
        <v>70730230.530000001</v>
      </c>
      <c r="Z30">
        <v>103604558.01000001</v>
      </c>
      <c r="AA30">
        <v>118346593.3</v>
      </c>
      <c r="AB30">
        <v>56778599.360000007</v>
      </c>
    </row>
    <row r="31" spans="1:28" x14ac:dyDescent="0.35">
      <c r="A31" t="s">
        <v>88</v>
      </c>
      <c r="B31">
        <v>2.076500475772145</v>
      </c>
      <c r="C31">
        <v>2.103264828866263</v>
      </c>
      <c r="D31">
        <v>1.8166106415203089</v>
      </c>
      <c r="E31">
        <v>1.791232463808192</v>
      </c>
      <c r="F31">
        <v>1.694442447241826</v>
      </c>
      <c r="G31">
        <v>1.557765757261895</v>
      </c>
      <c r="H31">
        <v>1.5780166288427231</v>
      </c>
      <c r="I31">
        <v>1.6039703580155049</v>
      </c>
      <c r="J31">
        <v>1.5644141738553961</v>
      </c>
      <c r="K31">
        <v>1.530226369654677</v>
      </c>
      <c r="L31">
        <v>1.546402542923911</v>
      </c>
      <c r="M31">
        <v>1.4745368193096171</v>
      </c>
      <c r="N31">
        <v>1.4882304258569949</v>
      </c>
      <c r="O31">
        <v>1.507911772861706</v>
      </c>
      <c r="P31">
        <v>1.443507952327914</v>
      </c>
      <c r="Q31">
        <v>1.4351543343240269</v>
      </c>
      <c r="R31">
        <v>1.5351159670769019</v>
      </c>
      <c r="S31">
        <v>1.4956205205438859</v>
      </c>
      <c r="T31">
        <v>1.460148932379886</v>
      </c>
      <c r="U31">
        <v>1.466843465483183</v>
      </c>
      <c r="V31">
        <v>1.4873851124319439</v>
      </c>
      <c r="W31">
        <v>1.4311184644121919</v>
      </c>
      <c r="X31">
        <v>1.436541715947383</v>
      </c>
      <c r="Y31">
        <v>1.420746984777888</v>
      </c>
      <c r="Z31">
        <v>1.4830872986133561</v>
      </c>
      <c r="AA31">
        <v>1.469393902897371</v>
      </c>
      <c r="AB31">
        <v>1.4941457521745909</v>
      </c>
    </row>
    <row r="32" spans="1:28" x14ac:dyDescent="0.35">
      <c r="A32" t="s">
        <v>89</v>
      </c>
      <c r="B32">
        <v>0.249697316716495</v>
      </c>
      <c r="C32">
        <v>0.25476032188813819</v>
      </c>
      <c r="D32">
        <v>0.25626546754547108</v>
      </c>
      <c r="E32">
        <v>0.25544201994497318</v>
      </c>
      <c r="F32">
        <v>0.25641499696514819</v>
      </c>
      <c r="G32">
        <v>0.25352264720830781</v>
      </c>
      <c r="H32">
        <v>0.25406778709060091</v>
      </c>
      <c r="I32">
        <v>0.25211516196650269</v>
      </c>
      <c r="J32">
        <v>0.25448225671157532</v>
      </c>
      <c r="K32">
        <v>0.2513221240509903</v>
      </c>
      <c r="L32">
        <v>0.2543506841115592</v>
      </c>
      <c r="M32">
        <v>0.25043293485052037</v>
      </c>
      <c r="N32">
        <v>0.25876480628024467</v>
      </c>
      <c r="O32">
        <v>0.26086303611487938</v>
      </c>
      <c r="P32">
        <v>0.25402846439539162</v>
      </c>
      <c r="Q32">
        <v>0.25086811352194732</v>
      </c>
      <c r="R32">
        <v>0.254052013216501</v>
      </c>
      <c r="S32">
        <v>0.24795230758997061</v>
      </c>
      <c r="T32">
        <v>0.24766365595954129</v>
      </c>
      <c r="U32">
        <v>0.24945139715593831</v>
      </c>
      <c r="V32">
        <v>0.25000881854279389</v>
      </c>
      <c r="W32">
        <v>0.24557536371011771</v>
      </c>
      <c r="X32">
        <v>0.24639470310942649</v>
      </c>
      <c r="Y32">
        <v>0.24340454519819299</v>
      </c>
      <c r="Z32">
        <v>0.23977474059415929</v>
      </c>
      <c r="AA32">
        <v>0.23666130634349619</v>
      </c>
      <c r="AB32">
        <v>0.23587887993753781</v>
      </c>
    </row>
    <row r="34" spans="1:28" x14ac:dyDescent="0.35">
      <c r="A34" t="s">
        <v>92</v>
      </c>
      <c r="B34" t="s">
        <v>98</v>
      </c>
      <c r="C34" t="s">
        <v>99</v>
      </c>
      <c r="D34" t="s">
        <v>100</v>
      </c>
      <c r="E34" t="s">
        <v>101</v>
      </c>
      <c r="F34" t="s">
        <v>102</v>
      </c>
      <c r="G34" t="s">
        <v>103</v>
      </c>
      <c r="H34" t="s">
        <v>104</v>
      </c>
      <c r="I34" t="s">
        <v>105</v>
      </c>
      <c r="J34" t="s">
        <v>106</v>
      </c>
      <c r="K34" t="s">
        <v>107</v>
      </c>
      <c r="L34" t="s">
        <v>108</v>
      </c>
      <c r="M34" t="s">
        <v>109</v>
      </c>
      <c r="N34" t="s">
        <v>110</v>
      </c>
      <c r="O34" t="s">
        <v>111</v>
      </c>
      <c r="P34" t="s">
        <v>112</v>
      </c>
      <c r="Q34" t="s">
        <v>113</v>
      </c>
      <c r="R34" t="s">
        <v>114</v>
      </c>
      <c r="S34" t="s">
        <v>115</v>
      </c>
      <c r="T34" t="s">
        <v>116</v>
      </c>
      <c r="U34" t="s">
        <v>117</v>
      </c>
      <c r="V34" t="s">
        <v>118</v>
      </c>
      <c r="W34" t="s">
        <v>119</v>
      </c>
      <c r="X34" t="s">
        <v>120</v>
      </c>
      <c r="Y34" t="s">
        <v>121</v>
      </c>
      <c r="Z34" t="s">
        <v>122</v>
      </c>
      <c r="AA34" t="s">
        <v>123</v>
      </c>
      <c r="AB34" t="s">
        <v>124</v>
      </c>
    </row>
    <row r="35" spans="1:28" x14ac:dyDescent="0.35">
      <c r="A35" t="s">
        <v>81</v>
      </c>
      <c r="B35">
        <v>131.93220934195591</v>
      </c>
      <c r="C35">
        <v>135.6651454248871</v>
      </c>
      <c r="D35">
        <v>137.77440959079931</v>
      </c>
      <c r="E35">
        <v>140.3148155816894</v>
      </c>
      <c r="F35">
        <v>136.74657379357421</v>
      </c>
      <c r="G35">
        <v>136.0120971139637</v>
      </c>
      <c r="H35">
        <v>135.61507416479881</v>
      </c>
      <c r="I35">
        <v>134.55233977781279</v>
      </c>
      <c r="J35">
        <v>133.82649272373871</v>
      </c>
      <c r="K35">
        <v>135.7542622523689</v>
      </c>
      <c r="L35">
        <v>136.83145607664599</v>
      </c>
      <c r="M35">
        <v>138.5584785780058</v>
      </c>
      <c r="N35">
        <v>140.88245124915099</v>
      </c>
      <c r="O35">
        <v>138.8885094056663</v>
      </c>
      <c r="P35">
        <v>137.92337249578631</v>
      </c>
      <c r="Q35">
        <v>139.62455276374411</v>
      </c>
      <c r="R35">
        <v>138.47757940377039</v>
      </c>
      <c r="S35">
        <v>138.28305148748419</v>
      </c>
      <c r="T35">
        <v>140.33496139523359</v>
      </c>
      <c r="U35">
        <v>138.37431564958931</v>
      </c>
      <c r="V35">
        <v>136.66569058637731</v>
      </c>
      <c r="W35">
        <v>138.2870900315385</v>
      </c>
      <c r="X35">
        <v>138.04613194623491</v>
      </c>
      <c r="Y35">
        <v>138.8209903887105</v>
      </c>
      <c r="Z35">
        <v>140.97004720935229</v>
      </c>
      <c r="AA35">
        <v>141.8201970181436</v>
      </c>
      <c r="AB35">
        <v>142.26761363746419</v>
      </c>
    </row>
    <row r="36" spans="1:28" x14ac:dyDescent="0.35">
      <c r="A36" t="s">
        <v>82</v>
      </c>
      <c r="B36">
        <v>-1.707796924935423</v>
      </c>
      <c r="C36">
        <v>-1.371339084523044</v>
      </c>
      <c r="D36">
        <v>-0.82129068545566497</v>
      </c>
      <c r="E36">
        <v>0.68606037462021163</v>
      </c>
      <c r="F36">
        <v>1.84634636243095</v>
      </c>
      <c r="G36">
        <v>-0.25753932432485271</v>
      </c>
      <c r="H36">
        <v>-0.50397062728484343</v>
      </c>
      <c r="I36">
        <v>0.48327834998593738</v>
      </c>
      <c r="J36">
        <v>1.894630593071156E-2</v>
      </c>
      <c r="K36">
        <v>0.57584304501298789</v>
      </c>
      <c r="L36">
        <v>0.89718204699084936</v>
      </c>
      <c r="M36">
        <v>1.2166000315287699</v>
      </c>
      <c r="N36">
        <v>1.740083473947863</v>
      </c>
      <c r="O36">
        <v>1.045959906292069</v>
      </c>
      <c r="P36">
        <v>1.746584542970965</v>
      </c>
      <c r="Q36">
        <v>1.966102584389972</v>
      </c>
      <c r="R36">
        <v>1.6053916655368989</v>
      </c>
      <c r="S36">
        <v>2.5738787315545721</v>
      </c>
      <c r="T36">
        <v>3.3016547214246259</v>
      </c>
      <c r="U36">
        <v>2.9211077144165358</v>
      </c>
      <c r="V36">
        <v>2.2915748123796789</v>
      </c>
      <c r="W36">
        <v>2.4341582675713771</v>
      </c>
      <c r="X36">
        <v>2.966878620439815</v>
      </c>
      <c r="Y36">
        <v>1.8184878969360341</v>
      </c>
      <c r="Z36">
        <v>2.292401023596057</v>
      </c>
      <c r="AA36">
        <v>2.4526518244411188</v>
      </c>
      <c r="AB36">
        <v>2.449569358287107</v>
      </c>
    </row>
    <row r="37" spans="1:28" x14ac:dyDescent="0.35">
      <c r="A37" t="s">
        <v>83</v>
      </c>
      <c r="B37">
        <v>-0.60883537808640698</v>
      </c>
      <c r="C37">
        <v>-0.75225360747880621</v>
      </c>
      <c r="D37">
        <v>-0.17406222128939641</v>
      </c>
      <c r="E37">
        <v>0.41489838743582702</v>
      </c>
      <c r="F37">
        <v>0.60610250943142341</v>
      </c>
      <c r="G37">
        <v>0.1672713073757732</v>
      </c>
      <c r="H37">
        <v>4.0286949088037337E-2</v>
      </c>
      <c r="I37">
        <v>-8.0357083770020502E-2</v>
      </c>
      <c r="J37">
        <v>-0.70181643082370238</v>
      </c>
      <c r="K37">
        <v>-1.694477161964375</v>
      </c>
      <c r="L37">
        <v>-1.339934315854</v>
      </c>
      <c r="M37">
        <v>-0.90885276558690742</v>
      </c>
      <c r="N37">
        <v>-0.52652810910601588</v>
      </c>
      <c r="O37">
        <v>-0.75632405936485836</v>
      </c>
      <c r="P37">
        <v>-0.30936155676061178</v>
      </c>
      <c r="Q37">
        <v>0.43036406143906297</v>
      </c>
      <c r="R37">
        <v>-0.22114901713466589</v>
      </c>
      <c r="S37">
        <v>-0.1800911690843664</v>
      </c>
      <c r="T37">
        <v>2.1706035792651211E-2</v>
      </c>
      <c r="U37">
        <v>2.1538497376167851</v>
      </c>
      <c r="V37">
        <v>2.4059109627102542</v>
      </c>
      <c r="W37">
        <v>1.678339040741881</v>
      </c>
      <c r="X37">
        <v>2.3787120477485382</v>
      </c>
      <c r="Y37">
        <v>2.7824378437444728</v>
      </c>
      <c r="Z37">
        <v>1.1176940127667001</v>
      </c>
      <c r="AA37">
        <v>0.41579615155783822</v>
      </c>
      <c r="AB37">
        <v>-8.3299334377230347E-2</v>
      </c>
    </row>
    <row r="38" spans="1:28" x14ac:dyDescent="0.35">
      <c r="A38" t="s">
        <v>84</v>
      </c>
      <c r="B38">
        <v>0.32894633011080859</v>
      </c>
      <c r="C38">
        <v>0.94836459078562685</v>
      </c>
      <c r="D38">
        <v>3.1411259866252288</v>
      </c>
      <c r="E38">
        <v>2.4011278221114409</v>
      </c>
      <c r="F38">
        <v>1.465426321556029</v>
      </c>
      <c r="G38">
        <v>2.9752868250875091</v>
      </c>
      <c r="H38">
        <v>2.2070787816575499</v>
      </c>
      <c r="I38">
        <v>1.431227053213924</v>
      </c>
      <c r="J38">
        <v>1.215566213809173</v>
      </c>
      <c r="K38">
        <v>1.1814004199758259</v>
      </c>
      <c r="L38">
        <v>1.63751864794103</v>
      </c>
      <c r="M38">
        <v>1.4343933331991141</v>
      </c>
      <c r="N38">
        <v>2.0459690687409422</v>
      </c>
      <c r="O38">
        <v>1.667931300740036</v>
      </c>
      <c r="P38">
        <v>2.330416887366209</v>
      </c>
      <c r="Q38">
        <v>1.9676896289725889</v>
      </c>
      <c r="R38">
        <v>0.74483394793919677</v>
      </c>
      <c r="S38">
        <v>0.95648997306804384</v>
      </c>
      <c r="T38">
        <v>1.2527600702278749</v>
      </c>
      <c r="U38">
        <v>1.345210804336467</v>
      </c>
      <c r="V38">
        <v>0.83394031819643777</v>
      </c>
      <c r="W38">
        <v>0.39065732456229879</v>
      </c>
      <c r="X38">
        <v>0.40974473654831312</v>
      </c>
      <c r="Y38">
        <v>0.43702224855556221</v>
      </c>
      <c r="Z38">
        <v>-0.23404593760895451</v>
      </c>
      <c r="AA38">
        <v>-0.38369642236498802</v>
      </c>
      <c r="AB38">
        <v>-0.7626651819554503</v>
      </c>
    </row>
    <row r="39" spans="1:28" x14ac:dyDescent="0.35">
      <c r="A39" t="s">
        <v>85</v>
      </c>
      <c r="B39">
        <v>0.59746182742415743</v>
      </c>
      <c r="C39">
        <v>-5.8674787883444823E-2</v>
      </c>
      <c r="D39">
        <v>-0.35689927788547099</v>
      </c>
      <c r="E39">
        <v>0.4526847632688088</v>
      </c>
      <c r="F39">
        <v>2.37186118529914E-2</v>
      </c>
      <c r="G39">
        <v>0.14085021010137169</v>
      </c>
      <c r="H39">
        <v>0.32439401434959941</v>
      </c>
      <c r="I39">
        <v>0.19623805896946839</v>
      </c>
      <c r="J39">
        <v>-0.74347837233240743</v>
      </c>
      <c r="K39">
        <v>-0.52816424792407612</v>
      </c>
      <c r="L39">
        <v>-0.23873629734904669</v>
      </c>
      <c r="M39">
        <v>-0.1014131974249588</v>
      </c>
      <c r="N39">
        <v>-0.45925058871205338</v>
      </c>
      <c r="O39">
        <v>-0.47615512333845078</v>
      </c>
      <c r="P39">
        <v>0.1942357917985624</v>
      </c>
      <c r="Q39">
        <v>0.20180428885501281</v>
      </c>
      <c r="R39">
        <v>-2.6863488126922241E-2</v>
      </c>
      <c r="S39">
        <v>0.17303201230724291</v>
      </c>
      <c r="T39">
        <v>0.12577920536076401</v>
      </c>
      <c r="U39">
        <v>-0.25312763922840492</v>
      </c>
      <c r="V39">
        <v>-0.44396875561578591</v>
      </c>
      <c r="W39">
        <v>-0.51262696881437109</v>
      </c>
      <c r="X39">
        <v>-0.51551613136543328</v>
      </c>
      <c r="Y39">
        <v>-0.48676851932872101</v>
      </c>
      <c r="Z39">
        <v>-0.42371848874012269</v>
      </c>
      <c r="AA39">
        <v>-0.30616854321628528</v>
      </c>
      <c r="AB39">
        <v>-0.50492150581763096</v>
      </c>
    </row>
    <row r="40" spans="1:28" x14ac:dyDescent="0.35">
      <c r="A40" t="s">
        <v>86</v>
      </c>
      <c r="B40">
        <v>130.541985196469</v>
      </c>
      <c r="C40">
        <v>134.43124253578739</v>
      </c>
      <c r="D40">
        <v>139.56328339279401</v>
      </c>
      <c r="E40">
        <v>144.26958692912569</v>
      </c>
      <c r="F40">
        <v>140.68816759884561</v>
      </c>
      <c r="G40">
        <v>139.03796613220359</v>
      </c>
      <c r="H40">
        <v>137.68286328260911</v>
      </c>
      <c r="I40">
        <v>136.58272615621209</v>
      </c>
      <c r="J40">
        <v>133.6157104403224</v>
      </c>
      <c r="K40">
        <v>135.28886430746931</v>
      </c>
      <c r="L40">
        <v>137.7874861583748</v>
      </c>
      <c r="M40">
        <v>140.1992059797218</v>
      </c>
      <c r="N40">
        <v>143.68272509402181</v>
      </c>
      <c r="O40">
        <v>140.36992142999509</v>
      </c>
      <c r="P40">
        <v>141.8852481611614</v>
      </c>
      <c r="Q40">
        <v>144.19051332740071</v>
      </c>
      <c r="R40">
        <v>140.57979251198489</v>
      </c>
      <c r="S40">
        <v>141.8063610353297</v>
      </c>
      <c r="T40">
        <v>145.0368614280396</v>
      </c>
      <c r="U40">
        <v>144.5413562667307</v>
      </c>
      <c r="V40">
        <v>141.75314792404791</v>
      </c>
      <c r="W40">
        <v>142.2776176955997</v>
      </c>
      <c r="X40">
        <v>143.28595121960609</v>
      </c>
      <c r="Y40">
        <v>143.37216985861781</v>
      </c>
      <c r="Z40">
        <v>143.72237781936599</v>
      </c>
      <c r="AA40">
        <v>143.9987800285613</v>
      </c>
      <c r="AB40">
        <v>143.36629697360101</v>
      </c>
    </row>
    <row r="41" spans="1:28" x14ac:dyDescent="0.35">
      <c r="A41" t="s">
        <v>87</v>
      </c>
      <c r="B41">
        <v>29259650.82</v>
      </c>
      <c r="C41">
        <v>20105260.789999999</v>
      </c>
      <c r="D41">
        <v>18512222.649999999</v>
      </c>
      <c r="E41">
        <v>8870501.5099999979</v>
      </c>
      <c r="F41">
        <v>14997866.310000001</v>
      </c>
      <c r="G41">
        <v>30378894.850000001</v>
      </c>
      <c r="H41">
        <v>25400833.129999999</v>
      </c>
      <c r="I41">
        <v>18513509.949999999</v>
      </c>
      <c r="J41">
        <v>18865674.18</v>
      </c>
      <c r="K41">
        <v>17214715.960000001</v>
      </c>
      <c r="L41">
        <v>15413992.75</v>
      </c>
      <c r="M41">
        <v>9085075.6400000006</v>
      </c>
      <c r="N41">
        <v>6104945.5</v>
      </c>
      <c r="O41">
        <v>8837185.2599999998</v>
      </c>
      <c r="P41">
        <v>14396259.33</v>
      </c>
      <c r="Q41">
        <v>14055114.9</v>
      </c>
      <c r="R41">
        <v>26893214.539999999</v>
      </c>
      <c r="S41">
        <v>34860234.579999998</v>
      </c>
      <c r="T41">
        <v>21546276.469999999</v>
      </c>
      <c r="U41">
        <v>21067167.199999999</v>
      </c>
      <c r="V41">
        <v>43440603.299999997</v>
      </c>
      <c r="W41">
        <v>39963234.909999996</v>
      </c>
      <c r="X41">
        <v>42633922.899999991</v>
      </c>
      <c r="Y41">
        <v>42979688.650000013</v>
      </c>
      <c r="Z41">
        <v>60620781.590000004</v>
      </c>
      <c r="AA41">
        <v>52913754.030000001</v>
      </c>
      <c r="AB41">
        <v>19083440.260000002</v>
      </c>
    </row>
    <row r="42" spans="1:28" x14ac:dyDescent="0.35">
      <c r="A42" t="s">
        <v>88</v>
      </c>
      <c r="B42">
        <v>1.422475407934533</v>
      </c>
      <c r="C42">
        <v>1.3733841807879741</v>
      </c>
      <c r="D42">
        <v>1.2238640489299799</v>
      </c>
      <c r="E42">
        <v>1.270544693381507</v>
      </c>
      <c r="F42">
        <v>1.3349272077853009</v>
      </c>
      <c r="G42">
        <v>1.234024833577928</v>
      </c>
      <c r="H42">
        <v>1.2833810013597879</v>
      </c>
      <c r="I42">
        <v>1.3374041743846721</v>
      </c>
      <c r="J42">
        <v>1.3532381980700059</v>
      </c>
      <c r="K42">
        <v>1.355781151649746</v>
      </c>
      <c r="L42">
        <v>1.32260095700686</v>
      </c>
      <c r="M42">
        <v>1.3371744626717379</v>
      </c>
      <c r="N42">
        <v>1.2942371118546361</v>
      </c>
      <c r="O42">
        <v>1.3204462563574371</v>
      </c>
      <c r="P42">
        <v>1.275192363601352</v>
      </c>
      <c r="Q42">
        <v>1.299578413722452</v>
      </c>
      <c r="R42">
        <v>1.3891366959149669</v>
      </c>
      <c r="S42">
        <v>1.3727627190487219</v>
      </c>
      <c r="T42">
        <v>1.3504806892304839</v>
      </c>
      <c r="U42">
        <v>1.343674938538902</v>
      </c>
      <c r="V42">
        <v>1.3821959454943871</v>
      </c>
      <c r="W42">
        <v>1.4174277337513119</v>
      </c>
      <c r="X42">
        <v>1.4158737174504461</v>
      </c>
      <c r="Y42">
        <v>1.4136588030127639</v>
      </c>
      <c r="Z42">
        <v>1.4702414135378219</v>
      </c>
      <c r="AA42">
        <v>1.483482766478706</v>
      </c>
      <c r="AB42">
        <v>1.518106282602885</v>
      </c>
    </row>
    <row r="43" spans="1:28" x14ac:dyDescent="0.35">
      <c r="A43" t="s">
        <v>89</v>
      </c>
      <c r="B43">
        <v>0.22646483103679771</v>
      </c>
      <c r="C43">
        <v>0.2358382112554778</v>
      </c>
      <c r="D43">
        <v>0.2400985611126496</v>
      </c>
      <c r="E43">
        <v>0.2285330748104456</v>
      </c>
      <c r="F43">
        <v>0.2346611626878144</v>
      </c>
      <c r="G43">
        <v>0.23298785414140899</v>
      </c>
      <c r="H43">
        <v>0.23036579979500571</v>
      </c>
      <c r="I43">
        <v>0.23219659915757901</v>
      </c>
      <c r="J43">
        <v>0.24562111960474869</v>
      </c>
      <c r="K43">
        <v>0.2425452035417725</v>
      </c>
      <c r="L43">
        <v>0.2384105185335578</v>
      </c>
      <c r="M43">
        <v>0.23644875996321371</v>
      </c>
      <c r="N43">
        <v>0.24156072269588649</v>
      </c>
      <c r="O43">
        <v>0.24180221604769209</v>
      </c>
      <c r="P43">
        <v>0.23222520297430621</v>
      </c>
      <c r="Q43">
        <v>0.23211708158778549</v>
      </c>
      <c r="R43">
        <v>0.2353837641160989</v>
      </c>
      <c r="S43">
        <v>0.23252811410989649</v>
      </c>
      <c r="T43">
        <v>0.2332031542091319</v>
      </c>
      <c r="U43">
        <v>0.23861610913183429</v>
      </c>
      <c r="V43">
        <v>0.24134241079451119</v>
      </c>
      <c r="W43">
        <v>0.24232324241163389</v>
      </c>
      <c r="X43">
        <v>0.24236451616236329</v>
      </c>
      <c r="Y43">
        <v>0.24195383599041029</v>
      </c>
      <c r="Z43">
        <v>0.241053121267716</v>
      </c>
      <c r="AA43">
        <v>0.23937383633166121</v>
      </c>
      <c r="AB43">
        <v>0.24221316436882331</v>
      </c>
    </row>
    <row r="45" spans="1:28" x14ac:dyDescent="0.35">
      <c r="A45" t="s">
        <v>93</v>
      </c>
      <c r="B45" t="s">
        <v>98</v>
      </c>
      <c r="C45" t="s">
        <v>99</v>
      </c>
      <c r="D45" t="s">
        <v>100</v>
      </c>
      <c r="E45" t="s">
        <v>101</v>
      </c>
      <c r="F45" t="s">
        <v>102</v>
      </c>
      <c r="G45" t="s">
        <v>103</v>
      </c>
      <c r="H45" t="s">
        <v>104</v>
      </c>
      <c r="I45" t="s">
        <v>105</v>
      </c>
      <c r="J45" t="s">
        <v>106</v>
      </c>
      <c r="K45" t="s">
        <v>107</v>
      </c>
      <c r="L45" t="s">
        <v>108</v>
      </c>
      <c r="M45" t="s">
        <v>109</v>
      </c>
      <c r="N45" t="s">
        <v>110</v>
      </c>
      <c r="O45" t="s">
        <v>111</v>
      </c>
      <c r="P45" t="s">
        <v>112</v>
      </c>
      <c r="Q45" t="s">
        <v>113</v>
      </c>
      <c r="R45" t="s">
        <v>114</v>
      </c>
      <c r="S45" t="s">
        <v>115</v>
      </c>
      <c r="T45" t="s">
        <v>116</v>
      </c>
      <c r="U45" t="s">
        <v>117</v>
      </c>
      <c r="V45" t="s">
        <v>118</v>
      </c>
      <c r="W45" t="s">
        <v>119</v>
      </c>
      <c r="X45" t="s">
        <v>120</v>
      </c>
      <c r="Y45" t="s">
        <v>121</v>
      </c>
      <c r="Z45" t="s">
        <v>122</v>
      </c>
      <c r="AA45" t="s">
        <v>123</v>
      </c>
      <c r="AB45" t="s">
        <v>124</v>
      </c>
    </row>
    <row r="46" spans="1:28" x14ac:dyDescent="0.35">
      <c r="A46" t="s">
        <v>81</v>
      </c>
      <c r="B46">
        <v>132.4052406085342</v>
      </c>
      <c r="C46">
        <v>133.2043204352899</v>
      </c>
      <c r="D46">
        <v>136.3321953766237</v>
      </c>
      <c r="E46">
        <v>135.35901515591621</v>
      </c>
      <c r="F46">
        <v>133.85737584675849</v>
      </c>
      <c r="G46">
        <v>131.8711109882932</v>
      </c>
      <c r="H46">
        <v>131.13601025157351</v>
      </c>
      <c r="I46">
        <v>129.49575375995741</v>
      </c>
      <c r="J46">
        <v>129.33986697515539</v>
      </c>
      <c r="K46">
        <v>131.44923485313231</v>
      </c>
      <c r="L46">
        <v>131.7012569159462</v>
      </c>
      <c r="M46">
        <v>131.26736776136539</v>
      </c>
      <c r="N46">
        <v>132.73238468866589</v>
      </c>
      <c r="O46">
        <v>133.43761150790689</v>
      </c>
      <c r="P46">
        <v>133.77076990491361</v>
      </c>
      <c r="Q46">
        <v>135.32305386348179</v>
      </c>
      <c r="R46">
        <v>136.16598007794221</v>
      </c>
      <c r="S46">
        <v>136.819962750126</v>
      </c>
      <c r="T46">
        <v>136.68873727956989</v>
      </c>
      <c r="U46">
        <v>134.94827752867641</v>
      </c>
      <c r="V46">
        <v>134.5540665758642</v>
      </c>
      <c r="W46">
        <v>136.3948412134425</v>
      </c>
      <c r="X46">
        <v>136.99098557816819</v>
      </c>
      <c r="Y46">
        <v>137.18006005902231</v>
      </c>
      <c r="Z46">
        <v>139.83113803582509</v>
      </c>
      <c r="AA46">
        <v>141.88836123600581</v>
      </c>
      <c r="AB46">
        <v>144.9588724819022</v>
      </c>
    </row>
    <row r="47" spans="1:28" x14ac:dyDescent="0.35">
      <c r="A47" t="s">
        <v>82</v>
      </c>
      <c r="B47">
        <v>0.53970733515859592</v>
      </c>
      <c r="C47">
        <v>0.61617348789380344</v>
      </c>
      <c r="D47">
        <v>0.32114302449886623</v>
      </c>
      <c r="E47">
        <v>-0.90085168971461371</v>
      </c>
      <c r="F47">
        <v>-0.38378760685060342</v>
      </c>
      <c r="G47">
        <v>-0.59363017959421427</v>
      </c>
      <c r="H47">
        <v>-1.1264312145279689</v>
      </c>
      <c r="I47">
        <v>-1.2425331960703829</v>
      </c>
      <c r="J47">
        <v>-0.97783528920101048</v>
      </c>
      <c r="K47">
        <v>-0.96492904935232104</v>
      </c>
      <c r="L47">
        <v>-1.655948495602019</v>
      </c>
      <c r="M47">
        <v>-1.4960905503461961</v>
      </c>
      <c r="N47">
        <v>-1.8545040429037269</v>
      </c>
      <c r="O47">
        <v>-1.149272118464012</v>
      </c>
      <c r="P47">
        <v>-0.80688966097923753</v>
      </c>
      <c r="Q47">
        <v>0.34195000985090468</v>
      </c>
      <c r="R47">
        <v>-0.704586907282021</v>
      </c>
      <c r="S47">
        <v>-0.44552709662613671</v>
      </c>
      <c r="T47">
        <v>-0.65605600693285737</v>
      </c>
      <c r="U47">
        <v>-0.4397682428748908</v>
      </c>
      <c r="V47">
        <v>-1.119623545994386</v>
      </c>
      <c r="W47">
        <v>0.15824338670805099</v>
      </c>
      <c r="X47">
        <v>7.1073853137420429E-2</v>
      </c>
      <c r="Y47">
        <v>1.013871901831237</v>
      </c>
      <c r="Z47">
        <v>1.0049937625205421</v>
      </c>
      <c r="AA47">
        <v>0.50587795348991449</v>
      </c>
      <c r="AB47">
        <v>0.45635382015100839</v>
      </c>
    </row>
    <row r="48" spans="1:28" x14ac:dyDescent="0.35">
      <c r="A48" t="s">
        <v>83</v>
      </c>
      <c r="B48">
        <v>-0.99720797863604393</v>
      </c>
      <c r="C48">
        <v>-0.733826398345646</v>
      </c>
      <c r="D48">
        <v>-0.35020158408078922</v>
      </c>
      <c r="E48">
        <v>-0.51745002159181142</v>
      </c>
      <c r="F48">
        <v>-0.48226476039706928</v>
      </c>
      <c r="G48">
        <v>1.9434362574935748E-2</v>
      </c>
      <c r="H48">
        <v>-0.64466446351969275</v>
      </c>
      <c r="I48">
        <v>-0.61551292919446265</v>
      </c>
      <c r="J48">
        <v>-1.5946580992460679</v>
      </c>
      <c r="K48">
        <v>-1.9134218593738159</v>
      </c>
      <c r="L48">
        <v>-2.6197272765892499</v>
      </c>
      <c r="M48">
        <v>-2.78266762251828</v>
      </c>
      <c r="N48">
        <v>-2.5290503215360309</v>
      </c>
      <c r="O48">
        <v>-2.0181529751026468</v>
      </c>
      <c r="P48">
        <v>-1.8166196075987791</v>
      </c>
      <c r="Q48">
        <v>-1.128355092228539</v>
      </c>
      <c r="R48">
        <v>-1.663358086283512</v>
      </c>
      <c r="S48">
        <v>-1.1688689516003661</v>
      </c>
      <c r="T48">
        <v>-0.21205195497085</v>
      </c>
      <c r="U48">
        <v>2.4369971098748739</v>
      </c>
      <c r="V48">
        <v>3.88568929667959</v>
      </c>
      <c r="W48">
        <v>2.786052109595099</v>
      </c>
      <c r="X48">
        <v>2.9950036224841381</v>
      </c>
      <c r="Y48">
        <v>3.9983763744756962</v>
      </c>
      <c r="Z48">
        <v>3.061770693979323</v>
      </c>
      <c r="AA48">
        <v>1.4295628876718209</v>
      </c>
      <c r="AB48">
        <v>-0.58311484093213839</v>
      </c>
    </row>
    <row r="49" spans="1:28" x14ac:dyDescent="0.35">
      <c r="A49" t="s">
        <v>84</v>
      </c>
      <c r="B49">
        <v>-0.25403343085729319</v>
      </c>
      <c r="C49">
        <v>4.0680402670801863E-2</v>
      </c>
      <c r="D49">
        <v>2.4353098399581081</v>
      </c>
      <c r="E49">
        <v>1.011502234959287</v>
      </c>
      <c r="F49">
        <v>1.1420180322622471</v>
      </c>
      <c r="G49">
        <v>2.5241592935044079</v>
      </c>
      <c r="H49">
        <v>1.4049530540251369</v>
      </c>
      <c r="I49">
        <v>0.93566682625683639</v>
      </c>
      <c r="J49">
        <v>0.69811002290710511</v>
      </c>
      <c r="K49">
        <v>1.322747738136947</v>
      </c>
      <c r="L49">
        <v>2.07338129831607</v>
      </c>
      <c r="M49">
        <v>1.29450192885572</v>
      </c>
      <c r="N49">
        <v>0.85413033488021517</v>
      </c>
      <c r="O49">
        <v>1.5073154158575841</v>
      </c>
      <c r="P49">
        <v>2.608124511085617</v>
      </c>
      <c r="Q49">
        <v>1.83756868006437</v>
      </c>
      <c r="R49">
        <v>1.716420672841132</v>
      </c>
      <c r="S49">
        <v>1.959595320960416</v>
      </c>
      <c r="T49">
        <v>1.752654669824574</v>
      </c>
      <c r="U49">
        <v>1.326485774341996</v>
      </c>
      <c r="V49">
        <v>1.5161918188624399</v>
      </c>
      <c r="W49">
        <v>1.919640087611391</v>
      </c>
      <c r="X49">
        <v>1.851545993771349</v>
      </c>
      <c r="Y49">
        <v>1.7016867938195399</v>
      </c>
      <c r="Z49">
        <v>1.506394903985788</v>
      </c>
      <c r="AA49">
        <v>1.7843510867194941</v>
      </c>
      <c r="AB49">
        <v>1.4232373484195</v>
      </c>
    </row>
    <row r="50" spans="1:28" x14ac:dyDescent="0.35">
      <c r="A50" t="s">
        <v>85</v>
      </c>
      <c r="B50">
        <v>0.87334363543814242</v>
      </c>
      <c r="C50">
        <v>0.25747230732115678</v>
      </c>
      <c r="D50">
        <v>0.25333967356673037</v>
      </c>
      <c r="E50">
        <v>5.8155094231107922E-2</v>
      </c>
      <c r="F50">
        <v>0.1842358618954584</v>
      </c>
      <c r="G50">
        <v>0.37103346259637349</v>
      </c>
      <c r="H50">
        <v>0.34015580176716959</v>
      </c>
      <c r="I50">
        <v>0.40602966115206779</v>
      </c>
      <c r="J50">
        <v>8.1615730852455104E-3</v>
      </c>
      <c r="K50">
        <v>-6.7548198213260302E-3</v>
      </c>
      <c r="L50">
        <v>3.3648439354300169E-4</v>
      </c>
      <c r="M50">
        <v>-0.80416214450065926</v>
      </c>
      <c r="N50">
        <v>-0.17806216519661269</v>
      </c>
      <c r="O50">
        <v>-0.10743676356914759</v>
      </c>
      <c r="P50">
        <v>5.401984924404718E-2</v>
      </c>
      <c r="Q50">
        <v>-5.7381391888643989E-2</v>
      </c>
      <c r="R50">
        <v>-0.23293449418475801</v>
      </c>
      <c r="S50">
        <v>-0.22162482401323949</v>
      </c>
      <c r="T50">
        <v>-0.1805548035454585</v>
      </c>
      <c r="U50">
        <v>-0.22366944074067421</v>
      </c>
      <c r="V50">
        <v>-0.2314317123139861</v>
      </c>
      <c r="W50">
        <v>-0.17966664183404149</v>
      </c>
      <c r="X50">
        <v>-0.1926803837567245</v>
      </c>
      <c r="Y50">
        <v>-0.1802049672130307</v>
      </c>
      <c r="Z50">
        <v>-0.15996648035821631</v>
      </c>
      <c r="AA50">
        <v>-9.4967360955361957E-2</v>
      </c>
      <c r="AB50">
        <v>-0.3664137977802312</v>
      </c>
    </row>
    <row r="51" spans="1:28" x14ac:dyDescent="0.35">
      <c r="A51" t="s">
        <v>86</v>
      </c>
      <c r="B51">
        <v>132.56705016963761</v>
      </c>
      <c r="C51">
        <v>133.38482023482999</v>
      </c>
      <c r="D51">
        <v>138.99178633056661</v>
      </c>
      <c r="E51">
        <v>135.01037077380019</v>
      </c>
      <c r="F51">
        <v>134.31757737366851</v>
      </c>
      <c r="G51">
        <v>134.19210792737471</v>
      </c>
      <c r="H51">
        <v>131.11002342931809</v>
      </c>
      <c r="I51">
        <v>128.9794041221015</v>
      </c>
      <c r="J51">
        <v>127.47364518270069</v>
      </c>
      <c r="K51">
        <v>129.88687686272169</v>
      </c>
      <c r="L51">
        <v>129.4992989264646</v>
      </c>
      <c r="M51">
        <v>127.47894937285599</v>
      </c>
      <c r="N51">
        <v>129.0248984939098</v>
      </c>
      <c r="O51">
        <v>131.67006506662869</v>
      </c>
      <c r="P51">
        <v>133.80940499666531</v>
      </c>
      <c r="Q51">
        <v>136.3168360692799</v>
      </c>
      <c r="R51">
        <v>135.28152126303311</v>
      </c>
      <c r="S51">
        <v>136.9435371988466</v>
      </c>
      <c r="T51">
        <v>137.39272918394539</v>
      </c>
      <c r="U51">
        <v>138.04832272927769</v>
      </c>
      <c r="V51">
        <v>138.60489243309789</v>
      </c>
      <c r="W51">
        <v>141.07911015552301</v>
      </c>
      <c r="X51">
        <v>141.71592866380431</v>
      </c>
      <c r="Y51">
        <v>143.71379016193569</v>
      </c>
      <c r="Z51">
        <v>145.2443309159525</v>
      </c>
      <c r="AA51">
        <v>145.5131858029317</v>
      </c>
      <c r="AB51">
        <v>145.88893501176031</v>
      </c>
    </row>
    <row r="52" spans="1:28" x14ac:dyDescent="0.35">
      <c r="A52" t="s">
        <v>87</v>
      </c>
      <c r="B52">
        <v>42532046.75</v>
      </c>
      <c r="C52">
        <v>47031747.540000007</v>
      </c>
      <c r="D52">
        <v>47483114.759999998</v>
      </c>
      <c r="E52">
        <v>49661425.090000004</v>
      </c>
      <c r="F52">
        <v>90535742.530000001</v>
      </c>
      <c r="G52">
        <v>128061914.7</v>
      </c>
      <c r="H52">
        <v>96551754.920000002</v>
      </c>
      <c r="I52">
        <v>73645036.269999996</v>
      </c>
      <c r="J52">
        <v>75811406.219999999</v>
      </c>
      <c r="K52">
        <v>68474446.019999996</v>
      </c>
      <c r="L52">
        <v>57322795.530000001</v>
      </c>
      <c r="M52">
        <v>64940675.799999997</v>
      </c>
      <c r="N52">
        <v>68523618.879999995</v>
      </c>
      <c r="O52">
        <v>60624410.460000001</v>
      </c>
      <c r="P52">
        <v>74281824.359999999</v>
      </c>
      <c r="Q52">
        <v>77667826.039999992</v>
      </c>
      <c r="R52">
        <v>115549949.29000001</v>
      </c>
      <c r="S52">
        <v>101871277.37</v>
      </c>
      <c r="T52">
        <v>81058060.349999994</v>
      </c>
      <c r="U52">
        <v>92099159.140000001</v>
      </c>
      <c r="V52">
        <v>151128858.03</v>
      </c>
      <c r="W52">
        <v>130152018.06999999</v>
      </c>
      <c r="X52">
        <v>108662439.09999999</v>
      </c>
      <c r="Y52">
        <v>91413081.209999993</v>
      </c>
      <c r="Z52">
        <v>95639886.620000005</v>
      </c>
      <c r="AA52">
        <v>60417987.469999999</v>
      </c>
      <c r="AB52">
        <v>21857290.16</v>
      </c>
    </row>
    <row r="53" spans="1:28" x14ac:dyDescent="0.35">
      <c r="A53" t="s">
        <v>88</v>
      </c>
      <c r="B53">
        <v>1.4719962504536359</v>
      </c>
      <c r="C53">
        <v>1.446538484234267</v>
      </c>
      <c r="D53">
        <v>1.2683101120065869</v>
      </c>
      <c r="E53">
        <v>1.368569910407349</v>
      </c>
      <c r="F53">
        <v>1.3587242585783179</v>
      </c>
      <c r="G53">
        <v>1.26253835719323</v>
      </c>
      <c r="H53">
        <v>1.3393133863283111</v>
      </c>
      <c r="I53">
        <v>1.374356484137726</v>
      </c>
      <c r="J53">
        <v>1.392804088577531</v>
      </c>
      <c r="K53">
        <v>1.345322238361309</v>
      </c>
      <c r="L53">
        <v>1.29237703658639</v>
      </c>
      <c r="M53">
        <v>1.347399349589278</v>
      </c>
      <c r="N53">
        <v>1.3806329144939209</v>
      </c>
      <c r="O53">
        <v>1.331905759755907</v>
      </c>
      <c r="P53">
        <v>1.257131960074199</v>
      </c>
      <c r="Q53">
        <v>1.308555282194505</v>
      </c>
      <c r="R53">
        <v>1.3170253239589189</v>
      </c>
      <c r="S53">
        <v>1.3001332350563759</v>
      </c>
      <c r="T53">
        <v>1.3144805593666169</v>
      </c>
      <c r="U53">
        <v>1.345047834239516</v>
      </c>
      <c r="V53">
        <v>1.331267262790454</v>
      </c>
      <c r="W53">
        <v>1.302878907096169</v>
      </c>
      <c r="X53">
        <v>1.307585065338646</v>
      </c>
      <c r="Y53">
        <v>1.318062925112522</v>
      </c>
      <c r="Z53">
        <v>1.3319720090211109</v>
      </c>
      <c r="AA53">
        <v>1.3122625256630509</v>
      </c>
      <c r="AB53">
        <v>1.337984173672641</v>
      </c>
    </row>
    <row r="54" spans="1:28" x14ac:dyDescent="0.35">
      <c r="A54" t="s">
        <v>89</v>
      </c>
      <c r="B54">
        <v>0.22252366235088369</v>
      </c>
      <c r="C54">
        <v>0.23132182418112629</v>
      </c>
      <c r="D54">
        <v>0.23138086180618961</v>
      </c>
      <c r="E54">
        <v>0.23416921293955559</v>
      </c>
      <c r="F54">
        <v>0.23236805911577921</v>
      </c>
      <c r="G54">
        <v>0.22969952196290891</v>
      </c>
      <c r="H54">
        <v>0.23014063140332611</v>
      </c>
      <c r="I54">
        <v>0.22919957626925619</v>
      </c>
      <c r="J54">
        <v>0.23488340609878219</v>
      </c>
      <c r="K54">
        <v>0.2350964974260189</v>
      </c>
      <c r="L54">
        <v>0.2349951930800922</v>
      </c>
      <c r="M54">
        <v>0.24648803063572369</v>
      </c>
      <c r="N54">
        <v>0.23754374521709451</v>
      </c>
      <c r="O54">
        <v>0.23653481090813069</v>
      </c>
      <c r="P54">
        <v>0.2342282878679422</v>
      </c>
      <c r="Q54">
        <v>0.23581973416983781</v>
      </c>
      <c r="R54">
        <v>0.23832763563121079</v>
      </c>
      <c r="S54">
        <v>0.23816606891447481</v>
      </c>
      <c r="T54">
        <v>0.23757935433636371</v>
      </c>
      <c r="U54">
        <v>0.23819527772486679</v>
      </c>
      <c r="V54">
        <v>0.23830616731877119</v>
      </c>
      <c r="W54">
        <v>0.23756666631191489</v>
      </c>
      <c r="X54">
        <v>0.23775257691081031</v>
      </c>
      <c r="Y54">
        <v>0.23757435667447191</v>
      </c>
      <c r="Z54">
        <v>0.23728523543368879</v>
      </c>
      <c r="AA54">
        <v>0.23635667658507661</v>
      </c>
      <c r="AB54">
        <v>0.24023448282543189</v>
      </c>
    </row>
    <row r="56" spans="1:28" x14ac:dyDescent="0.35">
      <c r="A56" t="s">
        <v>94</v>
      </c>
      <c r="B56" t="s">
        <v>98</v>
      </c>
      <c r="C56" t="s">
        <v>99</v>
      </c>
      <c r="D56" t="s">
        <v>100</v>
      </c>
      <c r="E56" t="s">
        <v>101</v>
      </c>
      <c r="F56" t="s">
        <v>102</v>
      </c>
      <c r="G56" t="s">
        <v>103</v>
      </c>
      <c r="H56" t="s">
        <v>104</v>
      </c>
      <c r="I56" t="s">
        <v>105</v>
      </c>
      <c r="J56" t="s">
        <v>106</v>
      </c>
      <c r="K56" t="s">
        <v>107</v>
      </c>
      <c r="L56" t="s">
        <v>108</v>
      </c>
      <c r="M56" t="s">
        <v>109</v>
      </c>
      <c r="N56" t="s">
        <v>110</v>
      </c>
      <c r="O56" t="s">
        <v>111</v>
      </c>
      <c r="P56" t="s">
        <v>112</v>
      </c>
      <c r="Q56" t="s">
        <v>113</v>
      </c>
      <c r="R56" t="s">
        <v>114</v>
      </c>
      <c r="S56" t="s">
        <v>115</v>
      </c>
      <c r="T56" t="s">
        <v>116</v>
      </c>
      <c r="U56" t="s">
        <v>117</v>
      </c>
      <c r="V56" t="s">
        <v>118</v>
      </c>
      <c r="W56" t="s">
        <v>119</v>
      </c>
      <c r="X56" t="s">
        <v>120</v>
      </c>
      <c r="Y56" t="s">
        <v>121</v>
      </c>
      <c r="Z56" t="s">
        <v>122</v>
      </c>
      <c r="AA56" t="s">
        <v>123</v>
      </c>
      <c r="AB56" t="s">
        <v>124</v>
      </c>
    </row>
    <row r="57" spans="1:28" x14ac:dyDescent="0.35">
      <c r="A57" t="s">
        <v>81</v>
      </c>
      <c r="B57">
        <v>135.86324289430269</v>
      </c>
      <c r="C57">
        <v>138.37284583722101</v>
      </c>
      <c r="D57">
        <v>138.789644420016</v>
      </c>
      <c r="E57">
        <v>136.9585665063712</v>
      </c>
      <c r="F57">
        <v>135.4627964450253</v>
      </c>
      <c r="G57">
        <v>135.7381869246675</v>
      </c>
      <c r="H57">
        <v>134.50367994627931</v>
      </c>
      <c r="I57">
        <v>133.1929960194291</v>
      </c>
      <c r="J57">
        <v>133.27106309129621</v>
      </c>
      <c r="K57">
        <v>134.6984177446825</v>
      </c>
      <c r="L57">
        <v>136.05970601075171</v>
      </c>
      <c r="M57">
        <v>138.33746958394619</v>
      </c>
      <c r="N57">
        <v>140.10362550790441</v>
      </c>
      <c r="O57">
        <v>140.658173557749</v>
      </c>
      <c r="P57">
        <v>140.4909509444019</v>
      </c>
      <c r="Q57">
        <v>140.56978862069019</v>
      </c>
      <c r="R57">
        <v>139.56385284385021</v>
      </c>
      <c r="S57">
        <v>140.4397962854847</v>
      </c>
      <c r="T57">
        <v>139.8796523785802</v>
      </c>
      <c r="U57">
        <v>139.7890692521284</v>
      </c>
      <c r="V57">
        <v>139.72586108665999</v>
      </c>
      <c r="W57">
        <v>139.86619407297789</v>
      </c>
      <c r="X57">
        <v>139.9085743711621</v>
      </c>
      <c r="Y57">
        <v>140.93445670251879</v>
      </c>
      <c r="Z57">
        <v>142.1674074161912</v>
      </c>
      <c r="AA57">
        <v>142.94689934988679</v>
      </c>
      <c r="AB57">
        <v>143.54181882626401</v>
      </c>
    </row>
    <row r="58" spans="1:28" x14ac:dyDescent="0.35">
      <c r="A58" t="s">
        <v>82</v>
      </c>
      <c r="B58">
        <v>4.4616906258397364</v>
      </c>
      <c r="C58">
        <v>4.5376143759150116</v>
      </c>
      <c r="D58">
        <v>4.3934882986708033</v>
      </c>
      <c r="E58">
        <v>4.0737722204981139</v>
      </c>
      <c r="F58">
        <v>3.8578575172197418</v>
      </c>
      <c r="G58">
        <v>3.607865380511726</v>
      </c>
      <c r="H58">
        <v>3.029000240065955</v>
      </c>
      <c r="I58">
        <v>2.3931106257379038</v>
      </c>
      <c r="J58">
        <v>1.505173818711967</v>
      </c>
      <c r="K58">
        <v>1.401266643210306</v>
      </c>
      <c r="L58">
        <v>1.194553798619125</v>
      </c>
      <c r="M58">
        <v>1.3727649549729219</v>
      </c>
      <c r="N58">
        <v>1.114569243470839</v>
      </c>
      <c r="O58">
        <v>1.298463761777896</v>
      </c>
      <c r="P58">
        <v>1.457770459213009</v>
      </c>
      <c r="Q58">
        <v>1.744068259900587</v>
      </c>
      <c r="R58">
        <v>1.2381887986019251</v>
      </c>
      <c r="S58">
        <v>2.178607969837032</v>
      </c>
      <c r="T58">
        <v>1.858122692845001</v>
      </c>
      <c r="U58">
        <v>1.270639583114729</v>
      </c>
      <c r="V58">
        <v>0.56454643146540207</v>
      </c>
      <c r="W58">
        <v>1.7878236982168401</v>
      </c>
      <c r="X58">
        <v>1.2723136624678659</v>
      </c>
      <c r="Y58">
        <v>1.3368387877592911</v>
      </c>
      <c r="Z58">
        <v>0.33754175735191438</v>
      </c>
      <c r="AA58">
        <v>0.31009057224235897</v>
      </c>
      <c r="AB58">
        <v>0.3189612666179471</v>
      </c>
    </row>
    <row r="59" spans="1:28" x14ac:dyDescent="0.35">
      <c r="A59" t="s">
        <v>83</v>
      </c>
      <c r="B59">
        <v>0.2815383875948656</v>
      </c>
      <c r="C59">
        <v>0.67390637013330068</v>
      </c>
      <c r="D59">
        <v>0.26240730241641669</v>
      </c>
      <c r="E59">
        <v>0.63327348826767826</v>
      </c>
      <c r="F59">
        <v>0.76357150167411247</v>
      </c>
      <c r="G59">
        <v>1.191528292787706</v>
      </c>
      <c r="H59">
        <v>1.959624799004396</v>
      </c>
      <c r="I59">
        <v>1.0005146867243579</v>
      </c>
      <c r="J59">
        <v>0.81426028051579113</v>
      </c>
      <c r="K59">
        <v>9.4713262442361029E-2</v>
      </c>
      <c r="L59">
        <v>-0.34298098822657008</v>
      </c>
      <c r="M59">
        <v>-0.49201442538608242</v>
      </c>
      <c r="N59">
        <v>-0.8774307456814604</v>
      </c>
      <c r="O59">
        <v>-0.25820939253165243</v>
      </c>
      <c r="P59">
        <v>-0.30240079339331272</v>
      </c>
      <c r="Q59">
        <v>0.30543603991352891</v>
      </c>
      <c r="R59">
        <v>-5.8011531144561507E-2</v>
      </c>
      <c r="S59">
        <v>0.27975149697696788</v>
      </c>
      <c r="T59">
        <v>-0.35849527029085759</v>
      </c>
      <c r="U59">
        <v>-0.48914979742229708</v>
      </c>
      <c r="V59">
        <v>-0.54077194150775865</v>
      </c>
      <c r="W59">
        <v>0.1293148115668605</v>
      </c>
      <c r="X59">
        <v>0.64025968117814891</v>
      </c>
      <c r="Y59">
        <v>0.9542693688079279</v>
      </c>
      <c r="Z59">
        <v>0.82064237203291091</v>
      </c>
      <c r="AA59">
        <v>0.9402321393873998</v>
      </c>
      <c r="AB59">
        <v>0.74643148857063291</v>
      </c>
    </row>
    <row r="60" spans="1:28" x14ac:dyDescent="0.35">
      <c r="A60" t="s">
        <v>84</v>
      </c>
      <c r="B60">
        <v>-1.818981305022334</v>
      </c>
      <c r="C60">
        <v>-2.2364771535876988</v>
      </c>
      <c r="D60">
        <v>3.5850945150171128E-2</v>
      </c>
      <c r="E60">
        <v>-2.0464842600927922</v>
      </c>
      <c r="F60">
        <v>0.17483477781244161</v>
      </c>
      <c r="G60">
        <v>2.8753062062223131</v>
      </c>
      <c r="H60">
        <v>1.86217847336779</v>
      </c>
      <c r="I60">
        <v>1.6748723231114071</v>
      </c>
      <c r="J60">
        <v>-0.23470937759468399</v>
      </c>
      <c r="K60">
        <v>0.60209569040022615</v>
      </c>
      <c r="L60">
        <v>-0.61832794181840689</v>
      </c>
      <c r="M60">
        <v>-2.3417558744497402</v>
      </c>
      <c r="N60">
        <v>-2.674911942155537</v>
      </c>
      <c r="O60">
        <v>-1.3965612888811321</v>
      </c>
      <c r="P60">
        <v>-3.6904467872750248</v>
      </c>
      <c r="Q60">
        <v>-4.7725650221436648</v>
      </c>
      <c r="R60">
        <v>-4.0808084344827211</v>
      </c>
      <c r="S60">
        <v>-0.95028807566345952</v>
      </c>
      <c r="T60">
        <v>-1.5537897919556971</v>
      </c>
      <c r="U60">
        <v>-1.482701466032031</v>
      </c>
      <c r="V60">
        <v>-0.72748389559623605</v>
      </c>
      <c r="W60">
        <v>-0.31340187908811168</v>
      </c>
      <c r="X60">
        <v>-0.53154000313664129</v>
      </c>
      <c r="Y60">
        <v>-0.22912653772027461</v>
      </c>
      <c r="Z60">
        <v>0.47648521966372342</v>
      </c>
      <c r="AA60">
        <v>1.077952305359821</v>
      </c>
      <c r="AB60">
        <v>1.314088692130762</v>
      </c>
    </row>
    <row r="61" spans="1:28" x14ac:dyDescent="0.35">
      <c r="A61" t="s">
        <v>85</v>
      </c>
      <c r="B61">
        <v>0.42494416055958367</v>
      </c>
      <c r="C61">
        <v>0.34482050792188612</v>
      </c>
      <c r="D61">
        <v>0.14084175949794581</v>
      </c>
      <c r="E61">
        <v>0.2747550731060725</v>
      </c>
      <c r="F61">
        <v>0.24707588638883071</v>
      </c>
      <c r="G61">
        <v>0.26791359930950281</v>
      </c>
      <c r="H61">
        <v>0.93793386742988616</v>
      </c>
      <c r="I61">
        <v>0.83934748964651829</v>
      </c>
      <c r="J61">
        <v>0.34809811416308889</v>
      </c>
      <c r="K61">
        <v>0.17141378981496269</v>
      </c>
      <c r="L61">
        <v>0.14048118404705071</v>
      </c>
      <c r="M61">
        <v>0.28991933094615169</v>
      </c>
      <c r="N61">
        <v>-0.2461615194535326</v>
      </c>
      <c r="O61">
        <v>-0.1674663813674255</v>
      </c>
      <c r="P61">
        <v>2.1270858727632318E-3</v>
      </c>
      <c r="Q61">
        <v>-3.1319303562200749E-3</v>
      </c>
      <c r="R61">
        <v>-0.1979081231808395</v>
      </c>
      <c r="S61">
        <v>0.33508148593173059</v>
      </c>
      <c r="T61">
        <v>0.21189420015197499</v>
      </c>
      <c r="U61">
        <v>0.2513900306059913</v>
      </c>
      <c r="V61">
        <v>-8.7742305636087425E-2</v>
      </c>
      <c r="W61">
        <v>-5.4187095341850212E-2</v>
      </c>
      <c r="X61">
        <v>3.2567675111481259E-2</v>
      </c>
      <c r="Y61">
        <v>0.69604790949038731</v>
      </c>
      <c r="Z61">
        <v>0.47670557087414961</v>
      </c>
      <c r="AA61">
        <v>0.69858391764290872</v>
      </c>
      <c r="AB61">
        <v>0.94607863642555001</v>
      </c>
    </row>
    <row r="62" spans="1:28" x14ac:dyDescent="0.35">
      <c r="A62" t="s">
        <v>86</v>
      </c>
      <c r="B62">
        <v>139.21243476327459</v>
      </c>
      <c r="C62">
        <v>141.6927099376035</v>
      </c>
      <c r="D62">
        <v>143.6222327257513</v>
      </c>
      <c r="E62">
        <v>139.89388302815021</v>
      </c>
      <c r="F62">
        <v>140.5061361281204</v>
      </c>
      <c r="G62">
        <v>143.68080040349881</v>
      </c>
      <c r="H62">
        <v>142.2924173261473</v>
      </c>
      <c r="I62">
        <v>139.10084114464931</v>
      </c>
      <c r="J62">
        <v>135.70388592709239</v>
      </c>
      <c r="K62">
        <v>136.96790713055029</v>
      </c>
      <c r="L62">
        <v>136.43343206337289</v>
      </c>
      <c r="M62">
        <v>137.1663835700295</v>
      </c>
      <c r="N62">
        <v>137.41969054408469</v>
      </c>
      <c r="O62">
        <v>140.13440025674669</v>
      </c>
      <c r="P62">
        <v>137.95800090881929</v>
      </c>
      <c r="Q62">
        <v>137.84359596800451</v>
      </c>
      <c r="R62">
        <v>136.46531355364399</v>
      </c>
      <c r="S62">
        <v>142.28294916256701</v>
      </c>
      <c r="T62">
        <v>140.03738420933061</v>
      </c>
      <c r="U62">
        <v>139.33924760239481</v>
      </c>
      <c r="V62">
        <v>138.9344093753854</v>
      </c>
      <c r="W62">
        <v>141.41574360833161</v>
      </c>
      <c r="X62">
        <v>141.32217538678299</v>
      </c>
      <c r="Y62">
        <v>143.6924862308561</v>
      </c>
      <c r="Z62">
        <v>144.27878233611389</v>
      </c>
      <c r="AA62">
        <v>145.97375828451931</v>
      </c>
      <c r="AB62">
        <v>146.86737891000891</v>
      </c>
    </row>
    <row r="63" spans="1:28" x14ac:dyDescent="0.35">
      <c r="A63" t="s">
        <v>87</v>
      </c>
      <c r="B63">
        <v>240815890.52000001</v>
      </c>
      <c r="C63">
        <v>210506743.31999999</v>
      </c>
      <c r="D63">
        <v>273319699.92000002</v>
      </c>
      <c r="E63">
        <v>231150995.94999999</v>
      </c>
      <c r="F63">
        <v>368402462.64999998</v>
      </c>
      <c r="G63">
        <v>372970745.82000011</v>
      </c>
      <c r="H63">
        <v>340230660.94999999</v>
      </c>
      <c r="I63">
        <v>287445547.94</v>
      </c>
      <c r="J63">
        <v>221503471.30000001</v>
      </c>
      <c r="K63">
        <v>355505092.49000001</v>
      </c>
      <c r="L63">
        <v>294016808.01999998</v>
      </c>
      <c r="M63">
        <v>222708125.90000001</v>
      </c>
      <c r="N63">
        <v>259853729.15000001</v>
      </c>
      <c r="O63">
        <v>257723024.05000001</v>
      </c>
      <c r="P63">
        <v>146137222.72999999</v>
      </c>
      <c r="Q63">
        <v>124920351.16</v>
      </c>
      <c r="R63">
        <v>389748768.83999997</v>
      </c>
      <c r="S63">
        <v>325640028.30000001</v>
      </c>
      <c r="T63">
        <v>300359129.88999999</v>
      </c>
      <c r="U63">
        <v>287647686.19</v>
      </c>
      <c r="V63">
        <v>440786430.79000002</v>
      </c>
      <c r="W63">
        <v>384948759.32999998</v>
      </c>
      <c r="X63">
        <v>378587880.93999988</v>
      </c>
      <c r="Y63">
        <v>341169741.92999989</v>
      </c>
      <c r="Z63">
        <v>559646274.66000009</v>
      </c>
      <c r="AA63">
        <v>484195070.24999988</v>
      </c>
      <c r="AB63">
        <v>226805813.58000001</v>
      </c>
    </row>
    <row r="64" spans="1:28" x14ac:dyDescent="0.35">
      <c r="A64" t="s">
        <v>88</v>
      </c>
      <c r="B64">
        <v>1.708849243377873</v>
      </c>
      <c r="C64">
        <v>1.738678505322472</v>
      </c>
      <c r="D64">
        <v>1.587823456965795</v>
      </c>
      <c r="E64">
        <v>1.7249757799251639</v>
      </c>
      <c r="F64">
        <v>1.579441654998085</v>
      </c>
      <c r="G64">
        <v>1.4325122162994259</v>
      </c>
      <c r="H64">
        <v>1.48431534944545</v>
      </c>
      <c r="I64">
        <v>1.4943057984882719</v>
      </c>
      <c r="J64">
        <v>1.604398161234964</v>
      </c>
      <c r="K64">
        <v>1.5542198299985379</v>
      </c>
      <c r="L64">
        <v>1.628500938940342</v>
      </c>
      <c r="M64">
        <v>1.7463656023762339</v>
      </c>
      <c r="N64">
        <v>1.771145785821471</v>
      </c>
      <c r="O64">
        <v>1.679692083014457</v>
      </c>
      <c r="P64">
        <v>1.8512164924824099</v>
      </c>
      <c r="Q64">
        <v>1.94490756323095</v>
      </c>
      <c r="R64">
        <v>1.883955254067071</v>
      </c>
      <c r="S64">
        <v>1.6499501878114919</v>
      </c>
      <c r="T64">
        <v>1.6904276467039649</v>
      </c>
      <c r="U64">
        <v>1.6855567875273889</v>
      </c>
      <c r="V64">
        <v>1.635492130657531</v>
      </c>
      <c r="W64">
        <v>1.609284071993951</v>
      </c>
      <c r="X64">
        <v>1.622984876537503</v>
      </c>
      <c r="Y64">
        <v>1.6040526570921381</v>
      </c>
      <c r="Z64">
        <v>1.5615508046580699</v>
      </c>
      <c r="AA64">
        <v>1.527060926472056</v>
      </c>
      <c r="AB64">
        <v>1.513933086626134</v>
      </c>
    </row>
    <row r="65" spans="1:28" x14ac:dyDescent="0.35">
      <c r="A65" t="s">
        <v>89</v>
      </c>
      <c r="B65">
        <v>0.24605408993766101</v>
      </c>
      <c r="C65">
        <v>0.24679809528358251</v>
      </c>
      <c r="D65">
        <v>0.24869218366180479</v>
      </c>
      <c r="E65">
        <v>0.2474487028925865</v>
      </c>
      <c r="F65">
        <v>0.24770572391210369</v>
      </c>
      <c r="G65">
        <v>0.24751223086355459</v>
      </c>
      <c r="H65">
        <v>0.24129061408815111</v>
      </c>
      <c r="I65">
        <v>0.2422060590247109</v>
      </c>
      <c r="J65">
        <v>0.2467676603684856</v>
      </c>
      <c r="K65">
        <v>0.2484083005231468</v>
      </c>
      <c r="L65">
        <v>0.24869553186242019</v>
      </c>
      <c r="M65">
        <v>0.24730789192692859</v>
      </c>
      <c r="N65">
        <v>0.2522857855377828</v>
      </c>
      <c r="O65">
        <v>0.25155504496984038</v>
      </c>
      <c r="P65">
        <v>0.24998024848832431</v>
      </c>
      <c r="Q65">
        <v>0.25002908221045061</v>
      </c>
      <c r="R65">
        <v>0.25183771828667922</v>
      </c>
      <c r="S65">
        <v>0.24688852905920541</v>
      </c>
      <c r="T65">
        <v>0.2480324109985888</v>
      </c>
      <c r="U65">
        <v>0.2476656640015158</v>
      </c>
      <c r="V65">
        <v>0.25081474998090653</v>
      </c>
      <c r="W65">
        <v>0.25050316588531718</v>
      </c>
      <c r="X65">
        <v>0.24969758587396479</v>
      </c>
      <c r="Y65">
        <v>0.24353669798330349</v>
      </c>
      <c r="Z65">
        <v>0.2455734482704543</v>
      </c>
      <c r="AA65">
        <v>0.24351314933617299</v>
      </c>
      <c r="AB65">
        <v>0.24121498409033421</v>
      </c>
    </row>
    <row r="67" spans="1:28" x14ac:dyDescent="0.35">
      <c r="A67" t="s">
        <v>95</v>
      </c>
      <c r="B67" t="s">
        <v>98</v>
      </c>
      <c r="C67" t="s">
        <v>99</v>
      </c>
      <c r="D67" t="s">
        <v>100</v>
      </c>
      <c r="E67" t="s">
        <v>101</v>
      </c>
      <c r="F67" t="s">
        <v>102</v>
      </c>
      <c r="G67" t="s">
        <v>103</v>
      </c>
      <c r="H67" t="s">
        <v>104</v>
      </c>
      <c r="I67" t="s">
        <v>105</v>
      </c>
      <c r="J67" t="s">
        <v>106</v>
      </c>
      <c r="K67" t="s">
        <v>107</v>
      </c>
      <c r="L67" t="s">
        <v>108</v>
      </c>
      <c r="M67" t="s">
        <v>109</v>
      </c>
      <c r="N67" t="s">
        <v>110</v>
      </c>
      <c r="O67" t="s">
        <v>111</v>
      </c>
      <c r="P67" t="s">
        <v>112</v>
      </c>
      <c r="Q67" t="s">
        <v>113</v>
      </c>
      <c r="R67" t="s">
        <v>114</v>
      </c>
      <c r="S67" t="s">
        <v>115</v>
      </c>
      <c r="T67" t="s">
        <v>116</v>
      </c>
      <c r="U67" t="s">
        <v>117</v>
      </c>
      <c r="V67" t="s">
        <v>118</v>
      </c>
      <c r="W67" t="s">
        <v>119</v>
      </c>
      <c r="X67" t="s">
        <v>120</v>
      </c>
      <c r="Y67" t="s">
        <v>121</v>
      </c>
      <c r="Z67" t="s">
        <v>122</v>
      </c>
      <c r="AA67" t="s">
        <v>123</v>
      </c>
      <c r="AB67" t="s">
        <v>124</v>
      </c>
    </row>
    <row r="68" spans="1:28" x14ac:dyDescent="0.35">
      <c r="A68" t="s">
        <v>81</v>
      </c>
      <c r="B68">
        <v>130.89335974503891</v>
      </c>
      <c r="C68">
        <v>133.5435435889039</v>
      </c>
      <c r="D68">
        <v>135.3420291296394</v>
      </c>
      <c r="E68">
        <v>135.03307937049061</v>
      </c>
      <c r="F68">
        <v>135.31470597860661</v>
      </c>
      <c r="G68">
        <v>135.37358391594819</v>
      </c>
      <c r="H68">
        <v>135.11773985298481</v>
      </c>
      <c r="I68">
        <v>133.56042700118249</v>
      </c>
      <c r="J68">
        <v>134.1395659635005</v>
      </c>
      <c r="K68">
        <v>136.44778292495391</v>
      </c>
      <c r="L68">
        <v>137.23643893748829</v>
      </c>
      <c r="M68">
        <v>138.55066899684559</v>
      </c>
      <c r="N68">
        <v>139.34977448802911</v>
      </c>
      <c r="O68">
        <v>138.7239249962069</v>
      </c>
      <c r="P68">
        <v>138.7879624463761</v>
      </c>
      <c r="Q68">
        <v>138.23673233093649</v>
      </c>
      <c r="R68">
        <v>137.47412660074289</v>
      </c>
      <c r="S68">
        <v>138.71148397447581</v>
      </c>
      <c r="T68">
        <v>140.0217943536949</v>
      </c>
      <c r="U68">
        <v>138.53841778402219</v>
      </c>
      <c r="V68">
        <v>138.06943690360069</v>
      </c>
      <c r="W68">
        <v>139.1396665836117</v>
      </c>
      <c r="X68">
        <v>139.5149776706071</v>
      </c>
      <c r="Y68">
        <v>140.42958917618921</v>
      </c>
      <c r="Z68">
        <v>141.63203087352659</v>
      </c>
      <c r="AA68">
        <v>142.01910265149621</v>
      </c>
      <c r="AB68">
        <v>142.24793136754499</v>
      </c>
    </row>
    <row r="69" spans="1:28" x14ac:dyDescent="0.35">
      <c r="A69" t="s">
        <v>82</v>
      </c>
      <c r="B69">
        <v>0.46511527764353028</v>
      </c>
      <c r="C69">
        <v>0.64957863611302369</v>
      </c>
      <c r="D69">
        <v>0.52023728152472348</v>
      </c>
      <c r="E69">
        <v>0.59722861933001126</v>
      </c>
      <c r="F69">
        <v>1.2602782462201589</v>
      </c>
      <c r="G69">
        <v>1.148106922897681</v>
      </c>
      <c r="H69">
        <v>0.75702641809117877</v>
      </c>
      <c r="I69">
        <v>0.22170183998070819</v>
      </c>
      <c r="J69">
        <v>2.5410983078101131E-2</v>
      </c>
      <c r="K69">
        <v>0.65179628414232793</v>
      </c>
      <c r="L69">
        <v>0.55379973382834602</v>
      </c>
      <c r="M69">
        <v>0.69453142781801325</v>
      </c>
      <c r="N69">
        <v>0.81049000210007827</v>
      </c>
      <c r="O69">
        <v>1.060228765904444</v>
      </c>
      <c r="P69">
        <v>1.3529174886576409</v>
      </c>
      <c r="Q69">
        <v>1.0147763695747629</v>
      </c>
      <c r="R69">
        <v>0.33660466763260982</v>
      </c>
      <c r="S69">
        <v>1.1190473213488701</v>
      </c>
      <c r="T69">
        <v>1.4026570644695091</v>
      </c>
      <c r="U69">
        <v>1.168174814362789</v>
      </c>
      <c r="V69">
        <v>1.2022588905416569</v>
      </c>
      <c r="W69">
        <v>1.763963035196396</v>
      </c>
      <c r="X69">
        <v>2.181172286628239</v>
      </c>
      <c r="Y69">
        <v>2.6069639333255519</v>
      </c>
      <c r="Z69">
        <v>2.7266291432901459</v>
      </c>
      <c r="AA69">
        <v>3.003736943144768</v>
      </c>
      <c r="AB69">
        <v>3.0496060167213841</v>
      </c>
    </row>
    <row r="70" spans="1:28" x14ac:dyDescent="0.35">
      <c r="A70" t="s">
        <v>83</v>
      </c>
      <c r="B70">
        <v>-0.74468700563629808</v>
      </c>
      <c r="C70">
        <v>-0.74648144819683848</v>
      </c>
      <c r="D70">
        <v>-0.36608734055820108</v>
      </c>
      <c r="E70">
        <v>0.36289104982916093</v>
      </c>
      <c r="F70">
        <v>0.17469398819879861</v>
      </c>
      <c r="G70">
        <v>7.2378443032896603E-2</v>
      </c>
      <c r="H70">
        <v>-0.14584281325156381</v>
      </c>
      <c r="I70">
        <v>-0.67063888208575995</v>
      </c>
      <c r="J70">
        <v>-1.261259044875092</v>
      </c>
      <c r="K70">
        <v>-1.4118794616211221</v>
      </c>
      <c r="L70">
        <v>-1.5696072216281001</v>
      </c>
      <c r="M70">
        <v>-1.25308954923984</v>
      </c>
      <c r="N70">
        <v>-1.358455202145862</v>
      </c>
      <c r="O70">
        <v>-1.123804765569286</v>
      </c>
      <c r="P70">
        <v>-1.072763094521521</v>
      </c>
      <c r="Q70">
        <v>-0.90629167071036865</v>
      </c>
      <c r="R70">
        <v>-1.0328731448219119</v>
      </c>
      <c r="S70">
        <v>-0.35767775387776318</v>
      </c>
      <c r="T70">
        <v>0.33071946486870962</v>
      </c>
      <c r="U70">
        <v>1.6863687292228251</v>
      </c>
      <c r="V70">
        <v>1.6426375149594239</v>
      </c>
      <c r="W70">
        <v>1.971555323724802</v>
      </c>
      <c r="X70">
        <v>2.5811030609753511</v>
      </c>
      <c r="Y70">
        <v>3.5733610413845711</v>
      </c>
      <c r="Z70">
        <v>2.5274569092011081</v>
      </c>
      <c r="AA70">
        <v>2.9405335893718418</v>
      </c>
      <c r="AB70">
        <v>2.9330662223381818</v>
      </c>
    </row>
    <row r="71" spans="1:28" x14ac:dyDescent="0.35">
      <c r="A71" t="s">
        <v>84</v>
      </c>
      <c r="B71">
        <v>-0.34486150258697229</v>
      </c>
      <c r="C71">
        <v>-0.42354375785153148</v>
      </c>
      <c r="D71">
        <v>1.543563619044608</v>
      </c>
      <c r="E71">
        <v>1.0928802486580951</v>
      </c>
      <c r="F71">
        <v>2.242317140755238</v>
      </c>
      <c r="G71">
        <v>4.3404770377483244</v>
      </c>
      <c r="H71">
        <v>3.4747837290406491</v>
      </c>
      <c r="I71">
        <v>3.024619881192923</v>
      </c>
      <c r="J71">
        <v>3.1787874711920558</v>
      </c>
      <c r="K71">
        <v>3.1862040191558072</v>
      </c>
      <c r="L71">
        <v>2.9285635251286801</v>
      </c>
      <c r="M71">
        <v>2.8752317109053891</v>
      </c>
      <c r="N71">
        <v>2.5994128268753718</v>
      </c>
      <c r="O71">
        <v>3.669051678854923</v>
      </c>
      <c r="P71">
        <v>4.3477718299024977</v>
      </c>
      <c r="Q71">
        <v>4.7655430158670979</v>
      </c>
      <c r="R71">
        <v>4.0456132061551751</v>
      </c>
      <c r="S71">
        <v>4.3332525064555352</v>
      </c>
      <c r="T71">
        <v>4.7041287088996846</v>
      </c>
      <c r="U71">
        <v>4.6775815576707416</v>
      </c>
      <c r="V71">
        <v>4.4054622051148886</v>
      </c>
      <c r="W71">
        <v>5.1684295409254357</v>
      </c>
      <c r="X71">
        <v>5.0159320828685088</v>
      </c>
      <c r="Y71">
        <v>4.9331289097595441</v>
      </c>
      <c r="Z71">
        <v>4.1313107095261161</v>
      </c>
      <c r="AA71">
        <v>4.2984259703490917</v>
      </c>
      <c r="AB71">
        <v>4.1358483383205096</v>
      </c>
    </row>
    <row r="72" spans="1:28" x14ac:dyDescent="0.35">
      <c r="A72" t="s">
        <v>85</v>
      </c>
      <c r="B72">
        <v>0.25381993906396572</v>
      </c>
      <c r="C72">
        <v>-0.12878105843220189</v>
      </c>
      <c r="D72">
        <v>-0.29200745325247468</v>
      </c>
      <c r="E72">
        <v>-0.1288940434326917</v>
      </c>
      <c r="F72">
        <v>-0.27866842671151609</v>
      </c>
      <c r="G72">
        <v>-0.14285490193317871</v>
      </c>
      <c r="H72">
        <v>-0.1152638921223008</v>
      </c>
      <c r="I72">
        <v>-0.14569329633448819</v>
      </c>
      <c r="J72">
        <v>-0.4037296902444607</v>
      </c>
      <c r="K72">
        <v>-0.26926705237895437</v>
      </c>
      <c r="L72">
        <v>-0.27589984096855102</v>
      </c>
      <c r="M72">
        <v>-0.23044931800639201</v>
      </c>
      <c r="N72">
        <v>-0.50049056612567977</v>
      </c>
      <c r="O72">
        <v>-0.60165068538154054</v>
      </c>
      <c r="P72">
        <v>-0.26276535249434141</v>
      </c>
      <c r="Q72">
        <v>-5.3678231804092293E-2</v>
      </c>
      <c r="R72">
        <v>-0.12554453280164879</v>
      </c>
      <c r="S72">
        <v>5.795631755281621E-2</v>
      </c>
      <c r="T72">
        <v>-4.2878760816386349E-2</v>
      </c>
      <c r="U72">
        <v>-0.24579893018473989</v>
      </c>
      <c r="V72">
        <v>-0.28509752962853419</v>
      </c>
      <c r="W72">
        <v>-8.4307736642008024E-2</v>
      </c>
      <c r="X72">
        <v>-0.1054212073125006</v>
      </c>
      <c r="Y72">
        <v>-0.1131914149792048</v>
      </c>
      <c r="Z72">
        <v>4.2276375683475337E-2</v>
      </c>
      <c r="AA72">
        <v>0.3002096746027505</v>
      </c>
      <c r="AB72">
        <v>0.4160115621574243</v>
      </c>
    </row>
    <row r="73" spans="1:28" x14ac:dyDescent="0.35">
      <c r="A73" t="s">
        <v>86</v>
      </c>
      <c r="B73">
        <v>130.5227464535231</v>
      </c>
      <c r="C73">
        <v>132.8943159605364</v>
      </c>
      <c r="D73">
        <v>136.74773523639811</v>
      </c>
      <c r="E73">
        <v>136.95718524487521</v>
      </c>
      <c r="F73">
        <v>138.71332692706929</v>
      </c>
      <c r="G73">
        <v>140.79169141769401</v>
      </c>
      <c r="H73">
        <v>139.08844329474269</v>
      </c>
      <c r="I73">
        <v>135.99041654393591</v>
      </c>
      <c r="J73">
        <v>135.67877568265109</v>
      </c>
      <c r="K73">
        <v>138.60463671425191</v>
      </c>
      <c r="L73">
        <v>138.8732951338487</v>
      </c>
      <c r="M73">
        <v>140.63689326832281</v>
      </c>
      <c r="N73">
        <v>140.90073154873301</v>
      </c>
      <c r="O73">
        <v>141.72774999001541</v>
      </c>
      <c r="P73">
        <v>143.1531233179204</v>
      </c>
      <c r="Q73">
        <v>143.0570818138639</v>
      </c>
      <c r="R73">
        <v>140.69792679690721</v>
      </c>
      <c r="S73">
        <v>143.86406236595519</v>
      </c>
      <c r="T73">
        <v>146.41642083111651</v>
      </c>
      <c r="U73">
        <v>145.82474395509379</v>
      </c>
      <c r="V73">
        <v>145.03469798458821</v>
      </c>
      <c r="W73">
        <v>147.95930674681631</v>
      </c>
      <c r="X73">
        <v>149.18776389376669</v>
      </c>
      <c r="Y73">
        <v>151.42985164567969</v>
      </c>
      <c r="Z73">
        <v>151.0597040112275</v>
      </c>
      <c r="AA73">
        <v>152.56200882896471</v>
      </c>
      <c r="AB73">
        <v>152.7824635070825</v>
      </c>
    </row>
    <row r="74" spans="1:28" x14ac:dyDescent="0.35">
      <c r="A74" t="s">
        <v>87</v>
      </c>
      <c r="B74">
        <v>159105996.12</v>
      </c>
      <c r="C74">
        <v>138037012.52000001</v>
      </c>
      <c r="D74">
        <v>142954167.16</v>
      </c>
      <c r="E74">
        <v>109271820.18000001</v>
      </c>
      <c r="F74">
        <v>157649643.16</v>
      </c>
      <c r="G74">
        <v>225427884.63999999</v>
      </c>
      <c r="H74">
        <v>181880723.52000001</v>
      </c>
      <c r="I74">
        <v>161828175.96000001</v>
      </c>
      <c r="J74">
        <v>156254215.34999999</v>
      </c>
      <c r="K74">
        <v>155589235.65000001</v>
      </c>
      <c r="L74">
        <v>131958621.39</v>
      </c>
      <c r="M74">
        <v>76688259.329999998</v>
      </c>
      <c r="N74">
        <v>54087318.640000001</v>
      </c>
      <c r="O74">
        <v>66562616.110000007</v>
      </c>
      <c r="P74">
        <v>107764448.12</v>
      </c>
      <c r="Q74">
        <v>158867600.31</v>
      </c>
      <c r="R74">
        <v>270146021.88</v>
      </c>
      <c r="S74">
        <v>316298970.44</v>
      </c>
      <c r="T74">
        <v>227496750.91999999</v>
      </c>
      <c r="U74">
        <v>241042846.84</v>
      </c>
      <c r="V74">
        <v>381830878.49000001</v>
      </c>
      <c r="W74">
        <v>390913357.38999999</v>
      </c>
      <c r="X74">
        <v>334244887.73000002</v>
      </c>
      <c r="Y74">
        <v>269147011.60000002</v>
      </c>
      <c r="Z74">
        <v>373482457.74000001</v>
      </c>
      <c r="AA74">
        <v>409703702.49000001</v>
      </c>
      <c r="AB74">
        <v>175382593.41</v>
      </c>
    </row>
    <row r="75" spans="1:28" x14ac:dyDescent="0.35">
      <c r="A75" t="s">
        <v>88</v>
      </c>
      <c r="B75">
        <v>1.8954139532448411</v>
      </c>
      <c r="C75">
        <v>1.9269883728905819</v>
      </c>
      <c r="D75">
        <v>1.7303270183285411</v>
      </c>
      <c r="E75">
        <v>1.798455040074685</v>
      </c>
      <c r="F75">
        <v>1.6715103153048521</v>
      </c>
      <c r="G75">
        <v>1.4905670836502509</v>
      </c>
      <c r="H75">
        <v>1.5513973287864129</v>
      </c>
      <c r="I75">
        <v>1.597805151992485</v>
      </c>
      <c r="J75">
        <v>1.5825030304793799</v>
      </c>
      <c r="K75">
        <v>1.5879793241064339</v>
      </c>
      <c r="L75">
        <v>1.6065817133413709</v>
      </c>
      <c r="M75">
        <v>1.615851167779218</v>
      </c>
      <c r="N75">
        <v>1.642711076273591</v>
      </c>
      <c r="O75">
        <v>1.5426953896402611</v>
      </c>
      <c r="P75">
        <v>1.493622806152864</v>
      </c>
      <c r="Q75">
        <v>1.484732232878494</v>
      </c>
      <c r="R75">
        <v>1.5298972963700099</v>
      </c>
      <c r="S75">
        <v>1.503275312490914</v>
      </c>
      <c r="T75">
        <v>1.4820647029774161</v>
      </c>
      <c r="U75">
        <v>1.487144000074859</v>
      </c>
      <c r="V75">
        <v>1.4951790307648301</v>
      </c>
      <c r="W75">
        <v>1.4499529254436401</v>
      </c>
      <c r="X75">
        <v>1.4504506175210199</v>
      </c>
      <c r="Y75">
        <v>1.44316999226265</v>
      </c>
      <c r="Z75">
        <v>1.496036461340744</v>
      </c>
      <c r="AA75">
        <v>1.498054494085086</v>
      </c>
      <c r="AB75">
        <v>1.51787259821181</v>
      </c>
    </row>
    <row r="76" spans="1:28" x14ac:dyDescent="0.35">
      <c r="A76" t="s">
        <v>89</v>
      </c>
      <c r="B76">
        <v>0.2436154953898729</v>
      </c>
      <c r="C76">
        <v>0.24965496094194589</v>
      </c>
      <c r="D76">
        <v>0.25222907093179969</v>
      </c>
      <c r="E76">
        <v>0.25062366885270831</v>
      </c>
      <c r="F76">
        <v>0.252553965130761</v>
      </c>
      <c r="G76">
        <v>0.25001936880176873</v>
      </c>
      <c r="H76">
        <v>0.24955177888161911</v>
      </c>
      <c r="I76">
        <v>0.2503652988224227</v>
      </c>
      <c r="J76">
        <v>0.25395651114131201</v>
      </c>
      <c r="K76">
        <v>0.25218704104412759</v>
      </c>
      <c r="L76">
        <v>0.25218928696363968</v>
      </c>
      <c r="M76">
        <v>0.25151511879966187</v>
      </c>
      <c r="N76">
        <v>0.25545678476709771</v>
      </c>
      <c r="O76">
        <v>0.25660353489659432</v>
      </c>
      <c r="P76">
        <v>0.25174993981654331</v>
      </c>
      <c r="Q76">
        <v>0.2494397726015479</v>
      </c>
      <c r="R76">
        <v>0.25030023343876012</v>
      </c>
      <c r="S76">
        <v>0.24751885873739601</v>
      </c>
      <c r="T76">
        <v>0.24919189982323109</v>
      </c>
      <c r="U76">
        <v>0.25220041189527009</v>
      </c>
      <c r="V76">
        <v>0.25236628347003509</v>
      </c>
      <c r="W76">
        <v>0.24967094000679621</v>
      </c>
      <c r="X76">
        <v>0.24959272293235621</v>
      </c>
      <c r="Y76">
        <v>0.24922169237468819</v>
      </c>
      <c r="Z76">
        <v>0.24696136788382761</v>
      </c>
      <c r="AA76">
        <v>0.2437740212934241</v>
      </c>
      <c r="AB76">
        <v>0.24242482252864439</v>
      </c>
    </row>
    <row r="78" spans="1:28" x14ac:dyDescent="0.35">
      <c r="A78" t="s">
        <v>96</v>
      </c>
      <c r="B78" t="s">
        <v>98</v>
      </c>
      <c r="C78" t="s">
        <v>99</v>
      </c>
      <c r="D78" t="s">
        <v>100</v>
      </c>
      <c r="E78" t="s">
        <v>101</v>
      </c>
      <c r="F78" t="s">
        <v>102</v>
      </c>
      <c r="G78" t="s">
        <v>103</v>
      </c>
      <c r="H78" t="s">
        <v>104</v>
      </c>
      <c r="I78" t="s">
        <v>105</v>
      </c>
      <c r="J78" t="s">
        <v>106</v>
      </c>
      <c r="K78" t="s">
        <v>107</v>
      </c>
      <c r="L78" t="s">
        <v>108</v>
      </c>
      <c r="M78" t="s">
        <v>109</v>
      </c>
      <c r="N78" t="s">
        <v>110</v>
      </c>
      <c r="O78" t="s">
        <v>111</v>
      </c>
      <c r="P78" t="s">
        <v>112</v>
      </c>
      <c r="Q78" t="s">
        <v>113</v>
      </c>
      <c r="R78" t="s">
        <v>114</v>
      </c>
      <c r="S78" t="s">
        <v>115</v>
      </c>
      <c r="T78" t="s">
        <v>116</v>
      </c>
      <c r="U78" t="s">
        <v>117</v>
      </c>
      <c r="V78" t="s">
        <v>118</v>
      </c>
      <c r="W78" t="s">
        <v>119</v>
      </c>
      <c r="X78" t="s">
        <v>120</v>
      </c>
      <c r="Y78" t="s">
        <v>121</v>
      </c>
      <c r="Z78" t="s">
        <v>122</v>
      </c>
      <c r="AA78" t="s">
        <v>123</v>
      </c>
      <c r="AB78" t="s">
        <v>124</v>
      </c>
    </row>
    <row r="79" spans="1:28" x14ac:dyDescent="0.35">
      <c r="A79" t="s">
        <v>81</v>
      </c>
      <c r="B79">
        <v>131.21226478225981</v>
      </c>
      <c r="C79">
        <v>133.45733639912581</v>
      </c>
      <c r="D79">
        <v>135.58891449296229</v>
      </c>
      <c r="E79">
        <v>135.13492361059639</v>
      </c>
      <c r="F79">
        <v>134.78308537076381</v>
      </c>
      <c r="G79">
        <v>134.10471168784471</v>
      </c>
      <c r="H79">
        <v>133.73699942073659</v>
      </c>
      <c r="I79">
        <v>132.28918682298621</v>
      </c>
      <c r="J79">
        <v>132.5715959760571</v>
      </c>
      <c r="K79">
        <v>134.92021358586561</v>
      </c>
      <c r="L79">
        <v>135.56014069117771</v>
      </c>
      <c r="M79">
        <v>135.21107949945289</v>
      </c>
      <c r="N79">
        <v>135.65151146383519</v>
      </c>
      <c r="O79">
        <v>136.20417398560721</v>
      </c>
      <c r="P79">
        <v>136.74075648017779</v>
      </c>
      <c r="Q79">
        <v>137.28000852918379</v>
      </c>
      <c r="R79">
        <v>137.08222138090099</v>
      </c>
      <c r="S79">
        <v>138.25068676495141</v>
      </c>
      <c r="T79">
        <v>139.14619257535159</v>
      </c>
      <c r="U79">
        <v>137.54590140128821</v>
      </c>
      <c r="V79">
        <v>137.07260005687689</v>
      </c>
      <c r="W79">
        <v>138.45406247709849</v>
      </c>
      <c r="X79">
        <v>138.89574398351391</v>
      </c>
      <c r="Y79">
        <v>139.6057335276985</v>
      </c>
      <c r="Z79">
        <v>141.264883179789</v>
      </c>
      <c r="AA79">
        <v>142.0023003354755</v>
      </c>
      <c r="AB79">
        <v>142.54834640263181</v>
      </c>
    </row>
    <row r="80" spans="1:28" x14ac:dyDescent="0.35">
      <c r="A80" t="s">
        <v>82</v>
      </c>
      <c r="B80">
        <v>0.48084917801398203</v>
      </c>
      <c r="C80">
        <v>0.64108934544574259</v>
      </c>
      <c r="D80">
        <v>0.47059566009900372</v>
      </c>
      <c r="E80">
        <v>0.12912766965119199</v>
      </c>
      <c r="F80">
        <v>0.66053816739900406</v>
      </c>
      <c r="G80">
        <v>0.51711222753278308</v>
      </c>
      <c r="H80">
        <v>0.1039016793188848</v>
      </c>
      <c r="I80">
        <v>-0.2362425746581007</v>
      </c>
      <c r="J80">
        <v>-0.30233041253189252</v>
      </c>
      <c r="K80">
        <v>0.1577208018846066</v>
      </c>
      <c r="L80">
        <v>-0.11540989060062309</v>
      </c>
      <c r="M80">
        <v>-0.30992766490719093</v>
      </c>
      <c r="N80">
        <v>-0.67889618114742045</v>
      </c>
      <c r="O80">
        <v>7.05776145483314E-3</v>
      </c>
      <c r="P80">
        <v>0.4716337735053599</v>
      </c>
      <c r="Q80">
        <v>0.79384979858055249</v>
      </c>
      <c r="R80">
        <v>2.467599148490654E-2</v>
      </c>
      <c r="S80">
        <v>0.73789826702409544</v>
      </c>
      <c r="T80">
        <v>0.86182839387379051</v>
      </c>
      <c r="U80">
        <v>0.72364905400136037</v>
      </c>
      <c r="V80">
        <v>0.54385372957235734</v>
      </c>
      <c r="W80">
        <v>1.3628854304507081</v>
      </c>
      <c r="X80">
        <v>1.6634828544725839</v>
      </c>
      <c r="Y80">
        <v>2.2030660695463391</v>
      </c>
      <c r="Z80">
        <v>2.3756396528142258</v>
      </c>
      <c r="AA80">
        <v>2.6827230091745342</v>
      </c>
      <c r="AB80">
        <v>2.7622327700302298</v>
      </c>
    </row>
    <row r="81" spans="1:28" x14ac:dyDescent="0.35">
      <c r="A81" t="s">
        <v>83</v>
      </c>
      <c r="B81">
        <v>-0.79795192368504697</v>
      </c>
      <c r="C81">
        <v>-0.74326540509202477</v>
      </c>
      <c r="D81">
        <v>-0.36212642917435123</v>
      </c>
      <c r="E81">
        <v>8.7813345993490902E-2</v>
      </c>
      <c r="F81">
        <v>-6.4958511686906847E-2</v>
      </c>
      <c r="G81">
        <v>5.3197916952267207E-2</v>
      </c>
      <c r="H81">
        <v>-0.31881870311657068</v>
      </c>
      <c r="I81">
        <v>-0.65339805557453678</v>
      </c>
      <c r="J81">
        <v>-1.3701741481690879</v>
      </c>
      <c r="K81">
        <v>-1.5651521276136331</v>
      </c>
      <c r="L81">
        <v>-1.88763007971951</v>
      </c>
      <c r="M81">
        <v>-1.9544422331132869</v>
      </c>
      <c r="N81">
        <v>-2.0126661187763282</v>
      </c>
      <c r="O81">
        <v>-1.550100862043212</v>
      </c>
      <c r="P81">
        <v>-1.376284930485052</v>
      </c>
      <c r="Q81">
        <v>-0.97920752715717374</v>
      </c>
      <c r="R81">
        <v>-1.221758973193414</v>
      </c>
      <c r="S81">
        <v>-0.55529363864259418</v>
      </c>
      <c r="T81">
        <v>0.18813216141839451</v>
      </c>
      <c r="U81">
        <v>1.893884567645266</v>
      </c>
      <c r="V81">
        <v>2.27868904201658</v>
      </c>
      <c r="W81">
        <v>2.1750008132643108</v>
      </c>
      <c r="X81">
        <v>2.68264900938019</v>
      </c>
      <c r="Y81">
        <v>3.6811155098743149</v>
      </c>
      <c r="Z81">
        <v>2.636387362866468</v>
      </c>
      <c r="AA81">
        <v>2.746350230313007</v>
      </c>
      <c r="AB81">
        <v>2.543417899879497</v>
      </c>
    </row>
    <row r="82" spans="1:28" x14ac:dyDescent="0.35">
      <c r="A82" t="s">
        <v>84</v>
      </c>
      <c r="B82">
        <v>-0.32570289671065122</v>
      </c>
      <c r="C82">
        <v>-0.30556991119812338</v>
      </c>
      <c r="D82">
        <v>1.765909200316975</v>
      </c>
      <c r="E82">
        <v>1.067452289111867</v>
      </c>
      <c r="F82">
        <v>1.8409381614267071</v>
      </c>
      <c r="G82">
        <v>3.682463345512367</v>
      </c>
      <c r="H82">
        <v>2.7570305948528171</v>
      </c>
      <c r="I82">
        <v>2.371292812520541</v>
      </c>
      <c r="J82">
        <v>2.36839752863869</v>
      </c>
      <c r="K82">
        <v>2.61672691526182</v>
      </c>
      <c r="L82">
        <v>2.6695764743861958</v>
      </c>
      <c r="M82">
        <v>2.150424592859439</v>
      </c>
      <c r="N82">
        <v>1.62402617101602</v>
      </c>
      <c r="O82">
        <v>2.6386479494141</v>
      </c>
      <c r="P82">
        <v>3.637929355105892</v>
      </c>
      <c r="Q82">
        <v>3.8041250799921791</v>
      </c>
      <c r="R82">
        <v>3.3478146828917348</v>
      </c>
      <c r="S82">
        <v>3.7550012061986728</v>
      </c>
      <c r="T82">
        <v>3.928769673673163</v>
      </c>
      <c r="U82">
        <v>3.751150491332305</v>
      </c>
      <c r="V82">
        <v>3.5861655414205882</v>
      </c>
      <c r="W82">
        <v>4.3569449872644448</v>
      </c>
      <c r="X82">
        <v>4.2395847752806466</v>
      </c>
      <c r="Y82">
        <v>4.1138588727798862</v>
      </c>
      <c r="Z82">
        <v>3.5961696039123701</v>
      </c>
      <c r="AA82">
        <v>3.975328040469067</v>
      </c>
      <c r="AB82">
        <v>3.83524825468464</v>
      </c>
    </row>
    <row r="83" spans="1:28" x14ac:dyDescent="0.35">
      <c r="A83" t="s">
        <v>85</v>
      </c>
      <c r="B83">
        <v>0.3844977141597466</v>
      </c>
      <c r="C83">
        <v>-3.0622024034944888E-2</v>
      </c>
      <c r="D83">
        <v>-0.15603208148850151</v>
      </c>
      <c r="E83">
        <v>-7.0447324356017291E-2</v>
      </c>
      <c r="F83">
        <v>-0.109805206289257</v>
      </c>
      <c r="G83">
        <v>4.3316037162033777E-2</v>
      </c>
      <c r="H83">
        <v>4.2661544294173487E-2</v>
      </c>
      <c r="I83">
        <v>2.6859907617228611E-2</v>
      </c>
      <c r="J83">
        <v>-0.26917268144883277</v>
      </c>
      <c r="K83">
        <v>-0.18904262884060041</v>
      </c>
      <c r="L83">
        <v>-0.19224324829108599</v>
      </c>
      <c r="M83">
        <v>-0.49351207868780012</v>
      </c>
      <c r="N83">
        <v>-0.3202948893921313</v>
      </c>
      <c r="O83">
        <v>-0.36608084418778508</v>
      </c>
      <c r="P83">
        <v>-0.133504904615831</v>
      </c>
      <c r="Q83">
        <v>-5.4894186630324741E-2</v>
      </c>
      <c r="R83">
        <v>-0.1577172945612057</v>
      </c>
      <c r="S83">
        <v>-1.015299478840438E-2</v>
      </c>
      <c r="T83">
        <v>-7.9046574678530268E-2</v>
      </c>
      <c r="U83">
        <v>-0.23968109654799849</v>
      </c>
      <c r="V83">
        <v>-0.26987976901691257</v>
      </c>
      <c r="W83">
        <v>-0.10812654045473941</v>
      </c>
      <c r="X83">
        <v>-0.12682928609536981</v>
      </c>
      <c r="Y83">
        <v>-0.1301814130812671</v>
      </c>
      <c r="Z83">
        <v>1.045161578932217E-3</v>
      </c>
      <c r="AA83">
        <v>0.2494232469762922</v>
      </c>
      <c r="AB83">
        <v>0.32930649109794752</v>
      </c>
    </row>
    <row r="84" spans="1:28" x14ac:dyDescent="0.35">
      <c r="A84" t="s">
        <v>86</v>
      </c>
      <c r="B84">
        <v>130.9539568540379</v>
      </c>
      <c r="C84">
        <v>133.01896840424649</v>
      </c>
      <c r="D84">
        <v>137.30726084271541</v>
      </c>
      <c r="E84">
        <v>136.34886959099691</v>
      </c>
      <c r="F84">
        <v>137.10979798161341</v>
      </c>
      <c r="G84">
        <v>138.40080121500421</v>
      </c>
      <c r="H84">
        <v>136.32177453608591</v>
      </c>
      <c r="I84">
        <v>133.79769891289129</v>
      </c>
      <c r="J84">
        <v>132.99831626254601</v>
      </c>
      <c r="K84">
        <v>135.94046654655779</v>
      </c>
      <c r="L84">
        <v>136.03443394695259</v>
      </c>
      <c r="M84">
        <v>134.60362211560411</v>
      </c>
      <c r="N84">
        <v>134.26368044553541</v>
      </c>
      <c r="O84">
        <v>136.93369799024509</v>
      </c>
      <c r="P84">
        <v>139.34052977368819</v>
      </c>
      <c r="Q84">
        <v>140.84388169396911</v>
      </c>
      <c r="R84">
        <v>139.0752357875231</v>
      </c>
      <c r="S84">
        <v>142.17813960474311</v>
      </c>
      <c r="T84">
        <v>144.0458762296384</v>
      </c>
      <c r="U84">
        <v>143.67490441771909</v>
      </c>
      <c r="V84">
        <v>143.21142860086951</v>
      </c>
      <c r="W84">
        <v>146.2407671676232</v>
      </c>
      <c r="X84">
        <v>147.35463133655199</v>
      </c>
      <c r="Y84">
        <v>149.47359256681781</v>
      </c>
      <c r="Z84">
        <v>149.87412496096101</v>
      </c>
      <c r="AA84">
        <v>151.6561248624084</v>
      </c>
      <c r="AB84">
        <v>152.01855181832411</v>
      </c>
    </row>
    <row r="85" spans="1:28" x14ac:dyDescent="0.35">
      <c r="A85" t="s">
        <v>87</v>
      </c>
      <c r="B85">
        <v>201638042.87</v>
      </c>
      <c r="C85">
        <v>185068760.06</v>
      </c>
      <c r="D85">
        <v>190437281.91999999</v>
      </c>
      <c r="E85">
        <v>158933245.27000001</v>
      </c>
      <c r="F85">
        <v>248185385.69</v>
      </c>
      <c r="G85">
        <v>353489799.33999997</v>
      </c>
      <c r="H85">
        <v>278432478.44</v>
      </c>
      <c r="I85">
        <v>235473212.22999999</v>
      </c>
      <c r="J85">
        <v>232065621.56999999</v>
      </c>
      <c r="K85">
        <v>224063681.66999999</v>
      </c>
      <c r="L85">
        <v>189281416.91999999</v>
      </c>
      <c r="M85">
        <v>141628935.13</v>
      </c>
      <c r="N85">
        <v>122610937.52</v>
      </c>
      <c r="O85">
        <v>127187026.56999999</v>
      </c>
      <c r="P85">
        <v>182046272.47999999</v>
      </c>
      <c r="Q85">
        <v>236535426.34999999</v>
      </c>
      <c r="R85">
        <v>385695971.17000002</v>
      </c>
      <c r="S85">
        <v>418170247.81</v>
      </c>
      <c r="T85">
        <v>308554811.26999998</v>
      </c>
      <c r="U85">
        <v>333142005.98000002</v>
      </c>
      <c r="V85">
        <v>532959736.51999998</v>
      </c>
      <c r="W85">
        <v>521065375.45999998</v>
      </c>
      <c r="X85">
        <v>442907326.82999998</v>
      </c>
      <c r="Y85">
        <v>360560092.81</v>
      </c>
      <c r="Z85">
        <v>469122344.36000001</v>
      </c>
      <c r="AA85">
        <v>470121689.95999998</v>
      </c>
      <c r="AB85">
        <v>197239883.56999999</v>
      </c>
    </row>
    <row r="86" spans="1:28" x14ac:dyDescent="0.35">
      <c r="A86" t="s">
        <v>88</v>
      </c>
      <c r="B86">
        <v>1.8061013350822861</v>
      </c>
      <c r="C86">
        <v>1.8048910623473049</v>
      </c>
      <c r="D86">
        <v>1.6151289774682369</v>
      </c>
      <c r="E86">
        <v>1.6641300401162971</v>
      </c>
      <c r="F86">
        <v>1.5574088430524169</v>
      </c>
      <c r="G86">
        <v>1.407957075182648</v>
      </c>
      <c r="H86">
        <v>1.4778531900084551</v>
      </c>
      <c r="I86">
        <v>1.527920832273886</v>
      </c>
      <c r="J86">
        <v>1.5205320093228181</v>
      </c>
      <c r="K86">
        <v>1.513822685264371</v>
      </c>
      <c r="L86">
        <v>1.5114266224017889</v>
      </c>
      <c r="M86">
        <v>1.492758789255074</v>
      </c>
      <c r="N86">
        <v>1.4962433594629949</v>
      </c>
      <c r="O86">
        <v>1.4422213288225301</v>
      </c>
      <c r="P86">
        <v>1.3971255186673801</v>
      </c>
      <c r="Q86">
        <v>1.4268834743684919</v>
      </c>
      <c r="R86">
        <v>1.466123372201841</v>
      </c>
      <c r="S86">
        <v>1.4537874710573591</v>
      </c>
      <c r="T86">
        <v>1.438039962055063</v>
      </c>
      <c r="U86">
        <v>1.447860639959538</v>
      </c>
      <c r="V86">
        <v>1.4486993501919689</v>
      </c>
      <c r="W86">
        <v>1.4132166900399949</v>
      </c>
      <c r="X86">
        <v>1.415400126316426</v>
      </c>
      <c r="Y86">
        <v>1.411451500068434</v>
      </c>
      <c r="Z86">
        <v>1.462588671426519</v>
      </c>
      <c r="AA86">
        <v>1.4741773213022169</v>
      </c>
      <c r="AB86">
        <v>1.497938123396616</v>
      </c>
    </row>
    <row r="87" spans="1:28" x14ac:dyDescent="0.35">
      <c r="A87" t="s">
        <v>89</v>
      </c>
      <c r="B87">
        <v>0.23916653915081709</v>
      </c>
      <c r="C87">
        <v>0.24499593875218459</v>
      </c>
      <c r="D87">
        <v>0.247030835079706</v>
      </c>
      <c r="E87">
        <v>0.24548219119433959</v>
      </c>
      <c r="F87">
        <v>0.24519033255978481</v>
      </c>
      <c r="G87">
        <v>0.24265791594668301</v>
      </c>
      <c r="H87">
        <v>0.24282059448624699</v>
      </c>
      <c r="I87">
        <v>0.24374564816090211</v>
      </c>
      <c r="J87">
        <v>0.2477256920114746</v>
      </c>
      <c r="K87">
        <v>0.24696412630083511</v>
      </c>
      <c r="L87">
        <v>0.24698215388080369</v>
      </c>
      <c r="M87">
        <v>0.2492100636753494</v>
      </c>
      <c r="N87">
        <v>0.2454457178921986</v>
      </c>
      <c r="O87">
        <v>0.24703766490736659</v>
      </c>
      <c r="P87">
        <v>0.2446004373586666</v>
      </c>
      <c r="Q87">
        <v>0.24496755128613751</v>
      </c>
      <c r="R87">
        <v>0.2467133847990523</v>
      </c>
      <c r="S87">
        <v>0.24524040719469559</v>
      </c>
      <c r="T87">
        <v>0.24614125734899031</v>
      </c>
      <c r="U87">
        <v>0.24832860630611109</v>
      </c>
      <c r="V87">
        <v>0.24837932319497891</v>
      </c>
      <c r="W87">
        <v>0.24664752735484319</v>
      </c>
      <c r="X87">
        <v>0.24668787338920301</v>
      </c>
      <c r="Y87">
        <v>0.24626873428122259</v>
      </c>
      <c r="Z87">
        <v>0.2449886965293776</v>
      </c>
      <c r="AA87">
        <v>0.2428207765288872</v>
      </c>
      <c r="AB87">
        <v>0.24218209834134741</v>
      </c>
    </row>
    <row r="89" spans="1:28" x14ac:dyDescent="0.35">
      <c r="A89" t="s">
        <v>97</v>
      </c>
      <c r="B89" t="s">
        <v>98</v>
      </c>
      <c r="C89" t="s">
        <v>99</v>
      </c>
      <c r="D89" t="s">
        <v>100</v>
      </c>
      <c r="E89" t="s">
        <v>101</v>
      </c>
      <c r="F89" t="s">
        <v>102</v>
      </c>
      <c r="G89" t="s">
        <v>103</v>
      </c>
      <c r="H89" t="s">
        <v>104</v>
      </c>
      <c r="I89" t="s">
        <v>105</v>
      </c>
      <c r="J89" t="s">
        <v>106</v>
      </c>
      <c r="K89" t="s">
        <v>107</v>
      </c>
      <c r="L89" t="s">
        <v>108</v>
      </c>
      <c r="M89" t="s">
        <v>109</v>
      </c>
      <c r="N89" t="s">
        <v>110</v>
      </c>
      <c r="O89" t="s">
        <v>111</v>
      </c>
      <c r="P89" t="s">
        <v>112</v>
      </c>
      <c r="Q89" t="s">
        <v>113</v>
      </c>
      <c r="R89" t="s">
        <v>114</v>
      </c>
      <c r="S89" t="s">
        <v>115</v>
      </c>
      <c r="T89" t="s">
        <v>116</v>
      </c>
      <c r="U89" t="s">
        <v>117</v>
      </c>
      <c r="V89" t="s">
        <v>118</v>
      </c>
      <c r="W89" t="s">
        <v>119</v>
      </c>
      <c r="X89" t="s">
        <v>120</v>
      </c>
      <c r="Y89" t="s">
        <v>121</v>
      </c>
      <c r="Z89" t="s">
        <v>122</v>
      </c>
      <c r="AA89" t="s">
        <v>123</v>
      </c>
      <c r="AB89" t="s">
        <v>124</v>
      </c>
    </row>
    <row r="90" spans="1:28" x14ac:dyDescent="0.35">
      <c r="A90" t="s">
        <v>81</v>
      </c>
      <c r="B90">
        <v>133.74366828286651</v>
      </c>
      <c r="C90">
        <v>136.07314014513821</v>
      </c>
      <c r="D90">
        <v>137.47529588977989</v>
      </c>
      <c r="E90">
        <v>136.2155539644325</v>
      </c>
      <c r="F90">
        <v>135.1892030623832</v>
      </c>
      <c r="G90">
        <v>134.94335114516321</v>
      </c>
      <c r="H90">
        <v>134.15863149372561</v>
      </c>
      <c r="I90">
        <v>132.78600573539291</v>
      </c>
      <c r="J90">
        <v>132.91318537560221</v>
      </c>
      <c r="K90">
        <v>134.78416493288569</v>
      </c>
      <c r="L90">
        <v>135.8640536647394</v>
      </c>
      <c r="M90">
        <v>137.1221463411886</v>
      </c>
      <c r="N90">
        <v>138.6763619605496</v>
      </c>
      <c r="O90">
        <v>139.18642461013829</v>
      </c>
      <c r="P90">
        <v>138.41068507713069</v>
      </c>
      <c r="Q90">
        <v>138.4169677641452</v>
      </c>
      <c r="R90">
        <v>138.32952213296559</v>
      </c>
      <c r="S90">
        <v>139.2090785875898</v>
      </c>
      <c r="T90">
        <v>139.50798647333221</v>
      </c>
      <c r="U90">
        <v>138.5852905054702</v>
      </c>
      <c r="V90">
        <v>138.27365377963829</v>
      </c>
      <c r="W90">
        <v>139.05405124655681</v>
      </c>
      <c r="X90">
        <v>139.36250910470341</v>
      </c>
      <c r="Y90">
        <v>140.2517373317377</v>
      </c>
      <c r="Z90">
        <v>141.75585298325561</v>
      </c>
      <c r="AA90">
        <v>142.48156487866589</v>
      </c>
      <c r="AB90">
        <v>143.07971677810221</v>
      </c>
    </row>
    <row r="91" spans="1:28" x14ac:dyDescent="0.35">
      <c r="A91" t="s">
        <v>82</v>
      </c>
      <c r="B91">
        <v>2.6475151423824919</v>
      </c>
      <c r="C91">
        <v>2.714637346826914</v>
      </c>
      <c r="D91">
        <v>2.7825906936589311</v>
      </c>
      <c r="E91">
        <v>2.4665933251344749</v>
      </c>
      <c r="F91">
        <v>2.5708909671235558</v>
      </c>
      <c r="G91">
        <v>2.103930006271451</v>
      </c>
      <c r="H91">
        <v>1.7125448217697861</v>
      </c>
      <c r="I91">
        <v>1.20909832527426</v>
      </c>
      <c r="J91">
        <v>0.58037625311982688</v>
      </c>
      <c r="K91">
        <v>0.9205066851937751</v>
      </c>
      <c r="L91">
        <v>0.68151284292340153</v>
      </c>
      <c r="M91">
        <v>0.71865097812139678</v>
      </c>
      <c r="N91">
        <v>0.53961815312114292</v>
      </c>
      <c r="O91">
        <v>0.87174045587518334</v>
      </c>
      <c r="P91">
        <v>0.91075176263296043</v>
      </c>
      <c r="Q91">
        <v>1.1222485440219081</v>
      </c>
      <c r="R91">
        <v>0.63460355710271077</v>
      </c>
      <c r="S91">
        <v>1.3686407607278359</v>
      </c>
      <c r="T91">
        <v>1.3532707283739449</v>
      </c>
      <c r="U91">
        <v>0.97710132946893913</v>
      </c>
      <c r="V91">
        <v>0.55322071094496073</v>
      </c>
      <c r="W91">
        <v>1.543433892872133</v>
      </c>
      <c r="X91">
        <v>1.483211668360515</v>
      </c>
      <c r="Y91">
        <v>1.781920318647048</v>
      </c>
      <c r="Z91">
        <v>1.266922033030671</v>
      </c>
      <c r="AA91">
        <v>1.4789120971404599</v>
      </c>
      <c r="AB91">
        <v>1.4554203560553489</v>
      </c>
    </row>
    <row r="92" spans="1:28" x14ac:dyDescent="0.35">
      <c r="A92" t="s">
        <v>83</v>
      </c>
      <c r="B92">
        <v>-0.21041410109901881</v>
      </c>
      <c r="C92">
        <v>1.088699458558723E-2</v>
      </c>
      <c r="D92">
        <v>5.9486161458258387E-3</v>
      </c>
      <c r="E92">
        <v>0.41103495254539052</v>
      </c>
      <c r="F92">
        <v>0.43007637770216373</v>
      </c>
      <c r="G92">
        <v>0.63762597996757675</v>
      </c>
      <c r="H92">
        <v>0.93419976413555994</v>
      </c>
      <c r="I92">
        <v>0.25574862392210029</v>
      </c>
      <c r="J92">
        <v>-0.30339112351618291</v>
      </c>
      <c r="K92">
        <v>-0.54699755248481252</v>
      </c>
      <c r="L92">
        <v>-0.94793534889750319</v>
      </c>
      <c r="M92">
        <v>-1.060504747307655</v>
      </c>
      <c r="N92">
        <v>-1.241365732442282</v>
      </c>
      <c r="O92">
        <v>-0.68509311352998747</v>
      </c>
      <c r="P92">
        <v>-0.89809377334605833</v>
      </c>
      <c r="Q92">
        <v>-0.53523032303164997</v>
      </c>
      <c r="R92">
        <v>-0.6368441373878474</v>
      </c>
      <c r="S92">
        <v>-0.1897110024130331</v>
      </c>
      <c r="T92">
        <v>-8.1502886597454374E-2</v>
      </c>
      <c r="U92">
        <v>0.78968723661866347</v>
      </c>
      <c r="V92">
        <v>1.00240145763248</v>
      </c>
      <c r="W92">
        <v>1.3058264173099829</v>
      </c>
      <c r="X92">
        <v>1.741409376446182</v>
      </c>
      <c r="Y92">
        <v>2.3553668411218589</v>
      </c>
      <c r="Z92">
        <v>1.6486288901978909</v>
      </c>
      <c r="AA92">
        <v>1.8299737058945511</v>
      </c>
      <c r="AB92">
        <v>1.5822786459067339</v>
      </c>
    </row>
    <row r="93" spans="1:28" x14ac:dyDescent="0.35">
      <c r="A93" t="s">
        <v>84</v>
      </c>
      <c r="B93">
        <v>-1.1384545586444439</v>
      </c>
      <c r="C93">
        <v>-1.3331082490763591</v>
      </c>
      <c r="D93">
        <v>0.74628249567913563</v>
      </c>
      <c r="E93">
        <v>-0.77776333001337661</v>
      </c>
      <c r="F93">
        <v>0.84546510563185429</v>
      </c>
      <c r="G93">
        <v>3.268062312668051</v>
      </c>
      <c r="H93">
        <v>2.264911201663248</v>
      </c>
      <c r="I93">
        <v>1.988474324406303</v>
      </c>
      <c r="J93">
        <v>1.0971530259605551</v>
      </c>
      <c r="K93">
        <v>1.38096044222209</v>
      </c>
      <c r="L93">
        <v>0.66936395209242661</v>
      </c>
      <c r="M93">
        <v>-0.59550822619197141</v>
      </c>
      <c r="N93">
        <v>-1.2967537008055809</v>
      </c>
      <c r="O93">
        <v>-6.3194535324352125E-2</v>
      </c>
      <c r="P93">
        <v>0.37466794129514153</v>
      </c>
      <c r="Q93">
        <v>0.83999168937383561</v>
      </c>
      <c r="R93">
        <v>-0.38590941733972722</v>
      </c>
      <c r="S93">
        <v>1.6950262581264659</v>
      </c>
      <c r="T93">
        <v>1.224386214280883</v>
      </c>
      <c r="U93">
        <v>1.3260048673218809</v>
      </c>
      <c r="V93">
        <v>1.633502513976175</v>
      </c>
      <c r="W93">
        <v>2.3726004138104311</v>
      </c>
      <c r="X93">
        <v>2.040801383147886</v>
      </c>
      <c r="Y93">
        <v>2.0023693245906138</v>
      </c>
      <c r="Z93">
        <v>1.8990729861880791</v>
      </c>
      <c r="AA93">
        <v>2.5052762651097451</v>
      </c>
      <c r="AB93">
        <v>2.486776498944224</v>
      </c>
    </row>
    <row r="94" spans="1:28" x14ac:dyDescent="0.35">
      <c r="A94" t="s">
        <v>85</v>
      </c>
      <c r="B94">
        <v>0.40651163758341019</v>
      </c>
      <c r="C94">
        <v>0.1691708954728291</v>
      </c>
      <c r="D94">
        <v>1.8933411883861509E-2</v>
      </c>
      <c r="E94">
        <v>0.13410817813783399</v>
      </c>
      <c r="F94">
        <v>0.10342616661209759</v>
      </c>
      <c r="G94">
        <v>0.1586262502515082</v>
      </c>
      <c r="H94">
        <v>0.53501202525387526</v>
      </c>
      <c r="I94">
        <v>0.47347983407565108</v>
      </c>
      <c r="J94">
        <v>3.2275600873485237E-2</v>
      </c>
      <c r="K94">
        <v>3.2059849702150992E-2</v>
      </c>
      <c r="L94">
        <v>1.017126618073989E-2</v>
      </c>
      <c r="M94">
        <v>-1.4624368177323139E-2</v>
      </c>
      <c r="N94">
        <v>-0.26992727556592999</v>
      </c>
      <c r="O94">
        <v>-0.23309517676840169</v>
      </c>
      <c r="P94">
        <v>-7.3109172677325571E-2</v>
      </c>
      <c r="Q94">
        <v>-3.7004974082280262E-2</v>
      </c>
      <c r="R94">
        <v>-0.1779177358885396</v>
      </c>
      <c r="S94">
        <v>0.14099060954547121</v>
      </c>
      <c r="T94">
        <v>6.4465853056559108E-2</v>
      </c>
      <c r="U94">
        <v>-1.2139506759683529E-2</v>
      </c>
      <c r="V94">
        <v>-0.18743146257729479</v>
      </c>
      <c r="W94">
        <v>-8.5208661276211933E-2</v>
      </c>
      <c r="X94">
        <v>-5.3370844462594533E-2</v>
      </c>
      <c r="Y94">
        <v>0.27151797434924152</v>
      </c>
      <c r="Z94">
        <v>0.25980264226385202</v>
      </c>
      <c r="AA94">
        <v>0.47731548522966011</v>
      </c>
      <c r="AB94">
        <v>0.65919430544128155</v>
      </c>
    </row>
    <row r="95" spans="1:28" x14ac:dyDescent="0.35">
      <c r="A95" t="s">
        <v>86</v>
      </c>
      <c r="B95">
        <v>135.44882640308899</v>
      </c>
      <c r="C95">
        <v>137.63472713294721</v>
      </c>
      <c r="D95">
        <v>141.02905110714769</v>
      </c>
      <c r="E95">
        <v>138.44952709023681</v>
      </c>
      <c r="F95">
        <v>139.13906167945291</v>
      </c>
      <c r="G95">
        <v>141.11159569432181</v>
      </c>
      <c r="H95">
        <v>139.60529930654809</v>
      </c>
      <c r="I95">
        <v>136.71280684307121</v>
      </c>
      <c r="J95">
        <v>134.31959913203991</v>
      </c>
      <c r="K95">
        <v>136.57069435751879</v>
      </c>
      <c r="L95">
        <v>136.2771663770385</v>
      </c>
      <c r="M95">
        <v>136.17015997763301</v>
      </c>
      <c r="N95">
        <v>136.407933404857</v>
      </c>
      <c r="O95">
        <v>139.07678224039071</v>
      </c>
      <c r="P95">
        <v>138.72490183503541</v>
      </c>
      <c r="Q95">
        <v>139.80697270042711</v>
      </c>
      <c r="R95">
        <v>137.76345439945231</v>
      </c>
      <c r="S95">
        <v>142.2240252135766</v>
      </c>
      <c r="T95">
        <v>142.06860638244621</v>
      </c>
      <c r="U95">
        <v>141.66594443211989</v>
      </c>
      <c r="V95">
        <v>141.27534699961461</v>
      </c>
      <c r="W95">
        <v>144.19070330927309</v>
      </c>
      <c r="X95">
        <v>144.57456068819539</v>
      </c>
      <c r="Y95">
        <v>146.66291179044649</v>
      </c>
      <c r="Z95">
        <v>146.8302795349361</v>
      </c>
      <c r="AA95">
        <v>148.77304243204031</v>
      </c>
      <c r="AB95">
        <v>149.26338658444971</v>
      </c>
    </row>
    <row r="96" spans="1:28" x14ac:dyDescent="0.35">
      <c r="A96" t="s">
        <v>87</v>
      </c>
      <c r="B96">
        <v>442453933.38999999</v>
      </c>
      <c r="C96">
        <v>395575503.38</v>
      </c>
      <c r="D96">
        <v>463756981.83999991</v>
      </c>
      <c r="E96">
        <v>390084241.22000003</v>
      </c>
      <c r="F96">
        <v>616587848.34000003</v>
      </c>
      <c r="G96">
        <v>726460545.16000009</v>
      </c>
      <c r="H96">
        <v>618663139.38999999</v>
      </c>
      <c r="I96">
        <v>522918760.17000002</v>
      </c>
      <c r="J96">
        <v>453569092.87</v>
      </c>
      <c r="K96">
        <v>579568774.16000009</v>
      </c>
      <c r="L96">
        <v>483298224.94</v>
      </c>
      <c r="M96">
        <v>364337061.02999997</v>
      </c>
      <c r="N96">
        <v>382464666.67000002</v>
      </c>
      <c r="O96">
        <v>384910050.62</v>
      </c>
      <c r="P96">
        <v>328183495.20999998</v>
      </c>
      <c r="Q96">
        <v>361455777.50999999</v>
      </c>
      <c r="R96">
        <v>775444740.00999999</v>
      </c>
      <c r="S96">
        <v>743810276.11000001</v>
      </c>
      <c r="T96">
        <v>608913941.15999997</v>
      </c>
      <c r="U96">
        <v>620789692.16999996</v>
      </c>
      <c r="V96">
        <v>973746167.30999994</v>
      </c>
      <c r="W96">
        <v>906014134.78999996</v>
      </c>
      <c r="X96">
        <v>821495207.76999998</v>
      </c>
      <c r="Y96">
        <v>701729834.74000001</v>
      </c>
      <c r="Z96">
        <v>1028768619.02</v>
      </c>
      <c r="AA96">
        <v>954316760.21000004</v>
      </c>
      <c r="AB96">
        <v>424045697.14999998</v>
      </c>
    </row>
    <row r="97" spans="1:28" x14ac:dyDescent="0.35">
      <c r="A97" t="s">
        <v>88</v>
      </c>
      <c r="B97">
        <v>1.753169612022911</v>
      </c>
      <c r="C97">
        <v>1.76965584270632</v>
      </c>
      <c r="D97">
        <v>1.599036202669945</v>
      </c>
      <c r="E97">
        <v>1.700185209410362</v>
      </c>
      <c r="F97">
        <v>1.570573134566986</v>
      </c>
      <c r="G97">
        <v>1.4205638841236941</v>
      </c>
      <c r="H97">
        <v>1.4814070218701381</v>
      </c>
      <c r="I97">
        <v>1.5094428342720809</v>
      </c>
      <c r="J97">
        <v>1.5614886002041941</v>
      </c>
      <c r="K97">
        <v>1.53860212700684</v>
      </c>
      <c r="L97">
        <v>1.5826493479850701</v>
      </c>
      <c r="M97">
        <v>1.6477808940774941</v>
      </c>
      <c r="N97">
        <v>1.6830172679225399</v>
      </c>
      <c r="O97">
        <v>1.6012238822637721</v>
      </c>
      <c r="P97">
        <v>1.5993282337601269</v>
      </c>
      <c r="Q97">
        <v>1.6059143686477979</v>
      </c>
      <c r="R97">
        <v>1.676131194986187</v>
      </c>
      <c r="S97">
        <v>1.539667479289154</v>
      </c>
      <c r="T97">
        <v>1.562535297490611</v>
      </c>
      <c r="U97">
        <v>1.557998981054038</v>
      </c>
      <c r="V97">
        <v>1.5332549826174191</v>
      </c>
      <c r="W97">
        <v>1.4965221182116539</v>
      </c>
      <c r="X97">
        <v>1.5110660169489369</v>
      </c>
      <c r="Y97">
        <v>1.505091080123546</v>
      </c>
      <c r="Z97">
        <v>1.5164237011615851</v>
      </c>
      <c r="AA97">
        <v>1.501009063117847</v>
      </c>
      <c r="AB97">
        <v>1.5064932170406149</v>
      </c>
    </row>
    <row r="98" spans="1:28" x14ac:dyDescent="0.35">
      <c r="A98" t="s">
        <v>89</v>
      </c>
      <c r="B98">
        <v>0.24291524958385</v>
      </c>
      <c r="C98">
        <v>0.24595496199587871</v>
      </c>
      <c r="D98">
        <v>0.2480099670684475</v>
      </c>
      <c r="E98">
        <v>0.2466474808665792</v>
      </c>
      <c r="F98">
        <v>0.24669324308781029</v>
      </c>
      <c r="G98">
        <v>0.24515016066259121</v>
      </c>
      <c r="H98">
        <v>0.2419791895132628</v>
      </c>
      <c r="I98">
        <v>0.2428993445348645</v>
      </c>
      <c r="J98">
        <v>0.24725783091186901</v>
      </c>
      <c r="K98">
        <v>0.24784997680445939</v>
      </c>
      <c r="L98">
        <v>0.24802449564638579</v>
      </c>
      <c r="M98">
        <v>0.24804732413951111</v>
      </c>
      <c r="N98">
        <v>0.250092989235768</v>
      </c>
      <c r="O98">
        <v>0.25006235300945329</v>
      </c>
      <c r="P98">
        <v>0.2469960199177379</v>
      </c>
      <c r="Q98">
        <v>0.24671683365984329</v>
      </c>
      <c r="R98">
        <v>0.2492889424950171</v>
      </c>
      <c r="S98">
        <v>0.24596195470195459</v>
      </c>
      <c r="T98">
        <v>0.24707410717601119</v>
      </c>
      <c r="U98">
        <v>0.24802142688222639</v>
      </c>
      <c r="V98">
        <v>0.2494817697220702</v>
      </c>
      <c r="W98">
        <v>0.2482857173253285</v>
      </c>
      <c r="X98">
        <v>0.24807490603536739</v>
      </c>
      <c r="Y98">
        <v>0.24494046224181329</v>
      </c>
      <c r="Z98">
        <v>0.24530679928586169</v>
      </c>
      <c r="AA98">
        <v>0.24317206816919029</v>
      </c>
      <c r="AB98">
        <v>0.2416648259435844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8"/>
  <sheetViews>
    <sheetView topLeftCell="A6" zoomScale="145" zoomScaleNormal="145" workbookViewId="0">
      <selection activeCell="Y30" sqref="Y30"/>
    </sheetView>
  </sheetViews>
  <sheetFormatPr defaultRowHeight="14.5" x14ac:dyDescent="0.35"/>
  <sheetData>
    <row r="1" spans="1:9" x14ac:dyDescent="0.35">
      <c r="A1" t="s">
        <v>0</v>
      </c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</row>
    <row r="2" spans="1:9" x14ac:dyDescent="0.35">
      <c r="A2" t="s">
        <v>81</v>
      </c>
      <c r="B2">
        <v>140.39661826955091</v>
      </c>
      <c r="C2">
        <v>140.1670215760148</v>
      </c>
      <c r="D2">
        <v>140.29640620718681</v>
      </c>
      <c r="E2">
        <v>140.7397600374656</v>
      </c>
      <c r="F2">
        <v>140.87261868900441</v>
      </c>
      <c r="G2">
        <v>141.1551288971016</v>
      </c>
      <c r="H2">
        <v>140.93325276682069</v>
      </c>
      <c r="I2">
        <v>141.94167506774821</v>
      </c>
    </row>
    <row r="3" spans="1:9" x14ac:dyDescent="0.35">
      <c r="A3" t="s">
        <v>82</v>
      </c>
      <c r="B3">
        <v>3.449321759329592</v>
      </c>
      <c r="C3">
        <v>2.9184445347355852</v>
      </c>
      <c r="D3">
        <v>2.7430522872461149</v>
      </c>
      <c r="E3">
        <v>3.20971176220749</v>
      </c>
      <c r="F3">
        <v>3.3893383965202588</v>
      </c>
      <c r="G3">
        <v>3.3995264534743228</v>
      </c>
      <c r="H3">
        <v>3.518810271760429</v>
      </c>
      <c r="I3">
        <v>3.4450757470772539</v>
      </c>
    </row>
    <row r="4" spans="1:9" x14ac:dyDescent="0.35">
      <c r="A4" t="s">
        <v>83</v>
      </c>
      <c r="B4">
        <v>3.3506859870557339</v>
      </c>
      <c r="C4">
        <v>2.017531700753215</v>
      </c>
      <c r="D4">
        <v>1.353120683129752</v>
      </c>
      <c r="E4">
        <v>2.48998178494009</v>
      </c>
      <c r="F4">
        <v>3.8748265391072558</v>
      </c>
      <c r="G4">
        <v>3.150864837630861</v>
      </c>
      <c r="H4">
        <v>3.4677955480187088</v>
      </c>
      <c r="I4">
        <v>3.6997450993345029</v>
      </c>
    </row>
    <row r="5" spans="1:9" x14ac:dyDescent="0.35">
      <c r="A5" t="s">
        <v>84</v>
      </c>
      <c r="B5">
        <v>3.8620430813318629</v>
      </c>
      <c r="C5">
        <v>4.2823007424992836</v>
      </c>
      <c r="D5">
        <v>4.36736610406866</v>
      </c>
      <c r="E5">
        <v>3.722166783350993</v>
      </c>
      <c r="F5">
        <v>4.5859825381798673</v>
      </c>
      <c r="G5">
        <v>4.1143036245768014</v>
      </c>
      <c r="H5">
        <v>4.3268182842538216</v>
      </c>
      <c r="I5">
        <v>3.921288985843169</v>
      </c>
    </row>
    <row r="6" spans="1:9" x14ac:dyDescent="0.35">
      <c r="A6" t="s">
        <v>85</v>
      </c>
      <c r="B6">
        <v>0.68336776325382287</v>
      </c>
      <c r="C6">
        <v>0.42747143610708138</v>
      </c>
      <c r="D6">
        <v>0.58930339515382257</v>
      </c>
      <c r="E6">
        <v>0.89468482737023469</v>
      </c>
      <c r="F6">
        <v>1.4356480722288121</v>
      </c>
      <c r="G6">
        <v>1.523579858161507</v>
      </c>
      <c r="H6">
        <v>1.607620641436259</v>
      </c>
      <c r="I6">
        <v>1.2869154859046039</v>
      </c>
    </row>
    <row r="7" spans="1:9" x14ac:dyDescent="0.35">
      <c r="A7" t="s">
        <v>86</v>
      </c>
      <c r="B7">
        <v>151.74203686052189</v>
      </c>
      <c r="C7">
        <v>149.81276999011001</v>
      </c>
      <c r="D7">
        <v>149.34924867678509</v>
      </c>
      <c r="E7">
        <v>151.0563051953344</v>
      </c>
      <c r="F7">
        <v>154.1584142350406</v>
      </c>
      <c r="G7">
        <v>153.34340367094501</v>
      </c>
      <c r="H7">
        <v>153.85429751228989</v>
      </c>
      <c r="I7">
        <v>154.2947003859077</v>
      </c>
    </row>
    <row r="8" spans="1:9" x14ac:dyDescent="0.35">
      <c r="A8" t="s">
        <v>87</v>
      </c>
      <c r="B8">
        <v>13296244.279999999</v>
      </c>
      <c r="C8">
        <v>15280720.529999999</v>
      </c>
      <c r="D8">
        <v>24336515.620000001</v>
      </c>
      <c r="E8">
        <v>20618795.710000001</v>
      </c>
      <c r="F8">
        <v>22261812.370000001</v>
      </c>
      <c r="G8">
        <v>23382323.920000002</v>
      </c>
      <c r="H8">
        <v>25967502.93</v>
      </c>
      <c r="I8">
        <v>19103843.949999999</v>
      </c>
    </row>
    <row r="9" spans="1:9" x14ac:dyDescent="0.35">
      <c r="A9" t="s">
        <v>88</v>
      </c>
      <c r="B9">
        <v>1.5808614655537609</v>
      </c>
      <c r="C9">
        <v>1.549644486234574</v>
      </c>
      <c r="D9">
        <v>1.5434752153996241</v>
      </c>
      <c r="E9">
        <v>1.5915324080152391</v>
      </c>
      <c r="F9">
        <v>1.5278433558290501</v>
      </c>
      <c r="G9">
        <v>1.561974317808505</v>
      </c>
      <c r="H9">
        <v>1.54640976260158</v>
      </c>
      <c r="I9">
        <v>1.5763847066171019</v>
      </c>
    </row>
    <row r="10" spans="1:9" x14ac:dyDescent="0.35">
      <c r="A10" t="s">
        <v>89</v>
      </c>
      <c r="B10">
        <v>0.24023760338208819</v>
      </c>
      <c r="C10">
        <v>0.24389326519847029</v>
      </c>
      <c r="D10">
        <v>0.24158138006923111</v>
      </c>
      <c r="E10">
        <v>0.23721878818042519</v>
      </c>
      <c r="F10">
        <v>0.22949074182530271</v>
      </c>
      <c r="G10">
        <v>0.22823457345483561</v>
      </c>
      <c r="H10">
        <v>0.2270339908366249</v>
      </c>
      <c r="I10">
        <v>0.23161549305850571</v>
      </c>
    </row>
    <row r="12" spans="1:9" x14ac:dyDescent="0.35">
      <c r="A12" t="s">
        <v>90</v>
      </c>
      <c r="B12" t="s">
        <v>73</v>
      </c>
      <c r="C12" t="s">
        <v>74</v>
      </c>
      <c r="D12" t="s">
        <v>75</v>
      </c>
      <c r="E12" t="s">
        <v>76</v>
      </c>
      <c r="F12" t="s">
        <v>77</v>
      </c>
      <c r="G12" t="s">
        <v>78</v>
      </c>
      <c r="H12" t="s">
        <v>79</v>
      </c>
      <c r="I12" t="s">
        <v>80</v>
      </c>
    </row>
    <row r="13" spans="1:9" x14ac:dyDescent="0.35">
      <c r="A13" t="s">
        <v>81</v>
      </c>
      <c r="B13">
        <v>142.78645462326139</v>
      </c>
      <c r="C13">
        <v>142.8235709164947</v>
      </c>
      <c r="D13">
        <v>142.75881494832299</v>
      </c>
      <c r="E13">
        <v>143.0962998493188</v>
      </c>
      <c r="F13">
        <v>142.8826963204076</v>
      </c>
      <c r="G13">
        <v>143.310190432182</v>
      </c>
      <c r="H13">
        <v>143.79883798774861</v>
      </c>
      <c r="I13">
        <v>143.6183114151772</v>
      </c>
    </row>
    <row r="14" spans="1:9" x14ac:dyDescent="0.35">
      <c r="A14" t="s">
        <v>82</v>
      </c>
      <c r="B14">
        <v>2.8549297557680688</v>
      </c>
      <c r="C14">
        <v>2.5775862940061529</v>
      </c>
      <c r="D14">
        <v>2.6665712186175479</v>
      </c>
      <c r="E14">
        <v>2.8239339591397652</v>
      </c>
      <c r="F14">
        <v>3.0846812985694778</v>
      </c>
      <c r="G14">
        <v>2.8962122282150058</v>
      </c>
      <c r="H14">
        <v>3.1537823234986599</v>
      </c>
      <c r="I14">
        <v>2.95602555524539</v>
      </c>
    </row>
    <row r="15" spans="1:9" x14ac:dyDescent="0.35">
      <c r="A15" t="s">
        <v>83</v>
      </c>
      <c r="B15">
        <v>3.5221526047647451</v>
      </c>
      <c r="C15">
        <v>2.6911338878118989</v>
      </c>
      <c r="D15">
        <v>2.3011923530530751</v>
      </c>
      <c r="E15">
        <v>2.565252934376788</v>
      </c>
      <c r="F15">
        <v>3.197579099597748</v>
      </c>
      <c r="G15">
        <v>2.6850004846127962</v>
      </c>
      <c r="H15">
        <v>2.6122428519163998</v>
      </c>
      <c r="I15">
        <v>2.9202276412974619</v>
      </c>
    </row>
    <row r="16" spans="1:9" x14ac:dyDescent="0.35">
      <c r="A16" t="s">
        <v>84</v>
      </c>
      <c r="B16">
        <v>5.5367368815064424</v>
      </c>
      <c r="C16">
        <v>4.7356189111778342</v>
      </c>
      <c r="D16">
        <v>5.0152546332549299</v>
      </c>
      <c r="E16">
        <v>5.0741078963422108</v>
      </c>
      <c r="F16">
        <v>5.0350030507506798</v>
      </c>
      <c r="G16">
        <v>4.9054828934140184</v>
      </c>
      <c r="H16">
        <v>4.762150119329978</v>
      </c>
      <c r="I16">
        <v>4.8140784900144089</v>
      </c>
    </row>
    <row r="17" spans="1:9" x14ac:dyDescent="0.35">
      <c r="A17" t="s">
        <v>85</v>
      </c>
      <c r="B17">
        <v>-0.44122074926877802</v>
      </c>
      <c r="C17">
        <v>-0.4443116263059454</v>
      </c>
      <c r="D17">
        <v>-0.31290515803664648</v>
      </c>
      <c r="E17">
        <v>-0.28958025081958438</v>
      </c>
      <c r="F17">
        <v>-0.23786709543552609</v>
      </c>
      <c r="G17">
        <v>-0.49463571999837253</v>
      </c>
      <c r="H17">
        <v>-0.35741431694201797</v>
      </c>
      <c r="I17">
        <v>-0.48483368070010852</v>
      </c>
    </row>
    <row r="18" spans="1:9" x14ac:dyDescent="0.35">
      <c r="A18" t="s">
        <v>86</v>
      </c>
      <c r="B18">
        <v>154.25905311603191</v>
      </c>
      <c r="C18">
        <v>152.38359838318459</v>
      </c>
      <c r="D18">
        <v>152.42892799521189</v>
      </c>
      <c r="E18">
        <v>153.27001438835799</v>
      </c>
      <c r="F18">
        <v>153.96209267388991</v>
      </c>
      <c r="G18">
        <v>153.30225031842551</v>
      </c>
      <c r="H18">
        <v>153.9695989655516</v>
      </c>
      <c r="I18">
        <v>153.8238094210343</v>
      </c>
    </row>
    <row r="19" spans="1:9" x14ac:dyDescent="0.35">
      <c r="A19" t="s">
        <v>87</v>
      </c>
      <c r="B19">
        <v>36179389.619999997</v>
      </c>
      <c r="C19">
        <v>45709199.859999999</v>
      </c>
      <c r="D19">
        <v>80513897.539999992</v>
      </c>
      <c r="E19">
        <v>62592607.789999999</v>
      </c>
      <c r="F19">
        <v>58601957.010000013</v>
      </c>
      <c r="G19">
        <v>51430368.799999997</v>
      </c>
      <c r="H19">
        <v>44235760.069999993</v>
      </c>
      <c r="I19">
        <v>38202828.260000013</v>
      </c>
    </row>
    <row r="20" spans="1:9" x14ac:dyDescent="0.35">
      <c r="A20" t="s">
        <v>88</v>
      </c>
      <c r="B20">
        <v>1.4633884298956901</v>
      </c>
      <c r="C20">
        <v>1.5173250936525939</v>
      </c>
      <c r="D20">
        <v>1.4980521710697079</v>
      </c>
      <c r="E20">
        <v>1.4940581134635551</v>
      </c>
      <c r="F20">
        <v>1.496709572675845</v>
      </c>
      <c r="G20">
        <v>1.505559140625728</v>
      </c>
      <c r="H20">
        <v>1.5154752549338359</v>
      </c>
      <c r="I20">
        <v>1.5118676690879651</v>
      </c>
    </row>
    <row r="21" spans="1:9" x14ac:dyDescent="0.35">
      <c r="A21" t="s">
        <v>89</v>
      </c>
      <c r="B21">
        <v>0.25630315356098249</v>
      </c>
      <c r="C21">
        <v>0.25634730894722779</v>
      </c>
      <c r="D21">
        <v>0.25447007368623781</v>
      </c>
      <c r="E21">
        <v>0.25413686072599412</v>
      </c>
      <c r="F21">
        <v>0.25339810136336471</v>
      </c>
      <c r="G21">
        <v>0.25706622457140532</v>
      </c>
      <c r="H21">
        <v>0.2551059188134574</v>
      </c>
      <c r="I21">
        <v>0.25692619543857298</v>
      </c>
    </row>
    <row r="23" spans="1:9" x14ac:dyDescent="0.35">
      <c r="A23" t="s">
        <v>91</v>
      </c>
      <c r="B23" t="s">
        <v>73</v>
      </c>
      <c r="C23" t="s">
        <v>74</v>
      </c>
      <c r="D23" t="s">
        <v>75</v>
      </c>
      <c r="E23" t="s">
        <v>76</v>
      </c>
      <c r="F23" t="s">
        <v>77</v>
      </c>
      <c r="G23" t="s">
        <v>78</v>
      </c>
      <c r="H23" t="s">
        <v>79</v>
      </c>
      <c r="I23" t="s">
        <v>80</v>
      </c>
    </row>
    <row r="24" spans="1:9" x14ac:dyDescent="0.35">
      <c r="A24" t="s">
        <v>81</v>
      </c>
      <c r="B24">
        <v>141.59338832825401</v>
      </c>
      <c r="C24">
        <v>140.87523498246401</v>
      </c>
      <c r="D24">
        <v>140.75013884857131</v>
      </c>
      <c r="E24">
        <v>141.03059283821739</v>
      </c>
      <c r="F24">
        <v>141.28067299539441</v>
      </c>
      <c r="G24">
        <v>141.15557474694569</v>
      </c>
      <c r="H24">
        <v>141.2307175724647</v>
      </c>
      <c r="I24">
        <v>141.3701625705684</v>
      </c>
    </row>
    <row r="25" spans="1:9" x14ac:dyDescent="0.35">
      <c r="A25" t="s">
        <v>82</v>
      </c>
      <c r="B25">
        <v>3.3139753086057908</v>
      </c>
      <c r="C25">
        <v>3.0869912185548571</v>
      </c>
      <c r="D25">
        <v>2.8144285109200098</v>
      </c>
      <c r="E25">
        <v>3.1342108479526591</v>
      </c>
      <c r="F25">
        <v>3.272287902952058</v>
      </c>
      <c r="G25">
        <v>3.1019924443475868</v>
      </c>
      <c r="H25">
        <v>3.0250246562225129</v>
      </c>
      <c r="I25">
        <v>3.107482456851216</v>
      </c>
    </row>
    <row r="26" spans="1:9" x14ac:dyDescent="0.35">
      <c r="A26" t="s">
        <v>83</v>
      </c>
      <c r="B26">
        <v>3.825845743763177</v>
      </c>
      <c r="C26">
        <v>2.9712888877720829</v>
      </c>
      <c r="D26">
        <v>3.112682925539731</v>
      </c>
      <c r="E26">
        <v>3.5429628256446519</v>
      </c>
      <c r="F26">
        <v>4.6549579824181269</v>
      </c>
      <c r="G26">
        <v>4.2794999248956191</v>
      </c>
      <c r="H26">
        <v>3.9778500232312011</v>
      </c>
      <c r="I26">
        <v>3.9734665763604009</v>
      </c>
    </row>
    <row r="27" spans="1:9" x14ac:dyDescent="0.35">
      <c r="A27" t="s">
        <v>84</v>
      </c>
      <c r="B27">
        <v>5.1065572325564741</v>
      </c>
      <c r="C27">
        <v>5.348368772400943</v>
      </c>
      <c r="D27">
        <v>5.2222050672588232</v>
      </c>
      <c r="E27">
        <v>5.3888133378680134</v>
      </c>
      <c r="F27">
        <v>5.7781771322921891</v>
      </c>
      <c r="G27">
        <v>5.1683993416613312</v>
      </c>
      <c r="H27">
        <v>5.1585567209935652</v>
      </c>
      <c r="I27">
        <v>5.0591214653970429</v>
      </c>
    </row>
    <row r="28" spans="1:9" x14ac:dyDescent="0.35">
      <c r="A28" t="s">
        <v>85</v>
      </c>
      <c r="B28">
        <v>0.84333886093223343</v>
      </c>
      <c r="C28">
        <v>0.53073500551310959</v>
      </c>
      <c r="D28">
        <v>0.77593181295812108</v>
      </c>
      <c r="E28">
        <v>0.77150248380630726</v>
      </c>
      <c r="F28">
        <v>1.0975091700408679</v>
      </c>
      <c r="G28">
        <v>0.94639933251119401</v>
      </c>
      <c r="H28">
        <v>1.0247001432003939</v>
      </c>
      <c r="I28">
        <v>0.84109770273758666</v>
      </c>
    </row>
    <row r="29" spans="1:9" x14ac:dyDescent="0.35">
      <c r="A29" t="s">
        <v>86</v>
      </c>
      <c r="B29">
        <v>154.6831054741117</v>
      </c>
      <c r="C29">
        <v>152.81261886670501</v>
      </c>
      <c r="D29">
        <v>152.67538716524791</v>
      </c>
      <c r="E29">
        <v>153.86808233348901</v>
      </c>
      <c r="F29">
        <v>156.08360518309769</v>
      </c>
      <c r="G29">
        <v>154.65186579036151</v>
      </c>
      <c r="H29">
        <v>154.41684911611239</v>
      </c>
      <c r="I29">
        <v>154.35133077191469</v>
      </c>
    </row>
    <row r="30" spans="1:9" x14ac:dyDescent="0.35">
      <c r="A30" t="s">
        <v>87</v>
      </c>
      <c r="B30">
        <v>23856936.02</v>
      </c>
      <c r="C30">
        <v>30556521.399999999</v>
      </c>
      <c r="D30">
        <v>52672958.689999998</v>
      </c>
      <c r="E30">
        <v>41762647.719999999</v>
      </c>
      <c r="F30">
        <v>38774211.060000002</v>
      </c>
      <c r="G30">
        <v>38016709.469999999</v>
      </c>
      <c r="H30">
        <v>39889590.950000003</v>
      </c>
      <c r="I30">
        <v>32496240.109999999</v>
      </c>
    </row>
    <row r="31" spans="1:9" x14ac:dyDescent="0.35">
      <c r="A31" t="s">
        <v>88</v>
      </c>
      <c r="B31">
        <v>1.49186504497544</v>
      </c>
      <c r="C31">
        <v>1.4757229190136041</v>
      </c>
      <c r="D31">
        <v>1.4841011456865381</v>
      </c>
      <c r="E31">
        <v>1.473057079993527</v>
      </c>
      <c r="F31">
        <v>1.447877053921268</v>
      </c>
      <c r="G31">
        <v>1.4877032613726111</v>
      </c>
      <c r="H31">
        <v>1.488364085046836</v>
      </c>
      <c r="I31">
        <v>1.495073140230627</v>
      </c>
    </row>
    <row r="32" spans="1:9" x14ac:dyDescent="0.35">
      <c r="A32" t="s">
        <v>89</v>
      </c>
      <c r="B32">
        <v>0.23795230198668241</v>
      </c>
      <c r="C32">
        <v>0.24241807134981269</v>
      </c>
      <c r="D32">
        <v>0.23891525981488401</v>
      </c>
      <c r="E32">
        <v>0.23897853594562421</v>
      </c>
      <c r="F32">
        <v>0.23432129757084469</v>
      </c>
      <c r="G32">
        <v>0.2364800095355544</v>
      </c>
      <c r="H32">
        <v>0.23536142652570871</v>
      </c>
      <c r="I32">
        <v>0.23798431853232019</v>
      </c>
    </row>
    <row r="34" spans="1:9" x14ac:dyDescent="0.35">
      <c r="A34" t="s">
        <v>92</v>
      </c>
      <c r="B34" t="s">
        <v>73</v>
      </c>
      <c r="C34" t="s">
        <v>74</v>
      </c>
      <c r="D34" t="s">
        <v>75</v>
      </c>
      <c r="E34" t="s">
        <v>76</v>
      </c>
      <c r="F34" t="s">
        <v>77</v>
      </c>
      <c r="G34" t="s">
        <v>78</v>
      </c>
      <c r="H34" t="s">
        <v>79</v>
      </c>
      <c r="I34" t="s">
        <v>80</v>
      </c>
    </row>
    <row r="35" spans="1:9" x14ac:dyDescent="0.35">
      <c r="A35" t="s">
        <v>81</v>
      </c>
      <c r="B35">
        <v>140.9409057046129</v>
      </c>
      <c r="C35">
        <v>140.84270790057471</v>
      </c>
      <c r="D35">
        <v>141.11748587277279</v>
      </c>
      <c r="E35">
        <v>141.54083393714191</v>
      </c>
      <c r="F35">
        <v>141.70634236777059</v>
      </c>
      <c r="G35">
        <v>142.34249659097529</v>
      </c>
      <c r="H35">
        <v>142.27061346957851</v>
      </c>
      <c r="I35">
        <v>142.65909299107921</v>
      </c>
    </row>
    <row r="36" spans="1:9" x14ac:dyDescent="0.35">
      <c r="A36" t="s">
        <v>82</v>
      </c>
      <c r="B36">
        <v>2.6121039731811488</v>
      </c>
      <c r="C36">
        <v>2.3691895908261529</v>
      </c>
      <c r="D36">
        <v>2.1334741549736691</v>
      </c>
      <c r="E36">
        <v>2.357641958830953</v>
      </c>
      <c r="F36">
        <v>2.3124794131406361</v>
      </c>
      <c r="G36">
        <v>2.7329208294048328</v>
      </c>
      <c r="H36">
        <v>2.2580590581739561</v>
      </c>
      <c r="I36">
        <v>3.038372032779137</v>
      </c>
    </row>
    <row r="37" spans="1:9" x14ac:dyDescent="0.35">
      <c r="A37" t="s">
        <v>83</v>
      </c>
      <c r="B37">
        <v>1.569689950269705</v>
      </c>
      <c r="C37">
        <v>1.261058400107711</v>
      </c>
      <c r="D37">
        <v>0.83197538393644832</v>
      </c>
      <c r="E37">
        <v>0.52476849957378469</v>
      </c>
      <c r="F37">
        <v>0.53278866678798653</v>
      </c>
      <c r="G37">
        <v>0.1044359927249761</v>
      </c>
      <c r="H37">
        <v>-0.26903844112648972</v>
      </c>
      <c r="I37">
        <v>0.41288373022548719</v>
      </c>
    </row>
    <row r="38" spans="1:9" x14ac:dyDescent="0.35">
      <c r="A38" t="s">
        <v>84</v>
      </c>
      <c r="B38">
        <v>-0.46516191165052678</v>
      </c>
      <c r="C38">
        <v>-8.4071442165095656E-3</v>
      </c>
      <c r="D38">
        <v>-0.23226848632134139</v>
      </c>
      <c r="E38">
        <v>-0.49702664339924019</v>
      </c>
      <c r="F38">
        <v>-0.28875864469415252</v>
      </c>
      <c r="G38">
        <v>-0.27323098262846202</v>
      </c>
      <c r="H38">
        <v>-0.78884759560841544</v>
      </c>
      <c r="I38">
        <v>-0.48636630139455278</v>
      </c>
    </row>
    <row r="39" spans="1:9" x14ac:dyDescent="0.35">
      <c r="A39" t="s">
        <v>85</v>
      </c>
      <c r="B39">
        <v>-0.57764165419783187</v>
      </c>
      <c r="C39">
        <v>-0.48232709439872867</v>
      </c>
      <c r="D39">
        <v>-0.29466180402655862</v>
      </c>
      <c r="E39">
        <v>-0.17645223111772471</v>
      </c>
      <c r="F39">
        <v>-0.44047773754926822</v>
      </c>
      <c r="G39">
        <v>-0.29349783849776567</v>
      </c>
      <c r="H39">
        <v>-0.5019929368126208</v>
      </c>
      <c r="I39">
        <v>-0.61895154870917368</v>
      </c>
    </row>
    <row r="40" spans="1:9" x14ac:dyDescent="0.35">
      <c r="A40" t="s">
        <v>86</v>
      </c>
      <c r="B40">
        <v>144.0798960622154</v>
      </c>
      <c r="C40">
        <v>143.98222165289329</v>
      </c>
      <c r="D40">
        <v>143.55600512133489</v>
      </c>
      <c r="E40">
        <v>143.7497655210297</v>
      </c>
      <c r="F40">
        <v>143.82237406545579</v>
      </c>
      <c r="G40">
        <v>144.6131245919789</v>
      </c>
      <c r="H40">
        <v>142.96879355420489</v>
      </c>
      <c r="I40">
        <v>145.0050309039801</v>
      </c>
    </row>
    <row r="41" spans="1:9" x14ac:dyDescent="0.35">
      <c r="A41" t="s">
        <v>87</v>
      </c>
      <c r="B41">
        <v>12367358.27</v>
      </c>
      <c r="C41">
        <v>19125484.43</v>
      </c>
      <c r="D41">
        <v>30391573.989999998</v>
      </c>
      <c r="E41">
        <v>20947460.09</v>
      </c>
      <c r="F41">
        <v>17281542.120000001</v>
      </c>
      <c r="G41">
        <v>14943408.119999999</v>
      </c>
      <c r="H41">
        <v>14633499.640000001</v>
      </c>
      <c r="I41">
        <v>9464303.0600000005</v>
      </c>
    </row>
    <row r="42" spans="1:9" x14ac:dyDescent="0.35">
      <c r="A42" t="s">
        <v>88</v>
      </c>
      <c r="B42">
        <v>1.4907917373178581</v>
      </c>
      <c r="C42">
        <v>1.4507174347465479</v>
      </c>
      <c r="D42">
        <v>1.4700855616569961</v>
      </c>
      <c r="E42">
        <v>1.493670229440238</v>
      </c>
      <c r="F42">
        <v>1.475054992977741</v>
      </c>
      <c r="G42">
        <v>1.4736856815802151</v>
      </c>
      <c r="H42">
        <v>1.520558155589379</v>
      </c>
      <c r="I42">
        <v>1.492705993719702</v>
      </c>
    </row>
    <row r="43" spans="1:9" x14ac:dyDescent="0.35">
      <c r="A43" t="s">
        <v>89</v>
      </c>
      <c r="B43">
        <v>0.24325202363139761</v>
      </c>
      <c r="C43">
        <v>0.241890387062839</v>
      </c>
      <c r="D43">
        <v>0.23920945434323651</v>
      </c>
      <c r="E43">
        <v>0.2375207461588246</v>
      </c>
      <c r="F43">
        <v>0.2412925391078467</v>
      </c>
      <c r="G43">
        <v>0.23919282626425381</v>
      </c>
      <c r="H43">
        <v>0.24217132766875171</v>
      </c>
      <c r="I43">
        <v>0.24384216498155961</v>
      </c>
    </row>
    <row r="45" spans="1:9" x14ac:dyDescent="0.35">
      <c r="A45" t="s">
        <v>93</v>
      </c>
      <c r="B45" t="s">
        <v>73</v>
      </c>
      <c r="C45" t="s">
        <v>74</v>
      </c>
      <c r="D45" t="s">
        <v>75</v>
      </c>
      <c r="E45" t="s">
        <v>76</v>
      </c>
      <c r="F45" t="s">
        <v>77</v>
      </c>
      <c r="G45" t="s">
        <v>78</v>
      </c>
      <c r="H45" t="s">
        <v>79</v>
      </c>
      <c r="I45" t="s">
        <v>80</v>
      </c>
    </row>
    <row r="46" spans="1:9" x14ac:dyDescent="0.35">
      <c r="A46" t="s">
        <v>81</v>
      </c>
      <c r="B46">
        <v>139.5511416970518</v>
      </c>
      <c r="C46">
        <v>139.650374971064</v>
      </c>
      <c r="D46">
        <v>140.14787275293409</v>
      </c>
      <c r="E46">
        <v>140.4932955574796</v>
      </c>
      <c r="F46">
        <v>141.8914668568255</v>
      </c>
      <c r="G46">
        <v>144.0745300312725</v>
      </c>
      <c r="H46">
        <v>144.7910778711163</v>
      </c>
      <c r="I46">
        <v>145.49291528897339</v>
      </c>
    </row>
    <row r="47" spans="1:9" x14ac:dyDescent="0.35">
      <c r="A47" t="s">
        <v>82</v>
      </c>
      <c r="B47">
        <v>1.4694863103051721</v>
      </c>
      <c r="C47">
        <v>1.233130597636688</v>
      </c>
      <c r="D47">
        <v>0.57640088741109707</v>
      </c>
      <c r="E47">
        <v>0.60625079185169284</v>
      </c>
      <c r="F47">
        <v>0.44774557167454532</v>
      </c>
      <c r="G47">
        <v>0.41410929300525368</v>
      </c>
      <c r="H47">
        <v>0.45414406432951182</v>
      </c>
      <c r="I47">
        <v>0.42831920173276222</v>
      </c>
    </row>
    <row r="48" spans="1:9" x14ac:dyDescent="0.35">
      <c r="A48" t="s">
        <v>83</v>
      </c>
      <c r="B48">
        <v>2.872934593181375</v>
      </c>
      <c r="C48">
        <v>3.2110766744721522</v>
      </c>
      <c r="D48">
        <v>2.8139128895943899</v>
      </c>
      <c r="E48">
        <v>2.1979391532463719</v>
      </c>
      <c r="F48">
        <v>1.139708091584434</v>
      </c>
      <c r="G48">
        <v>0.54957422380212639</v>
      </c>
      <c r="H48">
        <v>-0.32756820899011779</v>
      </c>
      <c r="I48">
        <v>-1.2426404199348331</v>
      </c>
    </row>
    <row r="49" spans="1:9" x14ac:dyDescent="0.35">
      <c r="A49" t="s">
        <v>84</v>
      </c>
      <c r="B49">
        <v>1.2385118029466959</v>
      </c>
      <c r="C49">
        <v>1.361783728161249</v>
      </c>
      <c r="D49">
        <v>1.7799351911762651</v>
      </c>
      <c r="E49">
        <v>1.8690893114138909</v>
      </c>
      <c r="F49">
        <v>1.9610776214876959</v>
      </c>
      <c r="G49">
        <v>1.47355463489293</v>
      </c>
      <c r="H49">
        <v>1.3475160918740201</v>
      </c>
      <c r="I49">
        <v>1.5885026214836619</v>
      </c>
    </row>
    <row r="50" spans="1:9" x14ac:dyDescent="0.35">
      <c r="A50" t="s">
        <v>85</v>
      </c>
      <c r="B50">
        <v>-0.10613986551781859</v>
      </c>
      <c r="C50">
        <v>-0.2022881484111963</v>
      </c>
      <c r="D50">
        <v>-0.16327198012711819</v>
      </c>
      <c r="E50">
        <v>-0.1012741240132778</v>
      </c>
      <c r="F50">
        <v>-7.0917937077017434E-2</v>
      </c>
      <c r="G50">
        <v>-0.11307278217767699</v>
      </c>
      <c r="H50">
        <v>-0.36425744801673771</v>
      </c>
      <c r="I50">
        <v>-0.41092945831694122</v>
      </c>
    </row>
    <row r="51" spans="1:9" x14ac:dyDescent="0.35">
      <c r="A51" t="s">
        <v>86</v>
      </c>
      <c r="B51">
        <v>145.0259345379672</v>
      </c>
      <c r="C51">
        <v>145.25407782292291</v>
      </c>
      <c r="D51">
        <v>145.15484974098871</v>
      </c>
      <c r="E51">
        <v>145.06530068997819</v>
      </c>
      <c r="F51">
        <v>145.36908020449519</v>
      </c>
      <c r="G51">
        <v>146.39869540079519</v>
      </c>
      <c r="H51">
        <v>145.90091237031299</v>
      </c>
      <c r="I51">
        <v>145.85616723393809</v>
      </c>
    </row>
    <row r="52" spans="1:9" x14ac:dyDescent="0.35">
      <c r="A52" t="s">
        <v>87</v>
      </c>
      <c r="B52">
        <v>27176409.02</v>
      </c>
      <c r="C52">
        <v>26545115.27</v>
      </c>
      <c r="D52">
        <v>42828165.989999987</v>
      </c>
      <c r="E52">
        <v>26319309.84</v>
      </c>
      <c r="F52">
        <v>17392589.59</v>
      </c>
      <c r="G52">
        <v>16770443.52</v>
      </c>
      <c r="H52">
        <v>15961965.34</v>
      </c>
      <c r="I52">
        <v>13377000.789999999</v>
      </c>
    </row>
    <row r="53" spans="1:9" x14ac:dyDescent="0.35">
      <c r="A53" t="s">
        <v>88</v>
      </c>
      <c r="B53">
        <v>1.3515357100581771</v>
      </c>
      <c r="C53">
        <v>1.3424621684327209</v>
      </c>
      <c r="D53">
        <v>1.31257108978639</v>
      </c>
      <c r="E53">
        <v>1.3063693532410829</v>
      </c>
      <c r="F53">
        <v>1.300031595887003</v>
      </c>
      <c r="G53">
        <v>1.3343398434777121</v>
      </c>
      <c r="H53">
        <v>1.3435061114848841</v>
      </c>
      <c r="I53">
        <v>1.3260885237475111</v>
      </c>
    </row>
    <row r="54" spans="1:9" x14ac:dyDescent="0.35">
      <c r="A54" t="s">
        <v>89</v>
      </c>
      <c r="B54">
        <v>0.23651628379311171</v>
      </c>
      <c r="C54">
        <v>0.23788983069158851</v>
      </c>
      <c r="D54">
        <v>0.23733245685895879</v>
      </c>
      <c r="E54">
        <v>0.2364467732001897</v>
      </c>
      <c r="F54">
        <v>0.23601311338681449</v>
      </c>
      <c r="G54">
        <v>0.23661532545968109</v>
      </c>
      <c r="H54">
        <v>0.2402036778288105</v>
      </c>
      <c r="I54">
        <v>0.24087042083309909</v>
      </c>
    </row>
    <row r="56" spans="1:9" x14ac:dyDescent="0.35">
      <c r="A56" t="s">
        <v>94</v>
      </c>
      <c r="B56" t="s">
        <v>73</v>
      </c>
      <c r="C56" t="s">
        <v>74</v>
      </c>
      <c r="D56" t="s">
        <v>75</v>
      </c>
      <c r="E56" t="s">
        <v>76</v>
      </c>
      <c r="F56" t="s">
        <v>77</v>
      </c>
      <c r="G56" t="s">
        <v>78</v>
      </c>
      <c r="H56" t="s">
        <v>79</v>
      </c>
      <c r="I56" t="s">
        <v>80</v>
      </c>
    </row>
    <row r="57" spans="1:9" x14ac:dyDescent="0.35">
      <c r="A57" t="s">
        <v>81</v>
      </c>
      <c r="B57">
        <v>141.74660826253341</v>
      </c>
      <c r="C57">
        <v>142.07628750630369</v>
      </c>
      <c r="D57">
        <v>142.44616016064541</v>
      </c>
      <c r="E57">
        <v>142.9128287488243</v>
      </c>
      <c r="F57">
        <v>142.98220859294011</v>
      </c>
      <c r="G57">
        <v>142.94548344593511</v>
      </c>
      <c r="H57">
        <v>143.2970837804919</v>
      </c>
      <c r="I57">
        <v>143.90334413698079</v>
      </c>
    </row>
    <row r="58" spans="1:9" x14ac:dyDescent="0.35">
      <c r="A58" t="s">
        <v>82</v>
      </c>
      <c r="B58">
        <v>0.76193948278242374</v>
      </c>
      <c r="C58">
        <v>0.28600027407455292</v>
      </c>
      <c r="D58">
        <v>0.1512296023767021</v>
      </c>
      <c r="E58">
        <v>0.41868229923724698</v>
      </c>
      <c r="F58">
        <v>0.35780871215408178</v>
      </c>
      <c r="G58">
        <v>0.16021212930789369</v>
      </c>
      <c r="H58">
        <v>0.26803249553825031</v>
      </c>
      <c r="I58">
        <v>0.44533569738612749</v>
      </c>
    </row>
    <row r="59" spans="1:9" x14ac:dyDescent="0.35">
      <c r="A59" t="s">
        <v>83</v>
      </c>
      <c r="B59">
        <v>0.98358686972403908</v>
      </c>
      <c r="C59">
        <v>0.68972817601919667</v>
      </c>
      <c r="D59">
        <v>0.81194154564986154</v>
      </c>
      <c r="E59">
        <v>1.165945575396155</v>
      </c>
      <c r="F59">
        <v>1.10843986090878</v>
      </c>
      <c r="G59">
        <v>0.57516893701601735</v>
      </c>
      <c r="H59">
        <v>0.74446399540991481</v>
      </c>
      <c r="I59">
        <v>0.8728323107708682</v>
      </c>
    </row>
    <row r="60" spans="1:9" x14ac:dyDescent="0.35">
      <c r="A60" t="s">
        <v>84</v>
      </c>
      <c r="B60">
        <v>0.44021489437537947</v>
      </c>
      <c r="C60">
        <v>0.56148115468605786</v>
      </c>
      <c r="D60">
        <v>0.44007291127527071</v>
      </c>
      <c r="E60">
        <v>0.50463724677118249</v>
      </c>
      <c r="F60">
        <v>1.259027035220303</v>
      </c>
      <c r="G60">
        <v>1.4621636923618999</v>
      </c>
      <c r="H60">
        <v>1.5308707652763209</v>
      </c>
      <c r="I60">
        <v>1.1168702236193819</v>
      </c>
    </row>
    <row r="61" spans="1:9" x14ac:dyDescent="0.35">
      <c r="A61" t="s">
        <v>85</v>
      </c>
      <c r="B61">
        <v>0.25361585046056367</v>
      </c>
      <c r="C61">
        <v>0.45468182299286691</v>
      </c>
      <c r="D61">
        <v>0.60737728482435294</v>
      </c>
      <c r="E61">
        <v>0.64910294188634854</v>
      </c>
      <c r="F61">
        <v>0.71842068777993717</v>
      </c>
      <c r="G61">
        <v>0.72621559499010435</v>
      </c>
      <c r="H61">
        <v>0.92298615133907713</v>
      </c>
      <c r="I61">
        <v>1.061401862606024</v>
      </c>
    </row>
    <row r="62" spans="1:9" x14ac:dyDescent="0.35">
      <c r="A62" t="s">
        <v>86</v>
      </c>
      <c r="B62">
        <v>144.18596535987581</v>
      </c>
      <c r="C62">
        <v>144.06817893407629</v>
      </c>
      <c r="D62">
        <v>144.45678150477161</v>
      </c>
      <c r="E62">
        <v>145.65119681211519</v>
      </c>
      <c r="F62">
        <v>146.42590488900319</v>
      </c>
      <c r="G62">
        <v>145.86924379961101</v>
      </c>
      <c r="H62">
        <v>146.76343718805541</v>
      </c>
      <c r="I62">
        <v>147.39978423136321</v>
      </c>
    </row>
    <row r="63" spans="1:9" x14ac:dyDescent="0.35">
      <c r="A63" t="s">
        <v>87</v>
      </c>
      <c r="B63">
        <v>134109345.7</v>
      </c>
      <c r="C63">
        <v>168225192.22999999</v>
      </c>
      <c r="D63">
        <v>257311736.72999999</v>
      </c>
      <c r="E63">
        <v>157463836.25</v>
      </c>
      <c r="F63">
        <v>158650736.91999999</v>
      </c>
      <c r="G63">
        <v>168080497.08000001</v>
      </c>
      <c r="H63">
        <v>164648763.87</v>
      </c>
      <c r="I63">
        <v>155636565.25</v>
      </c>
    </row>
    <row r="64" spans="1:9" x14ac:dyDescent="0.35">
      <c r="A64" t="s">
        <v>88</v>
      </c>
      <c r="B64">
        <v>1.563680526611273</v>
      </c>
      <c r="C64">
        <v>1.556582665237805</v>
      </c>
      <c r="D64">
        <v>1.563688874993781</v>
      </c>
      <c r="E64">
        <v>1.5599017678422169</v>
      </c>
      <c r="F64">
        <v>1.516973981450485</v>
      </c>
      <c r="G64">
        <v>1.505815489500391</v>
      </c>
      <c r="H64">
        <v>1.5020784032612571</v>
      </c>
      <c r="I64">
        <v>1.5248816646040799</v>
      </c>
    </row>
    <row r="65" spans="1:9" x14ac:dyDescent="0.35">
      <c r="A65" t="s">
        <v>89</v>
      </c>
      <c r="B65">
        <v>0.24764499567429479</v>
      </c>
      <c r="C65">
        <v>0.24577795450078049</v>
      </c>
      <c r="D65">
        <v>0.24436006806948821</v>
      </c>
      <c r="E65">
        <v>0.24397261553962679</v>
      </c>
      <c r="F65">
        <v>0.24332895075632921</v>
      </c>
      <c r="G65">
        <v>0.24325656947509189</v>
      </c>
      <c r="H65">
        <v>0.24142941430899431</v>
      </c>
      <c r="I65">
        <v>0.24014412556151549</v>
      </c>
    </row>
    <row r="67" spans="1:9" x14ac:dyDescent="0.35">
      <c r="A67" t="s">
        <v>95</v>
      </c>
      <c r="B67" t="s">
        <v>73</v>
      </c>
      <c r="C67" t="s">
        <v>74</v>
      </c>
      <c r="D67" t="s">
        <v>75</v>
      </c>
      <c r="E67" t="s">
        <v>76</v>
      </c>
      <c r="F67" t="s">
        <v>77</v>
      </c>
      <c r="G67" t="s">
        <v>78</v>
      </c>
      <c r="H67" t="s">
        <v>79</v>
      </c>
      <c r="I67" t="s">
        <v>80</v>
      </c>
    </row>
    <row r="68" spans="1:9" x14ac:dyDescent="0.35">
      <c r="A68" t="s">
        <v>81</v>
      </c>
      <c r="B68">
        <v>141.81722021838129</v>
      </c>
      <c r="C68">
        <v>141.57652185724899</v>
      </c>
      <c r="D68">
        <v>141.61142385022259</v>
      </c>
      <c r="E68">
        <v>141.94882360833191</v>
      </c>
      <c r="F68">
        <v>141.95372454480619</v>
      </c>
      <c r="G68">
        <v>142.16157055715379</v>
      </c>
      <c r="H68">
        <v>142.20160827085991</v>
      </c>
      <c r="I68">
        <v>142.4682346528848</v>
      </c>
    </row>
    <row r="69" spans="1:9" x14ac:dyDescent="0.35">
      <c r="A69" t="s">
        <v>82</v>
      </c>
      <c r="B69">
        <v>3.0398947673624641</v>
      </c>
      <c r="C69">
        <v>2.7292825250798418</v>
      </c>
      <c r="D69">
        <v>2.6317028101813862</v>
      </c>
      <c r="E69">
        <v>2.9003080656525841</v>
      </c>
      <c r="F69">
        <v>3.0898790804844372</v>
      </c>
      <c r="G69">
        <v>3.0304474609176779</v>
      </c>
      <c r="H69">
        <v>3.0835101461143788</v>
      </c>
      <c r="I69">
        <v>3.107574788807419</v>
      </c>
    </row>
    <row r="70" spans="1:9" x14ac:dyDescent="0.35">
      <c r="A70" t="s">
        <v>83</v>
      </c>
      <c r="B70">
        <v>3.298331187288932</v>
      </c>
      <c r="C70">
        <v>2.4283441091896538</v>
      </c>
      <c r="D70">
        <v>2.1682547215376129</v>
      </c>
      <c r="E70">
        <v>2.541519538779907</v>
      </c>
      <c r="F70">
        <v>3.3840666306693219</v>
      </c>
      <c r="G70">
        <v>2.942865868603028</v>
      </c>
      <c r="H70">
        <v>2.8890636588002021</v>
      </c>
      <c r="I70">
        <v>3.1759799806214728</v>
      </c>
    </row>
    <row r="71" spans="1:9" x14ac:dyDescent="0.35">
      <c r="A71" t="s">
        <v>84</v>
      </c>
      <c r="B71">
        <v>4.2910235985035037</v>
      </c>
      <c r="C71">
        <v>4.0223818405544858</v>
      </c>
      <c r="D71">
        <v>4.1406720178722933</v>
      </c>
      <c r="E71">
        <v>4.17339365360976</v>
      </c>
      <c r="F71">
        <v>4.5005078062633697</v>
      </c>
      <c r="G71">
        <v>4.2332582902855558</v>
      </c>
      <c r="H71">
        <v>4.1470234490833988</v>
      </c>
      <c r="I71">
        <v>4.2171265997610803</v>
      </c>
    </row>
    <row r="72" spans="1:9" x14ac:dyDescent="0.35">
      <c r="A72" t="s">
        <v>85</v>
      </c>
      <c r="B72">
        <v>7.1163505094840374E-2</v>
      </c>
      <c r="C72">
        <v>-6.1301735583269991E-2</v>
      </c>
      <c r="D72">
        <v>0.1120920194193312</v>
      </c>
      <c r="E72">
        <v>0.19767819518399171</v>
      </c>
      <c r="F72">
        <v>0.38682261920950278</v>
      </c>
      <c r="G72">
        <v>0.3269762216441634</v>
      </c>
      <c r="H72">
        <v>0.47675855289577063</v>
      </c>
      <c r="I72">
        <v>0.27740863429466439</v>
      </c>
    </row>
    <row r="73" spans="1:9" x14ac:dyDescent="0.35">
      <c r="A73" t="s">
        <v>86</v>
      </c>
      <c r="B73">
        <v>152.51763327663099</v>
      </c>
      <c r="C73">
        <v>150.69522859648961</v>
      </c>
      <c r="D73">
        <v>150.66414541923331</v>
      </c>
      <c r="E73">
        <v>151.76172306155809</v>
      </c>
      <c r="F73">
        <v>153.31500068143279</v>
      </c>
      <c r="G73">
        <v>152.69511839860419</v>
      </c>
      <c r="H73">
        <v>152.7979640777537</v>
      </c>
      <c r="I73">
        <v>153.2463246563695</v>
      </c>
    </row>
    <row r="74" spans="1:9" x14ac:dyDescent="0.35">
      <c r="A74" t="s">
        <v>87</v>
      </c>
      <c r="B74">
        <v>85699928.189999998</v>
      </c>
      <c r="C74">
        <v>110671926.22</v>
      </c>
      <c r="D74">
        <v>187914945.84</v>
      </c>
      <c r="E74">
        <v>145921511.31</v>
      </c>
      <c r="F74">
        <v>136919522.56</v>
      </c>
      <c r="G74">
        <v>127772810.31</v>
      </c>
      <c r="H74">
        <v>124726353.59</v>
      </c>
      <c r="I74">
        <v>99267215.38000001</v>
      </c>
    </row>
    <row r="75" spans="1:9" x14ac:dyDescent="0.35">
      <c r="A75" t="s">
        <v>88</v>
      </c>
      <c r="B75">
        <v>1.4934960570269411</v>
      </c>
      <c r="C75">
        <v>1.4987905117826901</v>
      </c>
      <c r="D75">
        <v>1.4955012700068839</v>
      </c>
      <c r="E75">
        <v>1.5017651239555561</v>
      </c>
      <c r="F75">
        <v>1.4852095874906781</v>
      </c>
      <c r="G75">
        <v>1.5068426536507891</v>
      </c>
      <c r="H75">
        <v>1.513841430744403</v>
      </c>
      <c r="I75">
        <v>1.5169591030526759</v>
      </c>
    </row>
    <row r="76" spans="1:9" x14ac:dyDescent="0.35">
      <c r="A76" t="s">
        <v>89</v>
      </c>
      <c r="B76">
        <v>0.24681872821283959</v>
      </c>
      <c r="C76">
        <v>0.248283552639636</v>
      </c>
      <c r="D76">
        <v>0.24597272826878619</v>
      </c>
      <c r="E76">
        <v>0.24502273187508569</v>
      </c>
      <c r="F76">
        <v>0.24258071078813959</v>
      </c>
      <c r="G76">
        <v>0.2435746167491023</v>
      </c>
      <c r="H76">
        <v>0.24142929091066559</v>
      </c>
      <c r="I76">
        <v>0.24460689431358959</v>
      </c>
    </row>
    <row r="78" spans="1:9" x14ac:dyDescent="0.35">
      <c r="A78" t="s">
        <v>96</v>
      </c>
      <c r="B78" t="s">
        <v>73</v>
      </c>
      <c r="C78" t="s">
        <v>74</v>
      </c>
      <c r="D78" t="s">
        <v>75</v>
      </c>
      <c r="E78" t="s">
        <v>76</v>
      </c>
      <c r="F78" t="s">
        <v>77</v>
      </c>
      <c r="G78" t="s">
        <v>78</v>
      </c>
      <c r="H78" t="s">
        <v>79</v>
      </c>
      <c r="I78" t="s">
        <v>80</v>
      </c>
    </row>
    <row r="79" spans="1:9" x14ac:dyDescent="0.35">
      <c r="A79" t="s">
        <v>81</v>
      </c>
      <c r="B79">
        <v>141.2716330892338</v>
      </c>
      <c r="C79">
        <v>141.20390202398681</v>
      </c>
      <c r="D79">
        <v>141.33977453062909</v>
      </c>
      <c r="E79">
        <v>141.72641121215651</v>
      </c>
      <c r="F79">
        <v>141.94670745197541</v>
      </c>
      <c r="G79">
        <v>142.38351919859289</v>
      </c>
      <c r="H79">
        <v>142.4953997122719</v>
      </c>
      <c r="I79">
        <v>142.82742890745169</v>
      </c>
    </row>
    <row r="80" spans="1:9" x14ac:dyDescent="0.35">
      <c r="A80" t="s">
        <v>82</v>
      </c>
      <c r="B80">
        <v>2.6617990246023502</v>
      </c>
      <c r="C80">
        <v>2.4398467163482742</v>
      </c>
      <c r="D80">
        <v>2.2502187814281269</v>
      </c>
      <c r="E80">
        <v>2.549763962479215</v>
      </c>
      <c r="F80">
        <v>2.7920829896886108</v>
      </c>
      <c r="G80">
        <v>2.7268902189740292</v>
      </c>
      <c r="H80">
        <v>2.7851922005818581</v>
      </c>
      <c r="I80">
        <v>2.7894012924352651</v>
      </c>
    </row>
    <row r="81" spans="1:9" x14ac:dyDescent="0.35">
      <c r="A81" t="s">
        <v>83</v>
      </c>
      <c r="B81">
        <v>3.1959115648691001</v>
      </c>
      <c r="C81">
        <v>2.579766454004754</v>
      </c>
      <c r="D81">
        <v>2.2880951578350479</v>
      </c>
      <c r="E81">
        <v>2.4890186359078261</v>
      </c>
      <c r="F81">
        <v>3.13110394083736</v>
      </c>
      <c r="G81">
        <v>2.665187310161091</v>
      </c>
      <c r="H81">
        <v>2.5241167550650401</v>
      </c>
      <c r="I81">
        <v>2.6512491901852591</v>
      </c>
    </row>
    <row r="82" spans="1:9" x14ac:dyDescent="0.35">
      <c r="A82" t="s">
        <v>84</v>
      </c>
      <c r="B82">
        <v>3.55609268964445</v>
      </c>
      <c r="C82">
        <v>3.5076798559196551</v>
      </c>
      <c r="D82">
        <v>3.702496299990266</v>
      </c>
      <c r="E82">
        <v>3.8212837441064029</v>
      </c>
      <c r="F82">
        <v>4.2142874546598081</v>
      </c>
      <c r="G82">
        <v>3.9130672536348099</v>
      </c>
      <c r="H82">
        <v>3.8294019169995259</v>
      </c>
      <c r="I82">
        <v>3.9049658317287239</v>
      </c>
    </row>
    <row r="83" spans="1:9" x14ac:dyDescent="0.35">
      <c r="A83" t="s">
        <v>85</v>
      </c>
      <c r="B83">
        <v>2.8475471096804261E-2</v>
      </c>
      <c r="C83">
        <v>-8.8576048885629394E-2</v>
      </c>
      <c r="D83">
        <v>6.0981782642536959E-2</v>
      </c>
      <c r="E83">
        <v>0.15199669724520001</v>
      </c>
      <c r="F83">
        <v>0.33523046922680461</v>
      </c>
      <c r="G83">
        <v>0.27592010681983559</v>
      </c>
      <c r="H83">
        <v>0.38134005362697088</v>
      </c>
      <c r="I83">
        <v>0.1956654297012195</v>
      </c>
    </row>
    <row r="84" spans="1:9" x14ac:dyDescent="0.35">
      <c r="A84" t="s">
        <v>86</v>
      </c>
      <c r="B84">
        <v>150.7139118394465</v>
      </c>
      <c r="C84">
        <v>149.64261900137379</v>
      </c>
      <c r="D84">
        <v>149.64156655252509</v>
      </c>
      <c r="E84">
        <v>150.7384742518951</v>
      </c>
      <c r="F84">
        <v>152.41941230638801</v>
      </c>
      <c r="G84">
        <v>151.9645840881827</v>
      </c>
      <c r="H84">
        <v>152.0154506385453</v>
      </c>
      <c r="I84">
        <v>152.3687106515022</v>
      </c>
    </row>
    <row r="85" spans="1:9" x14ac:dyDescent="0.35">
      <c r="A85" t="s">
        <v>87</v>
      </c>
      <c r="B85">
        <v>112876337.20999999</v>
      </c>
      <c r="C85">
        <v>137217041.49000001</v>
      </c>
      <c r="D85">
        <v>230743111.83000001</v>
      </c>
      <c r="E85">
        <v>172240821.15000001</v>
      </c>
      <c r="F85">
        <v>154312112.15000001</v>
      </c>
      <c r="G85">
        <v>144543253.83000001</v>
      </c>
      <c r="H85">
        <v>140688318.93000001</v>
      </c>
      <c r="I85">
        <v>112644216.17</v>
      </c>
    </row>
    <row r="86" spans="1:9" x14ac:dyDescent="0.35">
      <c r="A86" t="s">
        <v>88</v>
      </c>
      <c r="B86">
        <v>1.4593173039844261</v>
      </c>
      <c r="C86">
        <v>1.4685482485103429</v>
      </c>
      <c r="D86">
        <v>1.461547649199187</v>
      </c>
      <c r="E86">
        <v>1.4719076151691739</v>
      </c>
      <c r="F86">
        <v>1.4643380903399399</v>
      </c>
      <c r="G86">
        <v>1.4868282388760159</v>
      </c>
      <c r="H86">
        <v>1.4945158287123601</v>
      </c>
      <c r="I86">
        <v>1.494292374329564</v>
      </c>
    </row>
    <row r="87" spans="1:9" x14ac:dyDescent="0.35">
      <c r="A87" t="s">
        <v>89</v>
      </c>
      <c r="B87">
        <v>0.24433828412352221</v>
      </c>
      <c r="C87">
        <v>0.2462728508769445</v>
      </c>
      <c r="D87">
        <v>0.24436900985134821</v>
      </c>
      <c r="E87">
        <v>0.24371227996227779</v>
      </c>
      <c r="F87">
        <v>0.24184047384495941</v>
      </c>
      <c r="G87">
        <v>0.242767174005038</v>
      </c>
      <c r="H87">
        <v>0.24129023747906861</v>
      </c>
      <c r="I87">
        <v>0.24416317149851929</v>
      </c>
    </row>
    <row r="89" spans="1:9" x14ac:dyDescent="0.35">
      <c r="A89" t="s">
        <v>97</v>
      </c>
      <c r="B89" t="s">
        <v>73</v>
      </c>
      <c r="C89" t="s">
        <v>74</v>
      </c>
      <c r="D89" t="s">
        <v>75</v>
      </c>
      <c r="E89" t="s">
        <v>76</v>
      </c>
      <c r="F89" t="s">
        <v>77</v>
      </c>
      <c r="G89" t="s">
        <v>78</v>
      </c>
      <c r="H89" t="s">
        <v>79</v>
      </c>
      <c r="I89" t="s">
        <v>80</v>
      </c>
    </row>
    <row r="90" spans="1:9" x14ac:dyDescent="0.35">
      <c r="A90" t="s">
        <v>81</v>
      </c>
      <c r="B90">
        <v>141.5295371465235</v>
      </c>
      <c r="C90">
        <v>141.68437655979039</v>
      </c>
      <c r="D90">
        <v>141.9230819371482</v>
      </c>
      <c r="E90">
        <v>142.29303304331651</v>
      </c>
      <c r="F90">
        <v>142.47163563301589</v>
      </c>
      <c r="G90">
        <v>142.6856562875362</v>
      </c>
      <c r="H90">
        <v>142.92769666630139</v>
      </c>
      <c r="I90">
        <v>143.45159493953861</v>
      </c>
    </row>
    <row r="91" spans="1:9" x14ac:dyDescent="0.35">
      <c r="A91" t="s">
        <v>82</v>
      </c>
      <c r="B91">
        <v>1.630205139995623</v>
      </c>
      <c r="C91">
        <v>1.2535954655878809</v>
      </c>
      <c r="D91">
        <v>1.1435920311095069</v>
      </c>
      <c r="E91">
        <v>1.5319794498115731</v>
      </c>
      <c r="F91">
        <v>1.558072597899671</v>
      </c>
      <c r="G91">
        <v>1.3469293941817211</v>
      </c>
      <c r="H91">
        <v>1.427848932288853</v>
      </c>
      <c r="I91">
        <v>1.4295486932175561</v>
      </c>
    </row>
    <row r="92" spans="1:9" x14ac:dyDescent="0.35">
      <c r="A92" t="s">
        <v>83</v>
      </c>
      <c r="B92">
        <v>1.994654010802821</v>
      </c>
      <c r="C92">
        <v>1.5388100388953549</v>
      </c>
      <c r="D92">
        <v>1.5098390852802479</v>
      </c>
      <c r="E92">
        <v>1.8571314148109119</v>
      </c>
      <c r="F92">
        <v>2.1057517376098511</v>
      </c>
      <c r="G92">
        <v>1.541500046982905</v>
      </c>
      <c r="H92">
        <v>1.5644638222865439</v>
      </c>
      <c r="I92">
        <v>1.619543925165313</v>
      </c>
    </row>
    <row r="93" spans="1:9" x14ac:dyDescent="0.35">
      <c r="A93" t="s">
        <v>84</v>
      </c>
      <c r="B93">
        <v>1.8642199969387669</v>
      </c>
      <c r="C93">
        <v>1.885033122275285</v>
      </c>
      <c r="D93">
        <v>1.982485054173031</v>
      </c>
      <c r="E93">
        <v>2.2372846429898861</v>
      </c>
      <c r="F93">
        <v>2.716172759168531</v>
      </c>
      <c r="G93">
        <v>2.595351988320604</v>
      </c>
      <c r="H93">
        <v>2.589951047234706</v>
      </c>
      <c r="I93">
        <v>2.28752002835073</v>
      </c>
    </row>
    <row r="94" spans="1:9" x14ac:dyDescent="0.35">
      <c r="A94" t="s">
        <v>85</v>
      </c>
      <c r="B94">
        <v>0.15072316015870771</v>
      </c>
      <c r="C94">
        <v>0.21062834997624499</v>
      </c>
      <c r="D94">
        <v>0.34905181416191311</v>
      </c>
      <c r="E94">
        <v>0.38940995346760438</v>
      </c>
      <c r="F94">
        <v>0.5294816742329066</v>
      </c>
      <c r="G94">
        <v>0.51801908127148866</v>
      </c>
      <c r="H94">
        <v>0.67341515837840571</v>
      </c>
      <c r="I94">
        <v>0.69790134878538168</v>
      </c>
    </row>
    <row r="95" spans="1:9" x14ac:dyDescent="0.35">
      <c r="A95" t="s">
        <v>86</v>
      </c>
      <c r="B95">
        <v>147.16933945441929</v>
      </c>
      <c r="C95">
        <v>146.5724435365251</v>
      </c>
      <c r="D95">
        <v>146.9080499218729</v>
      </c>
      <c r="E95">
        <v>148.3088385043965</v>
      </c>
      <c r="F95">
        <v>149.38111440192679</v>
      </c>
      <c r="G95">
        <v>148.68745679829291</v>
      </c>
      <c r="H95">
        <v>149.18337562648989</v>
      </c>
      <c r="I95">
        <v>149.4861089350575</v>
      </c>
    </row>
    <row r="96" spans="1:9" x14ac:dyDescent="0.35">
      <c r="A96" t="s">
        <v>87</v>
      </c>
      <c r="B96">
        <v>246985682.91</v>
      </c>
      <c r="C96">
        <v>305442233.72000003</v>
      </c>
      <c r="D96">
        <v>488054848.55999988</v>
      </c>
      <c r="E96">
        <v>329704657.39999998</v>
      </c>
      <c r="F96">
        <v>312962849.06999999</v>
      </c>
      <c r="G96">
        <v>312623750.91000003</v>
      </c>
      <c r="H96">
        <v>305337082.80000001</v>
      </c>
      <c r="I96">
        <v>268280781.41999999</v>
      </c>
    </row>
    <row r="97" spans="1:9" x14ac:dyDescent="0.35">
      <c r="A97" t="s">
        <v>88</v>
      </c>
      <c r="B97">
        <v>1.515984894335118</v>
      </c>
      <c r="C97">
        <v>1.5170340341741859</v>
      </c>
      <c r="D97">
        <v>1.5153984331397281</v>
      </c>
      <c r="E97">
        <v>1.5139327929653601</v>
      </c>
      <c r="F97">
        <v>1.491020883323017</v>
      </c>
      <c r="G97">
        <v>1.497036633196146</v>
      </c>
      <c r="H97">
        <v>1.4985938415751681</v>
      </c>
      <c r="I97">
        <v>1.5120380065234249</v>
      </c>
    </row>
    <row r="98" spans="1:9" x14ac:dyDescent="0.35">
      <c r="A98" t="s">
        <v>89</v>
      </c>
      <c r="B98">
        <v>0.2461337765474873</v>
      </c>
      <c r="C98">
        <v>0.24600028202816371</v>
      </c>
      <c r="D98">
        <v>0.2443642955750191</v>
      </c>
      <c r="E98">
        <v>0.2438366137798374</v>
      </c>
      <c r="F98">
        <v>0.24259502972780289</v>
      </c>
      <c r="G98">
        <v>0.2430302948768078</v>
      </c>
      <c r="H98">
        <v>0.2413652866437376</v>
      </c>
      <c r="I98">
        <v>0.24183161982379089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85"/>
  <sheetViews>
    <sheetView topLeftCell="A6" zoomScale="70" zoomScaleNormal="70" workbookViewId="0">
      <selection activeCell="Q58" sqref="Q58"/>
    </sheetView>
  </sheetViews>
  <sheetFormatPr defaultRowHeight="14.5" x14ac:dyDescent="0.35"/>
  <cols>
    <col min="1" max="1" width="15.81640625" bestFit="1" customWidth="1"/>
    <col min="3" max="3" width="24" bestFit="1" customWidth="1"/>
    <col min="4" max="9" width="13.36328125" bestFit="1" customWidth="1"/>
    <col min="14" max="14" width="12.54296875" bestFit="1" customWidth="1"/>
    <col min="18" max="22" width="11.54296875" bestFit="1" customWidth="1"/>
    <col min="23" max="23" width="12.54296875" bestFit="1" customWidth="1"/>
    <col min="24" max="24" width="11.453125" bestFit="1" customWidth="1"/>
    <col min="25" max="25" width="11.453125" customWidth="1"/>
    <col min="26" max="28" width="11.54296875" bestFit="1" customWidth="1"/>
  </cols>
  <sheetData>
    <row r="1" spans="1:28" x14ac:dyDescent="0.35">
      <c r="A1" t="s">
        <v>125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  <c r="L1" s="5" t="s">
        <v>64</v>
      </c>
      <c r="M1" s="5" t="s">
        <v>65</v>
      </c>
      <c r="N1" s="5" t="s">
        <v>66</v>
      </c>
      <c r="O1" s="5" t="s">
        <v>67</v>
      </c>
      <c r="P1" s="5" t="s">
        <v>68</v>
      </c>
      <c r="Q1" s="5" t="s">
        <v>69</v>
      </c>
      <c r="R1" s="6" t="s">
        <v>70</v>
      </c>
      <c r="S1" s="6" t="s">
        <v>71</v>
      </c>
      <c r="T1" s="6" t="s">
        <v>72</v>
      </c>
      <c r="U1" s="6" t="s">
        <v>73</v>
      </c>
      <c r="V1" s="6" t="s">
        <v>74</v>
      </c>
      <c r="W1" s="6" t="s">
        <v>75</v>
      </c>
      <c r="X1" s="6" t="s">
        <v>76</v>
      </c>
      <c r="Y1" s="6"/>
      <c r="Z1" s="1" t="s">
        <v>77</v>
      </c>
      <c r="AA1" s="1" t="s">
        <v>78</v>
      </c>
      <c r="AB1" s="1" t="s">
        <v>79</v>
      </c>
    </row>
    <row r="2" spans="1:28" x14ac:dyDescent="0.35">
      <c r="A2" t="s">
        <v>81</v>
      </c>
      <c r="B2">
        <v>129.86535456499061</v>
      </c>
      <c r="C2">
        <v>129.38771572668449</v>
      </c>
      <c r="D2">
        <v>129.53705743688531</v>
      </c>
      <c r="E2">
        <v>129.5132058269225</v>
      </c>
      <c r="F2">
        <v>129.66329956396481</v>
      </c>
      <c r="G2">
        <v>129.25176506584529</v>
      </c>
      <c r="H2">
        <v>129.683645330769</v>
      </c>
      <c r="I2">
        <v>129.5372899940605</v>
      </c>
      <c r="J2">
        <v>129.393341152121</v>
      </c>
      <c r="K2">
        <v>129.77782433861961</v>
      </c>
      <c r="L2">
        <v>129.71309277785249</v>
      </c>
      <c r="M2">
        <v>129.6155397089841</v>
      </c>
      <c r="N2">
        <v>129.44537443237459</v>
      </c>
      <c r="O2">
        <v>129.2780531011538</v>
      </c>
      <c r="P2">
        <v>129.24252265655369</v>
      </c>
      <c r="Q2">
        <v>128.50927147988509</v>
      </c>
      <c r="R2" s="1">
        <v>131.02133536197829</v>
      </c>
      <c r="S2" s="1">
        <v>131.3468314962285</v>
      </c>
      <c r="T2" s="1">
        <v>131.6024084729047</v>
      </c>
      <c r="U2" s="1">
        <v>132.19218228778621</v>
      </c>
      <c r="V2" s="1">
        <v>133.00749318776079</v>
      </c>
      <c r="W2" s="1">
        <v>134.0048538381472</v>
      </c>
      <c r="X2" s="1">
        <v>134.56534152600739</v>
      </c>
      <c r="Y2" s="1"/>
      <c r="Z2" s="1">
        <v>135.68984274356961</v>
      </c>
      <c r="AA2" s="1">
        <v>136.49663165464889</v>
      </c>
      <c r="AB2" s="1">
        <v>137.33713790472339</v>
      </c>
    </row>
    <row r="3" spans="1:28" x14ac:dyDescent="0.35">
      <c r="A3" t="s">
        <v>126</v>
      </c>
      <c r="B3">
        <v>1.2350138538085671</v>
      </c>
      <c r="C3">
        <v>0.84904716431304916</v>
      </c>
      <c r="D3">
        <v>0.70090476373877664</v>
      </c>
      <c r="E3">
        <v>0.56275008953736005</v>
      </c>
      <c r="F3">
        <v>0.86450976560729476</v>
      </c>
      <c r="G3">
        <v>0.85299630126567649</v>
      </c>
      <c r="H3">
        <v>0.8039123371196979</v>
      </c>
      <c r="I3">
        <v>-0.37146658078725642</v>
      </c>
      <c r="J3">
        <v>-1.3313430449647969</v>
      </c>
      <c r="K3">
        <v>-1.331035839565857</v>
      </c>
      <c r="L3">
        <v>-1.031361059685963</v>
      </c>
      <c r="M3">
        <v>-0.9627084829372734</v>
      </c>
      <c r="N3">
        <v>-1.189969165405756</v>
      </c>
      <c r="O3">
        <v>-0.53597966559254928</v>
      </c>
      <c r="P3">
        <v>0.77591077035293665</v>
      </c>
      <c r="Q3">
        <v>0.63856797659119025</v>
      </c>
      <c r="R3" s="1">
        <v>-0.3932878415855896</v>
      </c>
      <c r="S3" s="1">
        <v>-0.4232757989130107</v>
      </c>
      <c r="T3" s="1">
        <v>-0.44362950932605821</v>
      </c>
      <c r="U3" s="1">
        <v>-0.3776623148542626</v>
      </c>
      <c r="V3" s="1">
        <v>-0.39991914954387647</v>
      </c>
      <c r="W3" s="1">
        <v>-0.36200979791340171</v>
      </c>
      <c r="X3" s="1">
        <v>-0.27814421370609921</v>
      </c>
      <c r="Y3" s="1"/>
      <c r="Z3" s="1">
        <v>-0.40171856289538249</v>
      </c>
      <c r="AA3" s="1">
        <v>-0.56807543368174152</v>
      </c>
      <c r="AB3" s="1">
        <v>-0.50856782155958058</v>
      </c>
    </row>
    <row r="4" spans="1:28" x14ac:dyDescent="0.35">
      <c r="A4" t="s">
        <v>83</v>
      </c>
      <c r="B4">
        <v>0</v>
      </c>
      <c r="C4">
        <v>0</v>
      </c>
      <c r="D4">
        <v>4.1385926790449661</v>
      </c>
      <c r="E4">
        <v>2.1728524040912922</v>
      </c>
      <c r="F4">
        <v>1.2089420565130951</v>
      </c>
      <c r="G4">
        <v>2.398500900003012</v>
      </c>
      <c r="H4">
        <v>2.8807926213304409</v>
      </c>
      <c r="I4">
        <v>2.2101137812710259</v>
      </c>
      <c r="J4">
        <v>0.21822451566229301</v>
      </c>
      <c r="K4">
        <v>0.84282320216819495</v>
      </c>
      <c r="L4">
        <v>1.115777705449543</v>
      </c>
      <c r="M4">
        <v>0.63955836368292218</v>
      </c>
      <c r="N4">
        <v>0.70121226882331478</v>
      </c>
      <c r="O4">
        <v>0.90911340171687305</v>
      </c>
      <c r="P4">
        <v>1.962606699131771</v>
      </c>
      <c r="Q4">
        <v>0.6936286316915885</v>
      </c>
      <c r="R4" s="1">
        <v>2.8566220688264692</v>
      </c>
      <c r="S4" s="1">
        <v>2.240894525026611</v>
      </c>
      <c r="T4" s="1">
        <v>1.901622887433124</v>
      </c>
      <c r="U4" s="1">
        <v>2.147664114682315</v>
      </c>
      <c r="V4" s="1">
        <v>1.156877830456164</v>
      </c>
      <c r="W4" s="1">
        <v>1.1652602350259409</v>
      </c>
      <c r="X4" s="1">
        <v>2.28923714852482</v>
      </c>
      <c r="Y4" s="1"/>
      <c r="Z4" s="1">
        <v>3.3992800130181728</v>
      </c>
      <c r="AA4" s="1">
        <v>3.9973861868053611</v>
      </c>
      <c r="AB4" s="1">
        <v>4.3730697172238244</v>
      </c>
    </row>
    <row r="5" spans="1:28" x14ac:dyDescent="0.35">
      <c r="A5" t="s">
        <v>84</v>
      </c>
      <c r="B5">
        <v>0</v>
      </c>
      <c r="C5">
        <v>0</v>
      </c>
      <c r="D5">
        <v>5.2740139892637359</v>
      </c>
      <c r="E5">
        <v>6.0441161210132011</v>
      </c>
      <c r="F5">
        <v>5.7001073584871849</v>
      </c>
      <c r="G5">
        <v>4.909567098623258</v>
      </c>
      <c r="H5">
        <v>5.250623899683692</v>
      </c>
      <c r="I5">
        <v>5.7305604584233576</v>
      </c>
      <c r="J5">
        <v>5.4983854742151026</v>
      </c>
      <c r="K5">
        <v>5.5410338248266919</v>
      </c>
      <c r="L5">
        <v>6.3775836526438301</v>
      </c>
      <c r="M5">
        <v>5.3167724844566884</v>
      </c>
      <c r="N5">
        <v>4.7133477862898907</v>
      </c>
      <c r="O5">
        <v>4.456834046495052</v>
      </c>
      <c r="P5">
        <v>4.2805856725731486</v>
      </c>
      <c r="Q5">
        <v>3.8856134221847172</v>
      </c>
      <c r="R5" s="1">
        <v>4.6568337325953788</v>
      </c>
      <c r="S5" s="1">
        <v>4.3504901890585366</v>
      </c>
      <c r="T5" s="1">
        <v>3.9599385859615248</v>
      </c>
      <c r="U5" s="1">
        <v>4.4325850765356254</v>
      </c>
      <c r="V5" s="1">
        <v>4.9778418079113731</v>
      </c>
      <c r="W5" s="1">
        <v>5.5671093017894488</v>
      </c>
      <c r="X5" s="1">
        <v>5.8010146112877923</v>
      </c>
      <c r="Y5" s="1"/>
      <c r="Z5" s="1">
        <v>6.4230083396708491</v>
      </c>
      <c r="AA5" s="1">
        <v>6.1696385251318766</v>
      </c>
      <c r="AB5" s="1">
        <v>6.3674505414897773</v>
      </c>
    </row>
    <row r="6" spans="1:28" x14ac:dyDescent="0.35">
      <c r="A6" t="s">
        <v>85</v>
      </c>
      <c r="B6">
        <v>3.0477021726505709</v>
      </c>
      <c r="C6">
        <v>3.312651264036607</v>
      </c>
      <c r="D6">
        <v>2.9733753924605919</v>
      </c>
      <c r="E6">
        <v>2.2654378097176329</v>
      </c>
      <c r="F6">
        <v>2.0308860418274879</v>
      </c>
      <c r="G6">
        <v>2.2986462382422341</v>
      </c>
      <c r="H6">
        <v>2.3219702983601538</v>
      </c>
      <c r="I6">
        <v>2.0589845757021958</v>
      </c>
      <c r="J6">
        <v>1.82854003489896</v>
      </c>
      <c r="K6">
        <v>1.8605635390927939</v>
      </c>
      <c r="L6">
        <v>2.0086779574227349</v>
      </c>
      <c r="M6">
        <v>2.0073477328755551</v>
      </c>
      <c r="N6">
        <v>2.1051037650850568</v>
      </c>
      <c r="O6">
        <v>2.1982916717376888</v>
      </c>
      <c r="P6">
        <v>2.0737623123736948</v>
      </c>
      <c r="Q6">
        <v>2.0963242014466079</v>
      </c>
      <c r="R6" s="1">
        <v>0.94504752238325507</v>
      </c>
      <c r="S6" s="1">
        <v>1.1155418072867409</v>
      </c>
      <c r="T6" s="1">
        <v>1.091532106112449</v>
      </c>
      <c r="U6" s="1">
        <v>1.08792389668725</v>
      </c>
      <c r="V6" s="1">
        <v>1.175085726381635</v>
      </c>
      <c r="W6" s="1">
        <v>1.504650371042688</v>
      </c>
      <c r="X6" s="1">
        <v>1.6723369705476829</v>
      </c>
      <c r="Y6" s="1"/>
      <c r="Z6" s="1">
        <v>1.783094257537565</v>
      </c>
      <c r="AA6" s="1">
        <v>1.8827434561431251</v>
      </c>
      <c r="AB6" s="1">
        <v>2.0486787892731662</v>
      </c>
    </row>
    <row r="7" spans="1:28" x14ac:dyDescent="0.35">
      <c r="A7" t="s">
        <v>86</v>
      </c>
      <c r="B7">
        <v>134.14807059144979</v>
      </c>
      <c r="C7">
        <v>133.54941415503421</v>
      </c>
      <c r="D7">
        <v>142.6239442613934</v>
      </c>
      <c r="E7">
        <v>140.55836225128201</v>
      </c>
      <c r="F7">
        <v>139.46774478639989</v>
      </c>
      <c r="G7">
        <v>139.71147560397949</v>
      </c>
      <c r="H7">
        <v>140.94094448726301</v>
      </c>
      <c r="I7">
        <v>139.16548222866979</v>
      </c>
      <c r="J7">
        <v>135.6071481319326</v>
      </c>
      <c r="K7">
        <v>136.69120906514141</v>
      </c>
      <c r="L7">
        <v>138.1837710336826</v>
      </c>
      <c r="M7">
        <v>136.61650980706199</v>
      </c>
      <c r="N7">
        <v>135.77506908716711</v>
      </c>
      <c r="O7">
        <v>136.3063125555108</v>
      </c>
      <c r="P7">
        <v>138.33538811098521</v>
      </c>
      <c r="Q7">
        <v>135.82340571179921</v>
      </c>
      <c r="R7" s="1">
        <v>139.08655084419789</v>
      </c>
      <c r="S7" s="1">
        <v>138.6304822186874</v>
      </c>
      <c r="T7" s="1">
        <v>138.11187254308581</v>
      </c>
      <c r="U7" s="1">
        <v>139.48269306083711</v>
      </c>
      <c r="V7" s="1">
        <v>139.91737940296611</v>
      </c>
      <c r="W7" s="1">
        <v>141.88306616431319</v>
      </c>
      <c r="X7" s="1">
        <v>144.0504071521508</v>
      </c>
      <c r="Y7" s="1"/>
      <c r="Z7" s="1">
        <v>146.8930650531164</v>
      </c>
      <c r="AA7" s="1">
        <v>147.97832438904749</v>
      </c>
      <c r="AB7" s="1">
        <v>149.6191516521196</v>
      </c>
    </row>
    <row r="8" spans="1:28" x14ac:dyDescent="0.35">
      <c r="A8" t="s">
        <v>87</v>
      </c>
      <c r="B8">
        <v>1462434.43</v>
      </c>
      <c r="C8">
        <v>10919535.779999999</v>
      </c>
      <c r="D8">
        <v>18319871.18</v>
      </c>
      <c r="E8">
        <v>17387363.649999999</v>
      </c>
      <c r="F8">
        <v>23124191.199999999</v>
      </c>
      <c r="G8">
        <v>23510720.640000001</v>
      </c>
      <c r="H8">
        <v>31543002.84</v>
      </c>
      <c r="I8">
        <v>35545767.260000013</v>
      </c>
      <c r="J8">
        <v>50802743.680000007</v>
      </c>
      <c r="K8">
        <v>55019552.159999996</v>
      </c>
      <c r="L8">
        <v>42442574.010000013</v>
      </c>
      <c r="M8">
        <v>40719961.400000013</v>
      </c>
      <c r="N8">
        <v>38242116.390000001</v>
      </c>
      <c r="O8">
        <v>43485809.939999998</v>
      </c>
      <c r="P8">
        <v>43419978.609999999</v>
      </c>
      <c r="Q8">
        <v>44626995.380000003</v>
      </c>
      <c r="R8" s="1">
        <v>31718897.359999999</v>
      </c>
      <c r="S8" s="1">
        <v>46957669.380000003</v>
      </c>
      <c r="T8" s="1">
        <v>48436705.359999999</v>
      </c>
      <c r="U8" s="1">
        <v>41847911.840000004</v>
      </c>
      <c r="V8" s="1">
        <v>51674677.010000013</v>
      </c>
      <c r="W8" s="1">
        <v>107724085.98</v>
      </c>
      <c r="X8" s="1">
        <v>90227374.950000003</v>
      </c>
      <c r="Y8" s="1"/>
      <c r="Z8" s="1">
        <v>72604977.900000006</v>
      </c>
      <c r="AA8" s="1">
        <v>82073268.25</v>
      </c>
      <c r="AB8" s="1">
        <v>58437607.400000013</v>
      </c>
    </row>
    <row r="9" spans="1:28" x14ac:dyDescent="0.35">
      <c r="A9" t="s">
        <v>88</v>
      </c>
      <c r="B9">
        <v>1.94</v>
      </c>
      <c r="C9">
        <v>1.94</v>
      </c>
      <c r="D9">
        <v>1.480649155374359</v>
      </c>
      <c r="E9">
        <v>1.431167931406429</v>
      </c>
      <c r="F9">
        <v>1.452856564912647</v>
      </c>
      <c r="G9">
        <v>1.505278486404799</v>
      </c>
      <c r="H9">
        <v>1.482205629320301</v>
      </c>
      <c r="I9">
        <v>1.450910111095763</v>
      </c>
      <c r="J9">
        <v>1.4658829647041851</v>
      </c>
      <c r="K9">
        <v>1.463109467662296</v>
      </c>
      <c r="L9">
        <v>1.410753159523833</v>
      </c>
      <c r="M9">
        <v>1.4778122608441739</v>
      </c>
      <c r="N9">
        <v>1.518881396116357</v>
      </c>
      <c r="O9">
        <v>1.537039431284936</v>
      </c>
      <c r="P9">
        <v>1.549769377000995</v>
      </c>
      <c r="Q9">
        <v>1.579077393291624</v>
      </c>
      <c r="R9" s="1">
        <v>1.5228449554175729</v>
      </c>
      <c r="S9" s="1">
        <v>1.54469521345703</v>
      </c>
      <c r="T9" s="1">
        <v>1.573477892825947</v>
      </c>
      <c r="U9" s="1">
        <v>1.538778447967365</v>
      </c>
      <c r="V9" s="1">
        <v>1.50060230154756</v>
      </c>
      <c r="W9" s="1">
        <v>1.461418897695721</v>
      </c>
      <c r="X9" s="1">
        <v>1.4464268613587501</v>
      </c>
      <c r="Y9" s="1"/>
      <c r="Z9" s="1">
        <v>1.408017259001815</v>
      </c>
      <c r="AA9" s="1">
        <v>1.423414524323585</v>
      </c>
      <c r="AB9" s="1">
        <v>1.411364921536596</v>
      </c>
    </row>
    <row r="10" spans="1:28" x14ac:dyDescent="0.35">
      <c r="A10" t="s">
        <v>89</v>
      </c>
      <c r="B10">
        <v>0.2064613975335633</v>
      </c>
      <c r="C10">
        <v>0.20267641051376281</v>
      </c>
      <c r="D10">
        <v>0.2075232086791344</v>
      </c>
      <c r="E10">
        <v>0.2176366027183195</v>
      </c>
      <c r="F10">
        <v>0.22098734225960731</v>
      </c>
      <c r="G10">
        <v>0.21716219659653949</v>
      </c>
      <c r="H10">
        <v>0.21682899573771211</v>
      </c>
      <c r="I10">
        <v>0.2205859346328258</v>
      </c>
      <c r="J10">
        <v>0.22387799950144341</v>
      </c>
      <c r="K10">
        <v>0.22342052087010289</v>
      </c>
      <c r="L10">
        <v>0.22130460060824661</v>
      </c>
      <c r="M10">
        <v>0.2213236038160635</v>
      </c>
      <c r="N10">
        <v>0.21992708907021349</v>
      </c>
      <c r="O10">
        <v>0.21859583326089019</v>
      </c>
      <c r="P10">
        <v>0.22037482410894721</v>
      </c>
      <c r="Q10">
        <v>0.2200525114079056</v>
      </c>
      <c r="R10" s="1">
        <v>0.23649932110881061</v>
      </c>
      <c r="S10" s="1">
        <v>0.2340636884673323</v>
      </c>
      <c r="T10" s="1">
        <v>0.23440668419839361</v>
      </c>
      <c r="U10" s="1">
        <v>0.23445823004732499</v>
      </c>
      <c r="V10" s="1">
        <v>0.2332130610516909</v>
      </c>
      <c r="W10" s="1">
        <v>0.2285049946993902</v>
      </c>
      <c r="X10" s="1">
        <v>0.22610947184931879</v>
      </c>
      <c r="Y10" s="1"/>
      <c r="Z10" s="1">
        <v>0.22452722489232049</v>
      </c>
      <c r="AA10" s="1">
        <v>0.22310366491224101</v>
      </c>
      <c r="AB10" s="1">
        <v>0.22073316015324049</v>
      </c>
    </row>
    <row r="15" spans="1:28" x14ac:dyDescent="0.35">
      <c r="C15" s="8" t="s">
        <v>127</v>
      </c>
      <c r="D15" t="s">
        <v>112</v>
      </c>
      <c r="E15" t="s">
        <v>116</v>
      </c>
      <c r="F15" t="s">
        <v>120</v>
      </c>
      <c r="G15" t="s">
        <v>122</v>
      </c>
      <c r="H15" t="s">
        <v>123</v>
      </c>
      <c r="I15" t="s">
        <v>124</v>
      </c>
    </row>
    <row r="16" spans="1:28" x14ac:dyDescent="0.35">
      <c r="C16" s="9"/>
      <c r="E16">
        <f t="shared" ref="E16:F21" si="0">AVERAGE(C2:E2)</f>
        <v>129.4793263301641</v>
      </c>
      <c r="F16">
        <f t="shared" si="0"/>
        <v>129.57118760925752</v>
      </c>
      <c r="G16" s="1">
        <f t="shared" ref="G16:G21" si="1">AVERAGE(U2:W2)</f>
        <v>133.06817643789807</v>
      </c>
      <c r="H16" s="1">
        <f t="shared" ref="H16:H21" si="2">AVERAGE(X2:AA2)</f>
        <v>135.58393864140862</v>
      </c>
      <c r="I16" s="1">
        <v>137.33713790472339</v>
      </c>
    </row>
    <row r="17" spans="3:9" x14ac:dyDescent="0.35">
      <c r="C17" s="9"/>
      <c r="E17">
        <f t="shared" si="0"/>
        <v>0.70423400586306195</v>
      </c>
      <c r="F17">
        <f t="shared" si="0"/>
        <v>0.70938820629447719</v>
      </c>
      <c r="G17" s="1">
        <f t="shared" si="1"/>
        <v>-0.37986375410384693</v>
      </c>
      <c r="H17" s="1">
        <f t="shared" si="2"/>
        <v>-0.41597940342774109</v>
      </c>
      <c r="I17" s="1">
        <v>-0.50856782155958058</v>
      </c>
    </row>
    <row r="18" spans="3:9" x14ac:dyDescent="0.35">
      <c r="C18" s="9"/>
      <c r="E18">
        <f t="shared" si="0"/>
        <v>2.1038150277120859</v>
      </c>
      <c r="F18">
        <f t="shared" si="0"/>
        <v>2.5067957132164511</v>
      </c>
      <c r="G18" s="1">
        <f t="shared" si="1"/>
        <v>1.4899340600548066</v>
      </c>
      <c r="H18" s="1">
        <f t="shared" si="2"/>
        <v>3.2286344494494514</v>
      </c>
      <c r="I18" s="1">
        <v>4.3730697172238244</v>
      </c>
    </row>
    <row r="19" spans="3:9" x14ac:dyDescent="0.35">
      <c r="C19" s="9"/>
      <c r="E19">
        <f t="shared" si="0"/>
        <v>3.7727100367589785</v>
      </c>
      <c r="F19">
        <f t="shared" si="0"/>
        <v>5.6727458229213736</v>
      </c>
      <c r="G19" s="1">
        <f t="shared" si="1"/>
        <v>4.9925120620788155</v>
      </c>
      <c r="H19" s="1">
        <f t="shared" si="2"/>
        <v>6.1312204920301729</v>
      </c>
      <c r="I19" s="1">
        <v>6.3674505414897773</v>
      </c>
    </row>
    <row r="20" spans="3:9" x14ac:dyDescent="0.35">
      <c r="C20" s="9"/>
      <c r="E20">
        <f t="shared" si="0"/>
        <v>2.8504881554049439</v>
      </c>
      <c r="F20">
        <f t="shared" si="0"/>
        <v>2.4232330813352374</v>
      </c>
      <c r="G20" s="1">
        <f t="shared" si="1"/>
        <v>1.2558866647038576</v>
      </c>
      <c r="H20" s="1">
        <f t="shared" si="2"/>
        <v>1.7793915614094578</v>
      </c>
      <c r="I20" s="1">
        <v>2.0486787892731662</v>
      </c>
    </row>
    <row r="21" spans="3:9" x14ac:dyDescent="0.35">
      <c r="C21" s="9"/>
      <c r="E21">
        <f t="shared" si="0"/>
        <v>138.9105735559032</v>
      </c>
      <c r="F21">
        <f t="shared" si="0"/>
        <v>140.88335043302507</v>
      </c>
      <c r="G21" s="1">
        <f t="shared" si="1"/>
        <v>140.42771287603878</v>
      </c>
      <c r="H21" s="1">
        <f t="shared" si="2"/>
        <v>146.30726553143822</v>
      </c>
      <c r="I21" s="1">
        <v>149.6191516521196</v>
      </c>
    </row>
    <row r="22" spans="3:9" x14ac:dyDescent="0.35">
      <c r="C22" s="9"/>
      <c r="E22">
        <f>SUM(C8:E8)</f>
        <v>46626770.609999999</v>
      </c>
      <c r="F22">
        <f>SUM(D8:F8)</f>
        <v>58831426.030000001</v>
      </c>
      <c r="G22" s="1">
        <f>SUM(U8:W8)</f>
        <v>201246674.83000004</v>
      </c>
      <c r="H22" s="1">
        <f>SUM(X8:AA8)</f>
        <v>244905621.10000002</v>
      </c>
      <c r="I22" s="1">
        <v>58437607.400000013</v>
      </c>
    </row>
    <row r="23" spans="3:9" x14ac:dyDescent="0.35">
      <c r="C23" s="9"/>
      <c r="E23">
        <f>AVERAGE(C9:E9)</f>
        <v>1.6172723622602625</v>
      </c>
      <c r="F23">
        <f>AVERAGE(D9:F9)</f>
        <v>1.454891217231145</v>
      </c>
      <c r="G23" s="1">
        <f>AVERAGE(U9:W9)</f>
        <v>1.5002665490702156</v>
      </c>
      <c r="H23" s="1">
        <f>AVERAGE(X9:AA9)</f>
        <v>1.4259528815613833</v>
      </c>
      <c r="I23" s="1">
        <v>1.411364921536596</v>
      </c>
    </row>
    <row r="24" spans="3:9" x14ac:dyDescent="0.35">
      <c r="C24" s="9"/>
      <c r="E24">
        <f>AVERAGE(C10:E10)</f>
        <v>0.20927874063707222</v>
      </c>
      <c r="F24">
        <f>AVERAGE(D10:F10)</f>
        <v>0.21538238455235373</v>
      </c>
      <c r="G24" s="1">
        <f>AVERAGE(U10:W10)</f>
        <v>0.23205876193280203</v>
      </c>
      <c r="H24" s="1">
        <f>AVERAGE(X10:AA10)</f>
        <v>0.22458012055129342</v>
      </c>
      <c r="I24" s="1">
        <v>0.22073316015324049</v>
      </c>
    </row>
    <row r="29" spans="3:9" x14ac:dyDescent="0.35">
      <c r="C29" t="s">
        <v>94</v>
      </c>
      <c r="D29" t="s">
        <v>112</v>
      </c>
      <c r="E29" t="s">
        <v>116</v>
      </c>
      <c r="F29" t="s">
        <v>120</v>
      </c>
      <c r="G29" t="s">
        <v>122</v>
      </c>
      <c r="H29" t="s">
        <v>123</v>
      </c>
      <c r="I29" t="s">
        <v>124</v>
      </c>
    </row>
    <row r="30" spans="3:9" x14ac:dyDescent="0.35">
      <c r="C30" t="s">
        <v>81</v>
      </c>
      <c r="D30" s="3">
        <v>140.4909509444019</v>
      </c>
      <c r="E30" s="3">
        <v>139.8796523785802</v>
      </c>
      <c r="F30" s="3">
        <v>139.9085743711621</v>
      </c>
      <c r="G30" s="3">
        <v>142.1674074161912</v>
      </c>
      <c r="H30" s="3">
        <v>142.94689934988679</v>
      </c>
      <c r="I30" s="3">
        <v>143.54181882626401</v>
      </c>
    </row>
    <row r="31" spans="3:9" x14ac:dyDescent="0.35">
      <c r="C31" t="s">
        <v>82</v>
      </c>
      <c r="D31" s="3">
        <v>1.457770459213009</v>
      </c>
      <c r="E31" s="3">
        <v>1.858122692845001</v>
      </c>
      <c r="F31" s="3">
        <v>1.2723136624678659</v>
      </c>
      <c r="G31" s="3">
        <v>0.33754175735191438</v>
      </c>
      <c r="H31" s="3">
        <v>0.31009057224235897</v>
      </c>
      <c r="I31" s="3">
        <v>0.3189612666179471</v>
      </c>
    </row>
    <row r="32" spans="3:9" x14ac:dyDescent="0.35">
      <c r="C32" t="s">
        <v>83</v>
      </c>
      <c r="D32" s="3">
        <v>-0.30240079339331272</v>
      </c>
      <c r="E32" s="3">
        <v>-0.35849527029085759</v>
      </c>
      <c r="F32" s="3">
        <v>0.64025968117814891</v>
      </c>
      <c r="G32" s="3">
        <v>0.82064237203291091</v>
      </c>
      <c r="H32" s="3">
        <v>0.9402321393873998</v>
      </c>
      <c r="I32" s="3">
        <v>0.74643148857063291</v>
      </c>
    </row>
    <row r="33" spans="3:9" x14ac:dyDescent="0.35">
      <c r="C33" t="s">
        <v>84</v>
      </c>
      <c r="D33" s="3">
        <v>-3.6904467872750248</v>
      </c>
      <c r="E33" s="3">
        <v>-1.5537897919556971</v>
      </c>
      <c r="F33" s="3">
        <v>-0.53154000313664129</v>
      </c>
      <c r="G33" s="3">
        <v>0.47648521966372342</v>
      </c>
      <c r="H33" s="3">
        <v>1.077952305359821</v>
      </c>
      <c r="I33" s="3">
        <v>1.314088692130762</v>
      </c>
    </row>
    <row r="34" spans="3:9" x14ac:dyDescent="0.35">
      <c r="C34" t="s">
        <v>85</v>
      </c>
      <c r="D34" s="3">
        <v>2.1270858727632318E-3</v>
      </c>
      <c r="E34" s="3">
        <v>0.21189420015197499</v>
      </c>
      <c r="F34" s="3">
        <v>3.2567675111481259E-2</v>
      </c>
      <c r="G34" s="3">
        <v>0.47670557087414961</v>
      </c>
      <c r="H34" s="3">
        <v>0.69858391764290872</v>
      </c>
      <c r="I34" s="3">
        <v>0.94607863642555001</v>
      </c>
    </row>
    <row r="35" spans="3:9" x14ac:dyDescent="0.35">
      <c r="C35" t="s">
        <v>86</v>
      </c>
      <c r="D35" s="3">
        <v>137.95800090881929</v>
      </c>
      <c r="E35" s="3">
        <v>140.03738420933061</v>
      </c>
      <c r="F35" s="3">
        <v>141.32217538678299</v>
      </c>
      <c r="G35" s="3">
        <v>144.27878233611389</v>
      </c>
      <c r="H35" s="3">
        <v>145.97375828451931</v>
      </c>
      <c r="I35" s="3">
        <v>146.86737891000891</v>
      </c>
    </row>
    <row r="36" spans="3:9" x14ac:dyDescent="0.35">
      <c r="C36" t="s">
        <v>87</v>
      </c>
      <c r="D36" s="3">
        <v>146137222.72999999</v>
      </c>
      <c r="E36" s="3">
        <v>300359129.88999999</v>
      </c>
      <c r="F36" s="3">
        <v>378587880.93999988</v>
      </c>
      <c r="G36" s="3">
        <v>559646274.66000009</v>
      </c>
      <c r="H36" s="3">
        <v>484195070.24999988</v>
      </c>
      <c r="I36" s="3">
        <v>226805813.58000001</v>
      </c>
    </row>
    <row r="37" spans="3:9" x14ac:dyDescent="0.35">
      <c r="C37" t="s">
        <v>88</v>
      </c>
      <c r="D37" s="3">
        <v>1.8512164924824099</v>
      </c>
      <c r="E37" s="3">
        <v>1.6904276467039649</v>
      </c>
      <c r="F37" s="3">
        <v>1.622984876537503</v>
      </c>
      <c r="G37" s="3">
        <v>1.5615508046580699</v>
      </c>
      <c r="H37" s="3">
        <v>1.527060926472056</v>
      </c>
      <c r="I37" s="3">
        <v>1.513933086626134</v>
      </c>
    </row>
    <row r="38" spans="3:9" x14ac:dyDescent="0.35">
      <c r="C38" t="s">
        <v>89</v>
      </c>
      <c r="D38" s="3">
        <v>0.24998024848832431</v>
      </c>
      <c r="E38" s="3">
        <v>0.2480324109985888</v>
      </c>
      <c r="F38" s="3">
        <v>0.24969758587396479</v>
      </c>
      <c r="G38" s="3">
        <v>0.2455734482704543</v>
      </c>
      <c r="H38" s="3">
        <v>0.24351314933617299</v>
      </c>
      <c r="I38" s="3">
        <v>0.24121498409033421</v>
      </c>
    </row>
    <row r="39" spans="3:9" x14ac:dyDescent="0.35">
      <c r="D39" s="3"/>
      <c r="E39" s="3"/>
      <c r="F39" s="3"/>
      <c r="G39" s="3"/>
      <c r="H39" s="3"/>
      <c r="I39" s="3"/>
    </row>
    <row r="40" spans="3:9" x14ac:dyDescent="0.35">
      <c r="C40" t="s">
        <v>96</v>
      </c>
      <c r="D40" s="3" t="s">
        <v>112</v>
      </c>
      <c r="E40" s="3" t="s">
        <v>116</v>
      </c>
      <c r="F40" s="3" t="s">
        <v>120</v>
      </c>
      <c r="G40" s="3" t="s">
        <v>122</v>
      </c>
      <c r="H40" s="3" t="s">
        <v>123</v>
      </c>
      <c r="I40" s="3" t="s">
        <v>124</v>
      </c>
    </row>
    <row r="41" spans="3:9" x14ac:dyDescent="0.35">
      <c r="C41" t="s">
        <v>81</v>
      </c>
      <c r="D41" s="3">
        <v>136.74075648017779</v>
      </c>
      <c r="E41" s="3">
        <v>139.14619257535159</v>
      </c>
      <c r="F41" s="3">
        <v>138.89574398351391</v>
      </c>
      <c r="G41" s="3">
        <v>141.264883179789</v>
      </c>
      <c r="H41" s="3">
        <v>142.0023003354755</v>
      </c>
      <c r="I41" s="3">
        <v>142.54834640263181</v>
      </c>
    </row>
    <row r="42" spans="3:9" x14ac:dyDescent="0.35">
      <c r="C42" t="s">
        <v>82</v>
      </c>
      <c r="D42" s="3">
        <v>0.4716337735053599</v>
      </c>
      <c r="E42" s="3">
        <v>0.86182839387379051</v>
      </c>
      <c r="F42" s="3">
        <v>1.6634828544725839</v>
      </c>
      <c r="G42" s="3">
        <v>2.3756396528142258</v>
      </c>
      <c r="H42" s="3">
        <v>2.6827230091745342</v>
      </c>
      <c r="I42" s="3">
        <v>2.7622327700302298</v>
      </c>
    </row>
    <row r="43" spans="3:9" x14ac:dyDescent="0.35">
      <c r="C43" t="s">
        <v>83</v>
      </c>
      <c r="D43" s="3">
        <v>-1.376284930485052</v>
      </c>
      <c r="E43" s="3">
        <v>0.18813216141839451</v>
      </c>
      <c r="F43" s="3">
        <v>2.68264900938019</v>
      </c>
      <c r="G43" s="3">
        <v>2.636387362866468</v>
      </c>
      <c r="H43" s="3">
        <v>2.746350230313007</v>
      </c>
      <c r="I43" s="3">
        <v>2.543417899879497</v>
      </c>
    </row>
    <row r="44" spans="3:9" x14ac:dyDescent="0.35">
      <c r="C44" t="s">
        <v>84</v>
      </c>
      <c r="D44" s="3">
        <v>3.637929355105892</v>
      </c>
      <c r="E44" s="3">
        <v>3.928769673673163</v>
      </c>
      <c r="F44" s="3">
        <v>4.2395847752806466</v>
      </c>
      <c r="G44" s="3">
        <v>3.5961696039123701</v>
      </c>
      <c r="H44" s="3">
        <v>3.975328040469067</v>
      </c>
      <c r="I44" s="3">
        <v>3.83524825468464</v>
      </c>
    </row>
    <row r="45" spans="3:9" x14ac:dyDescent="0.35">
      <c r="C45" t="s">
        <v>85</v>
      </c>
      <c r="D45" s="3">
        <v>-0.133504904615831</v>
      </c>
      <c r="E45" s="3">
        <v>-7.9046574678530268E-2</v>
      </c>
      <c r="F45" s="3">
        <v>-0.12682928609536981</v>
      </c>
      <c r="G45" s="3">
        <v>1.045161578932217E-3</v>
      </c>
      <c r="H45" s="3">
        <v>0.2494232469762922</v>
      </c>
      <c r="I45" s="3">
        <v>0.32930649109794752</v>
      </c>
    </row>
    <row r="46" spans="3:9" x14ac:dyDescent="0.35">
      <c r="C46" t="s">
        <v>86</v>
      </c>
      <c r="D46" s="3">
        <v>139.34052977368819</v>
      </c>
      <c r="E46" s="3">
        <v>144.0458762296384</v>
      </c>
      <c r="F46" s="3">
        <v>147.35463133655199</v>
      </c>
      <c r="G46" s="3">
        <v>149.87412496096101</v>
      </c>
      <c r="H46" s="3">
        <v>151.6561248624084</v>
      </c>
      <c r="I46" s="3">
        <v>152.01855181832411</v>
      </c>
    </row>
    <row r="47" spans="3:9" x14ac:dyDescent="0.35">
      <c r="C47" t="s">
        <v>87</v>
      </c>
      <c r="D47" s="3">
        <v>182046272.47999999</v>
      </c>
      <c r="E47" s="3">
        <v>308554811.26999998</v>
      </c>
      <c r="F47" s="3">
        <v>442907326.82999998</v>
      </c>
      <c r="G47" s="3">
        <v>469122344.36000001</v>
      </c>
      <c r="H47" s="3">
        <v>470121689.95999998</v>
      </c>
      <c r="I47" s="3">
        <v>197239883.56999999</v>
      </c>
    </row>
    <row r="48" spans="3:9" x14ac:dyDescent="0.35">
      <c r="C48" t="s">
        <v>88</v>
      </c>
      <c r="D48" s="3">
        <v>1.3971255186673801</v>
      </c>
      <c r="E48" s="3">
        <v>1.438039962055063</v>
      </c>
      <c r="F48" s="3">
        <v>1.415400126316426</v>
      </c>
      <c r="G48" s="3">
        <v>1.462588671426519</v>
      </c>
      <c r="H48" s="3">
        <v>1.4741773213022169</v>
      </c>
      <c r="I48" s="3">
        <v>1.497938123396616</v>
      </c>
    </row>
    <row r="49" spans="3:9" x14ac:dyDescent="0.35">
      <c r="C49" t="s">
        <v>89</v>
      </c>
      <c r="D49" s="3">
        <v>0.2446004373586666</v>
      </c>
      <c r="E49" s="3">
        <v>0.24614125734899031</v>
      </c>
      <c r="F49" s="3">
        <v>0.24668787338920301</v>
      </c>
      <c r="G49" s="3">
        <v>0.2449886965293776</v>
      </c>
      <c r="H49" s="3">
        <v>0.2428207765288872</v>
      </c>
      <c r="I49" s="3">
        <v>0.24218209834134741</v>
      </c>
    </row>
    <row r="50" spans="3:9" x14ac:dyDescent="0.35">
      <c r="D50" s="3"/>
      <c r="E50" s="3"/>
      <c r="F50" s="3"/>
      <c r="G50" s="3"/>
      <c r="H50" s="3"/>
      <c r="I50" s="3"/>
    </row>
    <row r="51" spans="3:9" x14ac:dyDescent="0.35">
      <c r="C51" t="s">
        <v>97</v>
      </c>
      <c r="D51" s="3" t="s">
        <v>112</v>
      </c>
      <c r="E51" s="3" t="s">
        <v>116</v>
      </c>
      <c r="F51" s="3" t="s">
        <v>120</v>
      </c>
      <c r="G51" s="3" t="s">
        <v>122</v>
      </c>
      <c r="H51" s="3" t="s">
        <v>123</v>
      </c>
      <c r="I51" s="3" t="s">
        <v>124</v>
      </c>
    </row>
    <row r="52" spans="3:9" x14ac:dyDescent="0.35">
      <c r="C52" t="s">
        <v>81</v>
      </c>
      <c r="D52" s="3">
        <v>138.41068507713069</v>
      </c>
      <c r="E52" s="3">
        <v>139.50798647333221</v>
      </c>
      <c r="F52" s="3">
        <v>139.36250910470341</v>
      </c>
      <c r="G52" s="3">
        <v>141.75585298325561</v>
      </c>
      <c r="H52" s="3">
        <v>142.48156487866589</v>
      </c>
      <c r="I52" s="3">
        <v>143.07971677810221</v>
      </c>
    </row>
    <row r="53" spans="3:9" x14ac:dyDescent="0.35">
      <c r="C53" t="s">
        <v>82</v>
      </c>
      <c r="D53" s="3">
        <v>0.91075176263296043</v>
      </c>
      <c r="E53" s="3">
        <v>1.3532707283739449</v>
      </c>
      <c r="F53" s="3">
        <v>1.483211668360515</v>
      </c>
      <c r="G53" s="3">
        <v>1.266922033030671</v>
      </c>
      <c r="H53" s="3">
        <v>1.4789120971404599</v>
      </c>
      <c r="I53" s="3">
        <v>1.4554203560553489</v>
      </c>
    </row>
    <row r="54" spans="3:9" x14ac:dyDescent="0.35">
      <c r="C54" t="s">
        <v>83</v>
      </c>
      <c r="D54" s="3">
        <v>-0.89809377334605833</v>
      </c>
      <c r="E54" s="3">
        <v>-8.1502886597454374E-2</v>
      </c>
      <c r="F54" s="3">
        <v>1.741409376446182</v>
      </c>
      <c r="G54" s="3">
        <v>1.6486288901978909</v>
      </c>
      <c r="H54" s="3">
        <v>1.8299737058945511</v>
      </c>
      <c r="I54" s="3">
        <v>1.5822786459067339</v>
      </c>
    </row>
    <row r="55" spans="3:9" x14ac:dyDescent="0.35">
      <c r="C55" t="s">
        <v>84</v>
      </c>
      <c r="D55" s="3">
        <v>0.37466794129514153</v>
      </c>
      <c r="E55" s="3">
        <v>1.224386214280883</v>
      </c>
      <c r="F55" s="3">
        <v>2.040801383147886</v>
      </c>
      <c r="G55" s="3">
        <v>1.8990729861880791</v>
      </c>
      <c r="H55" s="3">
        <v>2.5052762651097451</v>
      </c>
      <c r="I55" s="3">
        <v>2.486776498944224</v>
      </c>
    </row>
    <row r="56" spans="3:9" x14ac:dyDescent="0.35">
      <c r="C56" t="s">
        <v>85</v>
      </c>
      <c r="D56" s="3">
        <v>-7.3109172677325571E-2</v>
      </c>
      <c r="E56" s="3">
        <v>6.4465853056559108E-2</v>
      </c>
      <c r="F56" s="3">
        <v>-5.3370844462594533E-2</v>
      </c>
      <c r="G56" s="3">
        <v>0.25980264226385202</v>
      </c>
      <c r="H56" s="3">
        <v>0.47731548522966011</v>
      </c>
      <c r="I56" s="3">
        <v>0.65919430544128155</v>
      </c>
    </row>
    <row r="57" spans="3:9" x14ac:dyDescent="0.35">
      <c r="C57" t="s">
        <v>86</v>
      </c>
      <c r="D57" s="3">
        <v>138.72490183503541</v>
      </c>
      <c r="E57" s="3">
        <v>142.06860638244621</v>
      </c>
      <c r="F57" s="3">
        <v>144.57456068819539</v>
      </c>
      <c r="G57" s="3">
        <v>146.8302795349361</v>
      </c>
      <c r="H57" s="3">
        <v>148.77304243204031</v>
      </c>
      <c r="I57" s="3">
        <v>149.26338658444971</v>
      </c>
    </row>
    <row r="58" spans="3:9" x14ac:dyDescent="0.35">
      <c r="C58" t="s">
        <v>87</v>
      </c>
      <c r="D58" s="3">
        <v>328183495.20999998</v>
      </c>
      <c r="E58" s="3">
        <v>608913941.15999997</v>
      </c>
      <c r="F58" s="3">
        <v>821495207.76999998</v>
      </c>
      <c r="G58" s="3">
        <v>1028768619.02</v>
      </c>
      <c r="H58" s="3">
        <v>954316760.21000004</v>
      </c>
      <c r="I58" s="3">
        <v>424045697.14999998</v>
      </c>
    </row>
    <row r="59" spans="3:9" x14ac:dyDescent="0.35">
      <c r="C59" t="s">
        <v>88</v>
      </c>
      <c r="D59" s="3">
        <v>1.5993282337601269</v>
      </c>
      <c r="E59" s="2">
        <v>1.562535297490611</v>
      </c>
      <c r="F59" s="3">
        <v>1.5110660169489369</v>
      </c>
      <c r="G59" s="3">
        <v>1.5164237011615851</v>
      </c>
      <c r="H59" s="3">
        <v>1.501009063117847</v>
      </c>
      <c r="I59" s="3">
        <v>1.5064932170406149</v>
      </c>
    </row>
    <row r="60" spans="3:9" x14ac:dyDescent="0.35">
      <c r="C60" t="s">
        <v>89</v>
      </c>
      <c r="D60" s="3">
        <v>0.2469960199177379</v>
      </c>
      <c r="E60" s="3">
        <v>0.24707410717601119</v>
      </c>
      <c r="F60" s="3">
        <v>0.24807490603536739</v>
      </c>
      <c r="G60" s="3">
        <v>0.24530679928586169</v>
      </c>
      <c r="H60" s="3">
        <v>0.24317206816919029</v>
      </c>
      <c r="I60" s="3">
        <v>0.2416648259435844</v>
      </c>
    </row>
    <row r="63" spans="3:9" x14ac:dyDescent="0.35">
      <c r="C63" t="s">
        <v>127</v>
      </c>
      <c r="D63" t="s">
        <v>112</v>
      </c>
      <c r="E63" t="s">
        <v>116</v>
      </c>
      <c r="F63" t="s">
        <v>120</v>
      </c>
      <c r="G63" t="s">
        <v>122</v>
      </c>
      <c r="H63" t="s">
        <v>123</v>
      </c>
      <c r="I63" t="s">
        <v>124</v>
      </c>
    </row>
    <row r="64" spans="3:9" x14ac:dyDescent="0.35">
      <c r="E64">
        <v>129.4793263301641</v>
      </c>
      <c r="F64">
        <v>129.57118760925749</v>
      </c>
      <c r="G64">
        <v>133.0681764378981</v>
      </c>
      <c r="H64">
        <v>135.58393864140859</v>
      </c>
      <c r="I64">
        <v>137.33713790472339</v>
      </c>
    </row>
    <row r="65" spans="3:9" x14ac:dyDescent="0.35">
      <c r="E65">
        <v>0.70423400586306195</v>
      </c>
      <c r="F65">
        <v>0.70938820629447719</v>
      </c>
      <c r="G65">
        <v>-0.37986375410384687</v>
      </c>
      <c r="H65">
        <v>-0.41597940342774109</v>
      </c>
      <c r="I65">
        <v>-0.50856782155958058</v>
      </c>
    </row>
    <row r="66" spans="3:9" x14ac:dyDescent="0.35">
      <c r="E66">
        <v>2.1038150277120859</v>
      </c>
      <c r="F66">
        <v>2.5067957132164511</v>
      </c>
      <c r="G66">
        <v>1.489934060054807</v>
      </c>
      <c r="H66">
        <v>3.228634449449451</v>
      </c>
      <c r="I66">
        <v>4.3730697172238244</v>
      </c>
    </row>
    <row r="67" spans="3:9" x14ac:dyDescent="0.35">
      <c r="E67">
        <v>3.772710036758979</v>
      </c>
      <c r="F67">
        <v>5.6727458229213736</v>
      </c>
      <c r="G67">
        <v>4.9925120620788146</v>
      </c>
      <c r="H67">
        <v>6.1312204920301729</v>
      </c>
      <c r="I67">
        <v>6.3674505414897773</v>
      </c>
    </row>
    <row r="68" spans="3:9" x14ac:dyDescent="0.35">
      <c r="E68">
        <v>2.8504881554049439</v>
      </c>
      <c r="F68">
        <v>2.423233081335237</v>
      </c>
      <c r="G68">
        <v>1.255886664703858</v>
      </c>
      <c r="H68">
        <v>1.779391561409458</v>
      </c>
      <c r="I68">
        <v>2.0486787892731662</v>
      </c>
    </row>
    <row r="69" spans="3:9" x14ac:dyDescent="0.35">
      <c r="E69">
        <v>138.9105735559032</v>
      </c>
      <c r="F69">
        <v>140.8833504330251</v>
      </c>
      <c r="G69">
        <v>140.42771287603881</v>
      </c>
      <c r="H69">
        <v>146.30726553143819</v>
      </c>
      <c r="I69">
        <v>149.6191516521196</v>
      </c>
    </row>
    <row r="70" spans="3:9" x14ac:dyDescent="0.35">
      <c r="E70">
        <v>46626770.609999999</v>
      </c>
      <c r="F70">
        <v>58831426.030000001</v>
      </c>
      <c r="G70">
        <v>201246674.83000001</v>
      </c>
      <c r="H70">
        <v>244905621.09999999</v>
      </c>
      <c r="I70">
        <v>58437607.400000013</v>
      </c>
    </row>
    <row r="71" spans="3:9" x14ac:dyDescent="0.35">
      <c r="E71">
        <v>1.6172723622602621</v>
      </c>
      <c r="F71">
        <v>1.454891217231145</v>
      </c>
      <c r="G71">
        <v>1.5002665490702161</v>
      </c>
      <c r="H71">
        <v>1.4259528815613829</v>
      </c>
      <c r="I71">
        <v>1.411364921536596</v>
      </c>
    </row>
    <row r="72" spans="3:9" x14ac:dyDescent="0.35">
      <c r="E72">
        <v>0.20927874063707219</v>
      </c>
      <c r="F72">
        <v>0.2153823845523537</v>
      </c>
      <c r="G72">
        <v>0.232058761932802</v>
      </c>
      <c r="H72">
        <v>0.22458012055129339</v>
      </c>
      <c r="I72">
        <v>0.22073316015324049</v>
      </c>
    </row>
    <row r="74" spans="3:9" x14ac:dyDescent="0.35">
      <c r="E74" s="3">
        <f>SUM(E70,E58)</f>
        <v>655540711.76999998</v>
      </c>
      <c r="F74" s="3">
        <f>SUM(F70,F58)</f>
        <v>880326633.79999995</v>
      </c>
      <c r="G74" s="3">
        <f>SUM(G70,G58)</f>
        <v>1230015293.8499999</v>
      </c>
      <c r="H74" s="3">
        <f>SUM(H70,H58)</f>
        <v>1199222381.3099999</v>
      </c>
      <c r="I74" s="3">
        <f>SUM(I70,I58)</f>
        <v>482483304.55000001</v>
      </c>
    </row>
    <row r="75" spans="3:9" x14ac:dyDescent="0.35">
      <c r="E75">
        <f>E70/E74</f>
        <v>7.1127192823928306E-2</v>
      </c>
      <c r="F75">
        <f>F70/F74</f>
        <v>6.6829087944379764E-2</v>
      </c>
      <c r="G75">
        <f>G70/G74</f>
        <v>0.16361314841873992</v>
      </c>
      <c r="H75">
        <f>H70/H74</f>
        <v>0.20422035555446466</v>
      </c>
      <c r="I75">
        <f>I70/I74</f>
        <v>0.12111840316320022</v>
      </c>
    </row>
    <row r="76" spans="3:9" x14ac:dyDescent="0.35">
      <c r="C76" s="4" t="s">
        <v>128</v>
      </c>
    </row>
    <row r="77" spans="3:9" x14ac:dyDescent="0.35">
      <c r="C77" t="s">
        <v>81</v>
      </c>
      <c r="D77" s="1">
        <f t="shared" ref="D77:D85" si="3">D52</f>
        <v>138.41068507713069</v>
      </c>
      <c r="E77" s="1">
        <f t="shared" ref="E77:I85" si="4">E52*E$58/E$74+E64*E$70/E$74</f>
        <v>138.79467602956345</v>
      </c>
      <c r="F77" s="1">
        <f t="shared" si="4"/>
        <v>138.70816401939254</v>
      </c>
      <c r="G77" s="1">
        <f t="shared" si="4"/>
        <v>140.33443487122605</v>
      </c>
      <c r="H77" s="1">
        <f t="shared" si="4"/>
        <v>141.07292919601142</v>
      </c>
      <c r="I77" s="1">
        <f t="shared" si="4"/>
        <v>142.38418479491983</v>
      </c>
    </row>
    <row r="78" spans="3:9" x14ac:dyDescent="0.35">
      <c r="C78" t="s">
        <v>82</v>
      </c>
      <c r="D78" s="1">
        <f t="shared" si="3"/>
        <v>0.91075176263296043</v>
      </c>
      <c r="E78" s="1">
        <f t="shared" si="4"/>
        <v>1.3071065682621028</v>
      </c>
      <c r="F78" s="1">
        <f t="shared" si="4"/>
        <v>1.4314977521606793</v>
      </c>
      <c r="G78" s="1">
        <f t="shared" si="4"/>
        <v>0.9974862256263598</v>
      </c>
      <c r="H78" s="1">
        <f t="shared" si="4"/>
        <v>1.091936681157289</v>
      </c>
      <c r="I78" s="1">
        <f t="shared" si="4"/>
        <v>1.2175452441512249</v>
      </c>
    </row>
    <row r="79" spans="3:9" x14ac:dyDescent="0.35">
      <c r="C79" t="s">
        <v>83</v>
      </c>
      <c r="D79" s="1">
        <f t="shared" si="3"/>
        <v>-0.89809377334605833</v>
      </c>
      <c r="E79" s="1">
        <f t="shared" si="4"/>
        <v>7.3932642075225138E-2</v>
      </c>
      <c r="F79" s="1">
        <f t="shared" si="4"/>
        <v>1.7925594472576289</v>
      </c>
      <c r="G79" s="1">
        <f t="shared" si="4"/>
        <v>1.6226643294004039</v>
      </c>
      <c r="H79" s="1">
        <f t="shared" si="4"/>
        <v>2.1156087002434045</v>
      </c>
      <c r="I79" s="1">
        <f t="shared" si="4"/>
        <v>1.9202948040267769</v>
      </c>
    </row>
    <row r="80" spans="3:9" x14ac:dyDescent="0.35">
      <c r="C80" t="s">
        <v>84</v>
      </c>
      <c r="D80" s="1">
        <f t="shared" si="3"/>
        <v>0.37466794129514153</v>
      </c>
      <c r="E80" s="1">
        <f t="shared" si="4"/>
        <v>1.4056413341800926</v>
      </c>
      <c r="F80" s="1">
        <f t="shared" si="4"/>
        <v>2.2835209175226097</v>
      </c>
      <c r="G80" s="1">
        <f t="shared" si="4"/>
        <v>2.4052002928361196</v>
      </c>
      <c r="H80" s="1">
        <f t="shared" si="4"/>
        <v>3.2457678843520936</v>
      </c>
      <c r="I80" s="1">
        <f t="shared" si="4"/>
        <v>2.9567975421742219</v>
      </c>
    </row>
    <row r="81" spans="3:9" x14ac:dyDescent="0.35">
      <c r="C81" t="s">
        <v>85</v>
      </c>
      <c r="D81" s="1">
        <f t="shared" si="3"/>
        <v>-7.3109172677325571E-2</v>
      </c>
      <c r="E81" s="1">
        <f t="shared" si="4"/>
        <v>0.26262779856745738</v>
      </c>
      <c r="F81" s="1">
        <f t="shared" si="4"/>
        <v>0.11213833709794493</v>
      </c>
      <c r="G81" s="1">
        <f t="shared" si="4"/>
        <v>0.42277508526486418</v>
      </c>
      <c r="H81" s="1">
        <f t="shared" si="4"/>
        <v>0.74322592446606062</v>
      </c>
      <c r="I81" s="1">
        <f t="shared" si="4"/>
        <v>0.827486447343043</v>
      </c>
    </row>
    <row r="82" spans="3:9" x14ac:dyDescent="0.35">
      <c r="C82" t="s">
        <v>86</v>
      </c>
      <c r="D82" s="3">
        <f t="shared" si="3"/>
        <v>138.72490183503541</v>
      </c>
      <c r="E82" s="3">
        <f t="shared" si="4"/>
        <v>141.84398437264838</v>
      </c>
      <c r="F82" s="3">
        <f t="shared" si="4"/>
        <v>144.32788047343143</v>
      </c>
      <c r="G82" s="3">
        <f t="shared" si="4"/>
        <v>145.78273544591306</v>
      </c>
      <c r="H82" s="3">
        <f t="shared" si="4"/>
        <v>148.26948059668138</v>
      </c>
      <c r="I82" s="3">
        <f t="shared" si="4"/>
        <v>149.30647628134713</v>
      </c>
    </row>
    <row r="83" spans="3:9" x14ac:dyDescent="0.35">
      <c r="C83" t="s">
        <v>87</v>
      </c>
      <c r="D83" s="1">
        <f t="shared" si="3"/>
        <v>328183495.20999998</v>
      </c>
      <c r="E83" s="1">
        <f t="shared" si="4"/>
        <v>568920033.1578691</v>
      </c>
      <c r="F83" s="1">
        <f t="shared" si="4"/>
        <v>770527082.82810426</v>
      </c>
      <c r="G83" s="1">
        <f t="shared" si="4"/>
        <v>893375148.34547734</v>
      </c>
      <c r="H83" s="1">
        <f t="shared" si="4"/>
        <v>809440565.14665818</v>
      </c>
      <c r="I83" s="1">
        <f t="shared" si="4"/>
        <v>379763829.13593197</v>
      </c>
    </row>
    <row r="84" spans="3:9" x14ac:dyDescent="0.35">
      <c r="C84" t="s">
        <v>88</v>
      </c>
      <c r="D84" s="1">
        <f t="shared" si="3"/>
        <v>1.5993282337601269</v>
      </c>
      <c r="E84" s="1">
        <f t="shared" si="4"/>
        <v>1.5664285912510978</v>
      </c>
      <c r="F84" s="1">
        <f t="shared" si="4"/>
        <v>1.5073119063183387</v>
      </c>
      <c r="G84" s="1">
        <f t="shared" si="4"/>
        <v>1.5137801786384359</v>
      </c>
      <c r="H84" s="1">
        <f t="shared" si="4"/>
        <v>1.4856810630338255</v>
      </c>
      <c r="I84" s="1">
        <f t="shared" si="4"/>
        <v>1.494971429793531</v>
      </c>
    </row>
    <row r="85" spans="3:9" x14ac:dyDescent="0.35">
      <c r="C85" t="s">
        <v>89</v>
      </c>
      <c r="D85" s="1">
        <f t="shared" si="3"/>
        <v>0.2469960199177379</v>
      </c>
      <c r="E85" s="1">
        <f t="shared" si="4"/>
        <v>0.24438582885234506</v>
      </c>
      <c r="F85" s="1">
        <f t="shared" si="4"/>
        <v>0.24589009464205558</v>
      </c>
      <c r="G85" s="1">
        <f t="shared" si="4"/>
        <v>0.24313924618415855</v>
      </c>
      <c r="H85" s="1">
        <f t="shared" si="4"/>
        <v>0.23937521401621342</v>
      </c>
      <c r="I85" s="1">
        <f t="shared" si="4"/>
        <v>0.23912961600751217</v>
      </c>
    </row>
  </sheetData>
  <mergeCells count="1">
    <mergeCell ref="C15:C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98"/>
  <sheetViews>
    <sheetView zoomScaleNormal="100" workbookViewId="0">
      <selection activeCell="U17" sqref="U17"/>
    </sheetView>
  </sheetViews>
  <sheetFormatPr defaultRowHeight="14.5" x14ac:dyDescent="0.35"/>
  <cols>
    <col min="24" max="24" width="20.54296875" bestFit="1" customWidth="1"/>
  </cols>
  <sheetData>
    <row r="1" spans="1:27" x14ac:dyDescent="0.35">
      <c r="A1" t="s">
        <v>0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  <c r="R1" t="s">
        <v>145</v>
      </c>
      <c r="S1" t="s">
        <v>146</v>
      </c>
      <c r="T1" t="s">
        <v>147</v>
      </c>
      <c r="U1" t="s">
        <v>148</v>
      </c>
      <c r="V1" t="s">
        <v>149</v>
      </c>
      <c r="W1" t="s">
        <v>150</v>
      </c>
      <c r="X1" t="s">
        <v>151</v>
      </c>
      <c r="Y1" t="s">
        <v>152</v>
      </c>
    </row>
    <row r="2" spans="1:27" x14ac:dyDescent="0.35">
      <c r="A2" t="s">
        <v>81</v>
      </c>
      <c r="B2">
        <v>139.5328914508093</v>
      </c>
      <c r="C2">
        <v>140.5651370476894</v>
      </c>
      <c r="D2">
        <v>140.87895178150379</v>
      </c>
      <c r="E2">
        <v>139.7826755104175</v>
      </c>
      <c r="F2">
        <v>140.66068016542101</v>
      </c>
      <c r="G2">
        <v>140.722873913185</v>
      </c>
      <c r="H2">
        <v>140.9437018671953</v>
      </c>
      <c r="I2">
        <v>140.98491324403079</v>
      </c>
      <c r="J2">
        <v>141.62522003935331</v>
      </c>
      <c r="K2">
        <v>140.73212147936499</v>
      </c>
      <c r="L2">
        <v>140.75220224156561</v>
      </c>
      <c r="M2">
        <v>140.81055832100699</v>
      </c>
      <c r="N2">
        <v>141.05537322829471</v>
      </c>
      <c r="O2">
        <v>142.18569838481429</v>
      </c>
      <c r="P2">
        <v>141.38209872817541</v>
      </c>
      <c r="Q2">
        <v>141.13144602664721</v>
      </c>
      <c r="R2">
        <v>141.15729292874431</v>
      </c>
      <c r="S2">
        <v>140.7502065941498</v>
      </c>
      <c r="T2">
        <v>140.68363807948029</v>
      </c>
      <c r="U2">
        <v>140.9984706196683</v>
      </c>
      <c r="V2">
        <v>142.75852353299879</v>
      </c>
      <c r="W2">
        <v>142.629174987711</v>
      </c>
      <c r="X2">
        <v>141.62681058024839</v>
      </c>
      <c r="Y2">
        <v>141.8649221526986</v>
      </c>
    </row>
    <row r="3" spans="1:27" x14ac:dyDescent="0.35">
      <c r="A3" t="s">
        <v>82</v>
      </c>
      <c r="B3">
        <v>2.78891480580026</v>
      </c>
      <c r="C3">
        <v>2.987648667084386</v>
      </c>
      <c r="D3">
        <v>3.3318987918154899</v>
      </c>
      <c r="E3">
        <v>3.0394308602666911</v>
      </c>
      <c r="F3">
        <v>3.3476843788211852</v>
      </c>
      <c r="G3">
        <v>3.619021219922729</v>
      </c>
      <c r="H3">
        <v>3.3947145200768318</v>
      </c>
      <c r="I3">
        <v>3.728870134574549</v>
      </c>
      <c r="J3">
        <v>3.5161685322256631</v>
      </c>
      <c r="K3">
        <v>2.8095754735832661</v>
      </c>
      <c r="L3">
        <v>3.7473912528963349</v>
      </c>
      <c r="M3">
        <v>3.6067685211737341</v>
      </c>
      <c r="N3">
        <v>3.5190572895859868</v>
      </c>
      <c r="O3">
        <v>3.5311802390942262</v>
      </c>
      <c r="P3">
        <v>3.274467806364044</v>
      </c>
      <c r="Q3">
        <v>4.00792529873425</v>
      </c>
      <c r="R3">
        <v>3.6984067358998232</v>
      </c>
      <c r="S3">
        <v>3.01992784121262</v>
      </c>
      <c r="T3">
        <v>3.1905001394514159</v>
      </c>
      <c r="U3">
        <v>3.1205426356861778</v>
      </c>
      <c r="V3">
        <v>3.2853763081642171</v>
      </c>
      <c r="W3">
        <v>3.8141001646401662</v>
      </c>
      <c r="X3">
        <v>3.691446588701353</v>
      </c>
      <c r="Y3">
        <v>2.680558715689358</v>
      </c>
    </row>
    <row r="4" spans="1:27" x14ac:dyDescent="0.35">
      <c r="A4" t="s">
        <v>83</v>
      </c>
      <c r="B4">
        <v>1.06230033557287</v>
      </c>
      <c r="C4">
        <v>1.6820264487013601</v>
      </c>
      <c r="D4">
        <v>2.596370900193623</v>
      </c>
      <c r="E4">
        <v>1.497830799371797</v>
      </c>
      <c r="F4">
        <v>4.3552557188651946</v>
      </c>
      <c r="G4">
        <v>3.2032058170000588</v>
      </c>
      <c r="H4">
        <v>3.7939489606649222</v>
      </c>
      <c r="I4">
        <v>3.3213138607131318</v>
      </c>
      <c r="J4">
        <v>3.7222458205872471</v>
      </c>
      <c r="K4">
        <v>3.0231992527383409</v>
      </c>
      <c r="L4">
        <v>5.0555818984873611</v>
      </c>
      <c r="M4">
        <v>2.6093409486450629</v>
      </c>
      <c r="N4">
        <v>4.2341716854570821</v>
      </c>
      <c r="O4">
        <v>2.450656079286182</v>
      </c>
      <c r="P4">
        <v>2.3643402857410241</v>
      </c>
      <c r="Q4">
        <v>3.6863544698134239</v>
      </c>
      <c r="R4">
        <v>4.8592304108738418</v>
      </c>
      <c r="S4">
        <v>2.4900400362175179</v>
      </c>
      <c r="T4">
        <v>2.7242116892571802</v>
      </c>
      <c r="U4">
        <v>4.2597125550310029</v>
      </c>
      <c r="V4">
        <v>2.7048048121515449</v>
      </c>
      <c r="W4">
        <v>3.108523036769796</v>
      </c>
      <c r="X4">
        <v>5.1724908612576774</v>
      </c>
      <c r="Y4">
        <v>6.8050106708395388</v>
      </c>
    </row>
    <row r="5" spans="1:27" x14ac:dyDescent="0.35">
      <c r="A5" t="s">
        <v>84</v>
      </c>
      <c r="B5">
        <v>3.7949420166025369</v>
      </c>
      <c r="C5">
        <v>3.8117861143964049</v>
      </c>
      <c r="D5">
        <v>3.5696735113001079</v>
      </c>
      <c r="E5">
        <v>3.110210385375987</v>
      </c>
      <c r="F5">
        <v>4.7292947359288036</v>
      </c>
      <c r="G5">
        <v>3.525319865058639</v>
      </c>
      <c r="H5">
        <v>4.8476357094796203</v>
      </c>
      <c r="I5">
        <v>4.2021771931231431</v>
      </c>
      <c r="J5">
        <v>4.4979174205448356</v>
      </c>
      <c r="K5">
        <v>4.8759551528737779</v>
      </c>
      <c r="L5">
        <v>3.9981230844336308</v>
      </c>
      <c r="M5">
        <v>4.9520214973779844</v>
      </c>
      <c r="N5">
        <v>4.0103005809446088</v>
      </c>
      <c r="O5">
        <v>4.0124222642655241</v>
      </c>
      <c r="P5">
        <v>4.177202210564567</v>
      </c>
      <c r="Q5">
        <v>4.3764110554066313</v>
      </c>
      <c r="R5">
        <v>4.6046255547845627</v>
      </c>
      <c r="S5">
        <v>4.0742077507331178</v>
      </c>
      <c r="T5">
        <v>4.0649706973367881</v>
      </c>
      <c r="U5">
        <v>3.4931697711269569</v>
      </c>
      <c r="V5">
        <v>4.2170211100121318</v>
      </c>
      <c r="W5">
        <v>3.649172187333757</v>
      </c>
      <c r="X5">
        <v>4.1191749318828919</v>
      </c>
      <c r="Y5">
        <v>4.9474171686338329</v>
      </c>
    </row>
    <row r="6" spans="1:27" x14ac:dyDescent="0.35">
      <c r="A6" t="s">
        <v>85</v>
      </c>
      <c r="B6">
        <v>0.48054851473891291</v>
      </c>
      <c r="C6">
        <v>0.82284421274018471</v>
      </c>
      <c r="D6">
        <v>0.54170994012501583</v>
      </c>
      <c r="E6">
        <v>0.86180154601914982</v>
      </c>
      <c r="F6">
        <v>1.1294387471822891</v>
      </c>
      <c r="G6">
        <v>1.020041859223451</v>
      </c>
      <c r="H6">
        <v>1.517406563926917</v>
      </c>
      <c r="I6">
        <v>1.744505882209072</v>
      </c>
      <c r="J6">
        <v>1.2232640130786321</v>
      </c>
      <c r="K6">
        <v>1.284592543156049</v>
      </c>
      <c r="L6">
        <v>1.316202585342543</v>
      </c>
      <c r="M6">
        <v>1.4627528400031899</v>
      </c>
      <c r="N6">
        <v>1.8012694690834219</v>
      </c>
      <c r="O6">
        <v>1.94315742196976</v>
      </c>
      <c r="P6">
        <v>1.7028213446379341</v>
      </c>
      <c r="Q6">
        <v>1.7625626930376781</v>
      </c>
      <c r="R6">
        <v>1.958681122262655</v>
      </c>
      <c r="S6">
        <v>1.2840725314428949</v>
      </c>
      <c r="T6">
        <v>1.370401887104804</v>
      </c>
      <c r="U6">
        <v>1.1706714932051121</v>
      </c>
      <c r="V6">
        <v>1.360285119130026</v>
      </c>
      <c r="W6">
        <v>0.68377009924252963</v>
      </c>
      <c r="X6">
        <v>1.618575568873301</v>
      </c>
      <c r="Y6">
        <v>1.8389872123570561</v>
      </c>
    </row>
    <row r="7" spans="1:27" x14ac:dyDescent="0.35">
      <c r="A7" t="s">
        <v>86</v>
      </c>
      <c r="B7">
        <v>147.65959712352389</v>
      </c>
      <c r="C7">
        <v>149.86944249061179</v>
      </c>
      <c r="D7">
        <v>150.91860492493799</v>
      </c>
      <c r="E7">
        <v>148.29194910145111</v>
      </c>
      <c r="F7">
        <v>154.22235374621849</v>
      </c>
      <c r="G7">
        <v>152.0904626743899</v>
      </c>
      <c r="H7">
        <v>154.4974076213436</v>
      </c>
      <c r="I7">
        <v>153.98178031465071</v>
      </c>
      <c r="J7">
        <v>154.5848158257896</v>
      </c>
      <c r="K7">
        <v>152.7254439017164</v>
      </c>
      <c r="L7">
        <v>154.86950106272539</v>
      </c>
      <c r="M7">
        <v>153.441442128207</v>
      </c>
      <c r="N7">
        <v>154.62017225336581</v>
      </c>
      <c r="O7">
        <v>154.12311438942999</v>
      </c>
      <c r="P7">
        <v>152.900930375483</v>
      </c>
      <c r="Q7">
        <v>154.9646995436392</v>
      </c>
      <c r="R7">
        <v>156.27823675256519</v>
      </c>
      <c r="S7">
        <v>151.61845475375591</v>
      </c>
      <c r="T7">
        <v>152.03372249263049</v>
      </c>
      <c r="U7">
        <v>153.0425670747176</v>
      </c>
      <c r="V7">
        <v>154.3260108824567</v>
      </c>
      <c r="W7">
        <v>153.8847404756973</v>
      </c>
      <c r="X7">
        <v>156.22849853096369</v>
      </c>
      <c r="Y7">
        <v>158.13689592021839</v>
      </c>
    </row>
    <row r="8" spans="1:27" x14ac:dyDescent="0.35">
      <c r="A8" t="s">
        <v>87</v>
      </c>
      <c r="B8">
        <v>3951213.06</v>
      </c>
      <c r="C8">
        <v>4744420.74</v>
      </c>
      <c r="D8">
        <v>4517768.03</v>
      </c>
      <c r="E8">
        <v>4391450.13</v>
      </c>
      <c r="F8">
        <v>4977656.97</v>
      </c>
      <c r="G8">
        <v>5492368.9699999997</v>
      </c>
      <c r="H8">
        <v>5252397.91</v>
      </c>
      <c r="I8">
        <v>5039020.9899999993</v>
      </c>
      <c r="J8">
        <v>5139222.7499999991</v>
      </c>
      <c r="K8">
        <v>5859138.3000000007</v>
      </c>
      <c r="L8">
        <v>5861629.4499999993</v>
      </c>
      <c r="M8">
        <v>4958280.5300000012</v>
      </c>
      <c r="N8">
        <v>5247689.3900000006</v>
      </c>
      <c r="O8">
        <v>5299439.4700000007</v>
      </c>
      <c r="P8">
        <v>4975160.92</v>
      </c>
      <c r="Q8">
        <v>5642143.4199999999</v>
      </c>
      <c r="R8">
        <v>5845718.1600000001</v>
      </c>
      <c r="S8">
        <v>6315728.21</v>
      </c>
      <c r="T8">
        <v>5661452.3900000006</v>
      </c>
      <c r="U8">
        <v>5347235.97</v>
      </c>
      <c r="V8">
        <v>4213752.16</v>
      </c>
      <c r="W8">
        <v>3986125.84</v>
      </c>
      <c r="X8">
        <v>3791368.82</v>
      </c>
      <c r="Y8">
        <v>2580298.8199999998</v>
      </c>
      <c r="AA8">
        <f>X8/W8</f>
        <v>0.9511412765634113</v>
      </c>
    </row>
    <row r="9" spans="1:27" x14ac:dyDescent="0.35">
      <c r="A9" t="s">
        <v>88</v>
      </c>
      <c r="B9">
        <v>1.5859625852127399</v>
      </c>
      <c r="C9">
        <v>1.584678980396897</v>
      </c>
      <c r="D9">
        <v>1.6033312333266829</v>
      </c>
      <c r="E9">
        <v>1.6399629525498569</v>
      </c>
      <c r="F9">
        <v>1.5177667016255461</v>
      </c>
      <c r="G9">
        <v>1.6067959094826889</v>
      </c>
      <c r="H9">
        <v>1.5095454921783631</v>
      </c>
      <c r="I9">
        <v>1.5555006308831789</v>
      </c>
      <c r="J9">
        <v>1.5341020878832721</v>
      </c>
      <c r="K9">
        <v>1.5075913151919</v>
      </c>
      <c r="L9">
        <v>1.5706165673659089</v>
      </c>
      <c r="M9">
        <v>1.50236733341115</v>
      </c>
      <c r="N9">
        <v>1.569706243513306</v>
      </c>
      <c r="O9">
        <v>1.5695477458630249</v>
      </c>
      <c r="P9">
        <v>1.5573350847803411</v>
      </c>
      <c r="Q9">
        <v>1.542822128303831</v>
      </c>
      <c r="R9">
        <v>1.5265249525556459</v>
      </c>
      <c r="S9">
        <v>1.564946136532829</v>
      </c>
      <c r="T9">
        <v>1.565632370149445</v>
      </c>
      <c r="U9">
        <v>1.609316682988976</v>
      </c>
      <c r="V9">
        <v>1.554412366797195</v>
      </c>
      <c r="W9">
        <v>1.597158457530321</v>
      </c>
      <c r="X9">
        <v>1.5616140358878901</v>
      </c>
      <c r="Y9">
        <v>1.50268251369156</v>
      </c>
    </row>
    <row r="10" spans="1:27" x14ac:dyDescent="0.35">
      <c r="A10" t="s">
        <v>89</v>
      </c>
      <c r="B10">
        <v>0.2431350212180155</v>
      </c>
      <c r="C10">
        <v>0.23824508267514019</v>
      </c>
      <c r="D10">
        <v>0.2422612865696426</v>
      </c>
      <c r="E10">
        <v>0.2376885493425836</v>
      </c>
      <c r="F10">
        <v>0.2338651607545387</v>
      </c>
      <c r="G10">
        <v>0.23542797343966501</v>
      </c>
      <c r="H10">
        <v>0.22832276337247259</v>
      </c>
      <c r="I10">
        <v>0.22507848739701319</v>
      </c>
      <c r="J10">
        <v>0.2325247998131624</v>
      </c>
      <c r="K10">
        <v>0.23164867795491359</v>
      </c>
      <c r="L10">
        <v>0.23119710592367801</v>
      </c>
      <c r="M10">
        <v>0.22910353085709731</v>
      </c>
      <c r="N10">
        <v>0.22426757901309399</v>
      </c>
      <c r="O10">
        <v>0.22224060825757491</v>
      </c>
      <c r="P10">
        <v>0.22567398079088671</v>
      </c>
      <c r="Q10">
        <v>0.22482053295660459</v>
      </c>
      <c r="R10">
        <v>0.22201884111053349</v>
      </c>
      <c r="S10">
        <v>0.2316561066936729</v>
      </c>
      <c r="T10">
        <v>0.23042283018421711</v>
      </c>
      <c r="U10">
        <v>0.23327612152564131</v>
      </c>
      <c r="V10">
        <v>0.2305673554409996</v>
      </c>
      <c r="W10">
        <v>0.24023185572510669</v>
      </c>
      <c r="X10">
        <v>0.22687749187323861</v>
      </c>
      <c r="Y10">
        <v>0.22372875410918491</v>
      </c>
    </row>
    <row r="12" spans="1:27" x14ac:dyDescent="0.35">
      <c r="A12" t="s">
        <v>90</v>
      </c>
      <c r="B12" t="s">
        <v>129</v>
      </c>
      <c r="C12" t="s">
        <v>130</v>
      </c>
      <c r="D12" t="s">
        <v>131</v>
      </c>
      <c r="E12" t="s">
        <v>132</v>
      </c>
      <c r="F12" t="s">
        <v>133</v>
      </c>
      <c r="G12" t="s">
        <v>134</v>
      </c>
      <c r="H12" t="s">
        <v>135</v>
      </c>
      <c r="I12" t="s">
        <v>136</v>
      </c>
      <c r="J12" t="s">
        <v>137</v>
      </c>
      <c r="K12" t="s">
        <v>138</v>
      </c>
      <c r="L12" t="s">
        <v>139</v>
      </c>
      <c r="M12" t="s">
        <v>140</v>
      </c>
      <c r="N12" t="s">
        <v>141</v>
      </c>
      <c r="O12" t="s">
        <v>142</v>
      </c>
      <c r="P12" t="s">
        <v>143</v>
      </c>
      <c r="Q12" t="s">
        <v>144</v>
      </c>
      <c r="R12" t="s">
        <v>145</v>
      </c>
      <c r="S12" t="s">
        <v>146</v>
      </c>
      <c r="T12" t="s">
        <v>147</v>
      </c>
      <c r="U12" t="s">
        <v>148</v>
      </c>
      <c r="V12" t="s">
        <v>149</v>
      </c>
      <c r="W12" t="s">
        <v>150</v>
      </c>
      <c r="X12" t="s">
        <v>151</v>
      </c>
      <c r="Y12" t="s">
        <v>152</v>
      </c>
    </row>
    <row r="13" spans="1:27" x14ac:dyDescent="0.35">
      <c r="A13" t="s">
        <v>81</v>
      </c>
      <c r="B13">
        <v>142.83536840251051</v>
      </c>
      <c r="C13">
        <v>143.1887986406399</v>
      </c>
      <c r="D13">
        <v>142.9859002563143</v>
      </c>
      <c r="E13">
        <v>143.51443845623331</v>
      </c>
      <c r="F13">
        <v>142.9647841277482</v>
      </c>
      <c r="G13">
        <v>142.91714379085241</v>
      </c>
      <c r="H13">
        <v>142.9881148362289</v>
      </c>
      <c r="I13">
        <v>142.74049133811499</v>
      </c>
      <c r="J13">
        <v>142.75612771982199</v>
      </c>
      <c r="K13">
        <v>142.9862020108948</v>
      </c>
      <c r="L13">
        <v>142.860756850012</v>
      </c>
      <c r="M13">
        <v>143.79727554305569</v>
      </c>
      <c r="N13">
        <v>144.0283592557015</v>
      </c>
      <c r="O13">
        <v>143.61530354341599</v>
      </c>
      <c r="P13">
        <v>143.0688886092419</v>
      </c>
      <c r="Q13">
        <v>143.7704644958871</v>
      </c>
      <c r="R13">
        <v>143.8298365380459</v>
      </c>
      <c r="S13">
        <v>143.90285798559671</v>
      </c>
      <c r="T13">
        <v>143.98865201787169</v>
      </c>
      <c r="U13">
        <v>143.68368468208411</v>
      </c>
      <c r="V13">
        <v>143.2652110764995</v>
      </c>
      <c r="W13">
        <v>143.80397194128619</v>
      </c>
      <c r="X13">
        <v>143.39977840274361</v>
      </c>
      <c r="Y13">
        <v>144.3884281209109</v>
      </c>
    </row>
    <row r="14" spans="1:27" x14ac:dyDescent="0.35">
      <c r="A14" t="s">
        <v>82</v>
      </c>
      <c r="B14">
        <v>2.337963620711037</v>
      </c>
      <c r="C14">
        <v>2.8736939927622132</v>
      </c>
      <c r="D14">
        <v>2.742958476732269</v>
      </c>
      <c r="E14">
        <v>2.815452470231008</v>
      </c>
      <c r="F14">
        <v>3.2634687578106711</v>
      </c>
      <c r="G14">
        <v>2.981065063978718</v>
      </c>
      <c r="H14">
        <v>2.9888341663278482</v>
      </c>
      <c r="I14">
        <v>3.2526672646701802</v>
      </c>
      <c r="J14">
        <v>2.8329549774423981</v>
      </c>
      <c r="K14">
        <v>2.952912283966413</v>
      </c>
      <c r="L14">
        <v>2.8781760034779889</v>
      </c>
      <c r="M14">
        <v>2.6324359596821409</v>
      </c>
      <c r="N14">
        <v>2.8026289031457172</v>
      </c>
      <c r="O14">
        <v>3.1317419114273548</v>
      </c>
      <c r="P14">
        <v>3.1374534822194282</v>
      </c>
      <c r="Q14">
        <v>3.1557051720728571</v>
      </c>
      <c r="R14">
        <v>3.2819962680436281</v>
      </c>
      <c r="S14">
        <v>2.855301183525512</v>
      </c>
      <c r="T14">
        <v>3.1629571123615681</v>
      </c>
      <c r="U14">
        <v>2.8865020908029351</v>
      </c>
      <c r="V14">
        <v>3.1464761969089921</v>
      </c>
      <c r="W14">
        <v>2.9970220124770321</v>
      </c>
      <c r="X14">
        <v>2.8848281785844558</v>
      </c>
      <c r="Y14">
        <v>2.4752253603352021</v>
      </c>
    </row>
    <row r="15" spans="1:27" x14ac:dyDescent="0.35">
      <c r="A15" t="s">
        <v>83</v>
      </c>
      <c r="B15">
        <v>2.5187762085063081</v>
      </c>
      <c r="C15">
        <v>2.5601980170678118</v>
      </c>
      <c r="D15">
        <v>2.8934275026713991</v>
      </c>
      <c r="E15">
        <v>2.2572976991097389</v>
      </c>
      <c r="F15">
        <v>2.9132077556708009</v>
      </c>
      <c r="G15">
        <v>2.6781828341755971</v>
      </c>
      <c r="H15">
        <v>2.6496251519311769</v>
      </c>
      <c r="I15">
        <v>3.771526086651896</v>
      </c>
      <c r="J15">
        <v>3.570693052378636</v>
      </c>
      <c r="K15">
        <v>3.041988072648155</v>
      </c>
      <c r="L15">
        <v>3.131479416281806</v>
      </c>
      <c r="M15">
        <v>2.6705048210235298</v>
      </c>
      <c r="N15">
        <v>2.3894889118473541</v>
      </c>
      <c r="O15">
        <v>2.859609255806268</v>
      </c>
      <c r="P15">
        <v>2.1733195959729041</v>
      </c>
      <c r="Q15">
        <v>2.3115442842377578</v>
      </c>
      <c r="R15">
        <v>2.5344804584258518</v>
      </c>
      <c r="S15">
        <v>2.8588237602575499</v>
      </c>
      <c r="T15">
        <v>2.2775703896587132</v>
      </c>
      <c r="U15">
        <v>2.753420576664023</v>
      </c>
      <c r="V15">
        <v>3.6807116381179288</v>
      </c>
      <c r="W15">
        <v>2.512386310769029</v>
      </c>
      <c r="X15">
        <v>3.317933082619454</v>
      </c>
      <c r="Y15">
        <v>1.5267535723805361</v>
      </c>
    </row>
    <row r="16" spans="1:27" x14ac:dyDescent="0.35">
      <c r="A16" t="s">
        <v>84</v>
      </c>
      <c r="B16">
        <v>4.7916431613779373</v>
      </c>
      <c r="C16">
        <v>4.9287958122733357</v>
      </c>
      <c r="D16">
        <v>4.8982750964765369</v>
      </c>
      <c r="E16">
        <v>5.1948403854574101</v>
      </c>
      <c r="F16">
        <v>4.9381277709102473</v>
      </c>
      <c r="G16">
        <v>5.1768281482064564</v>
      </c>
      <c r="H16">
        <v>5.1930069293415126</v>
      </c>
      <c r="I16">
        <v>5.0782625851337082</v>
      </c>
      <c r="J16">
        <v>5.2814299023591822</v>
      </c>
      <c r="K16">
        <v>4.6144988772550706</v>
      </c>
      <c r="L16">
        <v>5.1434403691057664</v>
      </c>
      <c r="M16">
        <v>4.9475707379644973</v>
      </c>
      <c r="N16">
        <v>4.697683205422031</v>
      </c>
      <c r="O16">
        <v>5.0078135215416406</v>
      </c>
      <c r="P16">
        <v>4.8665280204990049</v>
      </c>
      <c r="Q16">
        <v>5.0151125046620173</v>
      </c>
      <c r="R16">
        <v>4.6247883519724224</v>
      </c>
      <c r="S16">
        <v>4.48744201266428</v>
      </c>
      <c r="T16">
        <v>4.7694794977112087</v>
      </c>
      <c r="U16">
        <v>4.5417435487955133</v>
      </c>
      <c r="V16">
        <v>4.937579781848056</v>
      </c>
      <c r="W16">
        <v>4.6355504721430796</v>
      </c>
      <c r="X16">
        <v>5.0290539075889686</v>
      </c>
      <c r="Y16">
        <v>4.2492108110415154</v>
      </c>
    </row>
    <row r="17" spans="1:27" x14ac:dyDescent="0.35">
      <c r="A17" t="s">
        <v>85</v>
      </c>
      <c r="B17">
        <v>-0.25993278649054491</v>
      </c>
      <c r="C17">
        <v>-0.47855139028948829</v>
      </c>
      <c r="D17">
        <v>-0.16785799356503259</v>
      </c>
      <c r="E17">
        <v>-0.24924900774186409</v>
      </c>
      <c r="F17">
        <v>-0.30092070082065442</v>
      </c>
      <c r="G17">
        <v>-0.35560563806461221</v>
      </c>
      <c r="H17">
        <v>-0.18819608347585229</v>
      </c>
      <c r="I17">
        <v>-0.29378086963325167</v>
      </c>
      <c r="J17">
        <v>-0.20061289535612151</v>
      </c>
      <c r="K17">
        <v>-0.2480516796700882</v>
      </c>
      <c r="L17">
        <v>-0.52005244683797247</v>
      </c>
      <c r="M17">
        <v>-0.55700765965584598</v>
      </c>
      <c r="N17">
        <v>-0.30452274722605699</v>
      </c>
      <c r="O17">
        <v>-0.40958959108303222</v>
      </c>
      <c r="P17">
        <v>-0.53234121689946456</v>
      </c>
      <c r="Q17">
        <v>-0.51949113593127427</v>
      </c>
      <c r="R17">
        <v>-0.29300808747272922</v>
      </c>
      <c r="S17">
        <v>-0.53506426874044888</v>
      </c>
      <c r="T17">
        <v>-0.3028008807296545</v>
      </c>
      <c r="U17">
        <v>-0.47833189562781148</v>
      </c>
      <c r="V17">
        <v>-0.60380356401719626</v>
      </c>
      <c r="W17">
        <v>-0.52069762003429554</v>
      </c>
      <c r="X17">
        <v>-0.34520779530710088</v>
      </c>
      <c r="Y17">
        <v>-0.68953052999342457</v>
      </c>
    </row>
    <row r="18" spans="1:27" x14ac:dyDescent="0.35">
      <c r="A18" t="s">
        <v>86</v>
      </c>
      <c r="B18">
        <v>152.2238186066152</v>
      </c>
      <c r="C18">
        <v>153.07293507245379</v>
      </c>
      <c r="D18">
        <v>153.3527033386294</v>
      </c>
      <c r="E18">
        <v>153.53278000328959</v>
      </c>
      <c r="F18">
        <v>153.7786677113192</v>
      </c>
      <c r="G18">
        <v>153.39761419914859</v>
      </c>
      <c r="H18">
        <v>153.63138500035359</v>
      </c>
      <c r="I18">
        <v>154.54916640493761</v>
      </c>
      <c r="J18">
        <v>154.24059275664609</v>
      </c>
      <c r="K18">
        <v>153.3475495650944</v>
      </c>
      <c r="L18">
        <v>153.4938001920396</v>
      </c>
      <c r="M18">
        <v>153.49077940206999</v>
      </c>
      <c r="N18">
        <v>153.61363752889059</v>
      </c>
      <c r="O18">
        <v>154.20487864110819</v>
      </c>
      <c r="P18">
        <v>152.71384849103379</v>
      </c>
      <c r="Q18">
        <v>153.73333532092849</v>
      </c>
      <c r="R18">
        <v>153.97809352901501</v>
      </c>
      <c r="S18">
        <v>153.56936067330349</v>
      </c>
      <c r="T18">
        <v>153.89585813687361</v>
      </c>
      <c r="U18">
        <v>153.3870190027188</v>
      </c>
      <c r="V18">
        <v>154.4261751293572</v>
      </c>
      <c r="W18">
        <v>153.42823311664111</v>
      </c>
      <c r="X18">
        <v>154.28638577622939</v>
      </c>
      <c r="Y18">
        <v>151.95008733467469</v>
      </c>
    </row>
    <row r="19" spans="1:27" x14ac:dyDescent="0.35">
      <c r="A19" t="s">
        <v>87</v>
      </c>
      <c r="B19">
        <v>14797654.49</v>
      </c>
      <c r="C19">
        <v>14901850.77</v>
      </c>
      <c r="D19">
        <v>16449231.9</v>
      </c>
      <c r="E19">
        <v>13001173.279999999</v>
      </c>
      <c r="F19">
        <v>14391890.300000001</v>
      </c>
      <c r="G19">
        <v>14289500.67</v>
      </c>
      <c r="H19">
        <v>15262331.550000001</v>
      </c>
      <c r="I19">
        <v>14758841.359999999</v>
      </c>
      <c r="J19">
        <v>12555862.039999999</v>
      </c>
      <c r="K19">
        <v>12315641.699999999</v>
      </c>
      <c r="L19">
        <v>13186194.949999999</v>
      </c>
      <c r="M19">
        <v>11436559.52</v>
      </c>
      <c r="N19">
        <v>10211545.109999999</v>
      </c>
      <c r="O19">
        <v>11298732.65</v>
      </c>
      <c r="P19">
        <v>10409650.74</v>
      </c>
      <c r="Q19">
        <v>10062414.65</v>
      </c>
      <c r="R19">
        <v>10232594.619999999</v>
      </c>
      <c r="S19">
        <v>9030073.5</v>
      </c>
      <c r="T19">
        <v>9682337.7100000009</v>
      </c>
      <c r="U19">
        <v>9762277.3200000003</v>
      </c>
      <c r="V19">
        <v>9813171.5099999979</v>
      </c>
      <c r="W19">
        <v>8338657.1400000006</v>
      </c>
      <c r="X19">
        <v>7776098.5199999996</v>
      </c>
      <c r="Y19">
        <v>5225256.9399999985</v>
      </c>
      <c r="AA19">
        <f>X19/W19</f>
        <v>0.93253606539337808</v>
      </c>
    </row>
    <row r="20" spans="1:27" x14ac:dyDescent="0.35">
      <c r="A20" t="s">
        <v>88</v>
      </c>
      <c r="B20">
        <v>1.513424194576183</v>
      </c>
      <c r="C20">
        <v>1.5039585521399861</v>
      </c>
      <c r="D20">
        <v>1.506054694020468</v>
      </c>
      <c r="E20">
        <v>1.485930938327868</v>
      </c>
      <c r="F20">
        <v>1.5033188038831271</v>
      </c>
      <c r="G20">
        <v>1.487137826004538</v>
      </c>
      <c r="H20">
        <v>1.4860536972300471</v>
      </c>
      <c r="I20">
        <v>1.4937769615172041</v>
      </c>
      <c r="J20">
        <v>1.480156351927308</v>
      </c>
      <c r="K20">
        <v>1.525827648713376</v>
      </c>
      <c r="L20">
        <v>1.489380125683327</v>
      </c>
      <c r="M20">
        <v>1.502671999272877</v>
      </c>
      <c r="N20">
        <v>1.5199779482335991</v>
      </c>
      <c r="O20">
        <v>1.498558680884795</v>
      </c>
      <c r="P20">
        <v>1.5082412703600021</v>
      </c>
      <c r="Q20">
        <v>1.498061842428287</v>
      </c>
      <c r="R20">
        <v>1.5251016316648409</v>
      </c>
      <c r="S20">
        <v>1.534849982634612</v>
      </c>
      <c r="T20">
        <v>1.5149650226348981</v>
      </c>
      <c r="U20">
        <v>1.530980996282636</v>
      </c>
      <c r="V20">
        <v>1.5033563559863989</v>
      </c>
      <c r="W20">
        <v>1.5243430040046131</v>
      </c>
      <c r="X20">
        <v>1.497113772491085</v>
      </c>
      <c r="Y20">
        <v>1.5520576407883779</v>
      </c>
    </row>
    <row r="21" spans="1:27" x14ac:dyDescent="0.35">
      <c r="A21" t="s">
        <v>89</v>
      </c>
      <c r="B21">
        <v>0.2537133255212935</v>
      </c>
      <c r="C21">
        <v>0.25683644843270698</v>
      </c>
      <c r="D21">
        <v>0.25239797133664332</v>
      </c>
      <c r="E21">
        <v>0.25356070011059811</v>
      </c>
      <c r="F21">
        <v>0.25429886715458078</v>
      </c>
      <c r="G21">
        <v>0.25508008054378017</v>
      </c>
      <c r="H21">
        <v>0.25268851547822652</v>
      </c>
      <c r="I21">
        <v>0.25419686956618931</v>
      </c>
      <c r="J21">
        <v>0.25286589850508739</v>
      </c>
      <c r="K21">
        <v>0.2535435954238584</v>
      </c>
      <c r="L21">
        <v>0.25742932066911389</v>
      </c>
      <c r="M21">
        <v>0.2579572522807978</v>
      </c>
      <c r="N21">
        <v>0.25435032496037219</v>
      </c>
      <c r="O21">
        <v>0.25585127987261469</v>
      </c>
      <c r="P21">
        <v>0.25760487452713521</v>
      </c>
      <c r="Q21">
        <v>0.25742130194187529</v>
      </c>
      <c r="R21">
        <v>0.25418582982103899</v>
      </c>
      <c r="S21">
        <v>0.2576437752677207</v>
      </c>
      <c r="T21">
        <v>0.25432572686756649</v>
      </c>
      <c r="U21">
        <v>0.25683331279468302</v>
      </c>
      <c r="V21">
        <v>0.25862576520024572</v>
      </c>
      <c r="W21">
        <v>0.25743853742906142</v>
      </c>
      <c r="X21">
        <v>0.25493153993295858</v>
      </c>
      <c r="Y21">
        <v>0.25985043614276321</v>
      </c>
    </row>
    <row r="23" spans="1:27" x14ac:dyDescent="0.35">
      <c r="A23" t="s">
        <v>91</v>
      </c>
      <c r="B23" t="s">
        <v>129</v>
      </c>
      <c r="C23" t="s">
        <v>130</v>
      </c>
      <c r="D23" t="s">
        <v>131</v>
      </c>
      <c r="E23" t="s">
        <v>132</v>
      </c>
      <c r="F23" t="s">
        <v>133</v>
      </c>
      <c r="G23" t="s">
        <v>134</v>
      </c>
      <c r="H23" t="s">
        <v>135</v>
      </c>
      <c r="I23" t="s">
        <v>136</v>
      </c>
      <c r="J23" t="s">
        <v>137</v>
      </c>
      <c r="K23" t="s">
        <v>138</v>
      </c>
      <c r="L23" t="s">
        <v>139</v>
      </c>
      <c r="M23" t="s">
        <v>140</v>
      </c>
      <c r="N23" t="s">
        <v>141</v>
      </c>
      <c r="O23" t="s">
        <v>142</v>
      </c>
      <c r="P23" t="s">
        <v>143</v>
      </c>
      <c r="Q23" t="s">
        <v>144</v>
      </c>
      <c r="R23" t="s">
        <v>145</v>
      </c>
      <c r="S23" t="s">
        <v>146</v>
      </c>
      <c r="T23" t="s">
        <v>147</v>
      </c>
      <c r="U23" t="s">
        <v>148</v>
      </c>
      <c r="V23" t="s">
        <v>149</v>
      </c>
      <c r="W23" t="s">
        <v>150</v>
      </c>
      <c r="X23" t="s">
        <v>151</v>
      </c>
      <c r="Y23" t="s">
        <v>152</v>
      </c>
    </row>
    <row r="24" spans="1:27" x14ac:dyDescent="0.35">
      <c r="A24" t="s">
        <v>81</v>
      </c>
      <c r="B24">
        <v>141.18904866508899</v>
      </c>
      <c r="C24">
        <v>140.88852842521831</v>
      </c>
      <c r="D24">
        <v>141.17395909185939</v>
      </c>
      <c r="E24">
        <v>140.87281592171931</v>
      </c>
      <c r="F24">
        <v>141.01380097588651</v>
      </c>
      <c r="G24">
        <v>141.41598511213761</v>
      </c>
      <c r="H24">
        <v>141.57709174441769</v>
      </c>
      <c r="I24">
        <v>140.80731775336969</v>
      </c>
      <c r="J24">
        <v>140.8217678681952</v>
      </c>
      <c r="K24">
        <v>141.51973551199811</v>
      </c>
      <c r="L24">
        <v>140.83527960817079</v>
      </c>
      <c r="M24">
        <v>141.58569027713091</v>
      </c>
      <c r="N24">
        <v>141.55485848038549</v>
      </c>
      <c r="O24">
        <v>140.5790676577698</v>
      </c>
      <c r="P24">
        <v>141.29539290152101</v>
      </c>
      <c r="Q24">
        <v>141.73603374765901</v>
      </c>
      <c r="R24">
        <v>140.58360731089871</v>
      </c>
      <c r="S24">
        <v>141.54866636487051</v>
      </c>
      <c r="T24">
        <v>141.47009348861661</v>
      </c>
      <c r="U24">
        <v>141.03815832104911</v>
      </c>
      <c r="V24">
        <v>141.36936247651639</v>
      </c>
      <c r="W24">
        <v>141.75442009280681</v>
      </c>
      <c r="X24">
        <v>141.8025915738904</v>
      </c>
      <c r="Y24">
        <v>141.6700171132257</v>
      </c>
    </row>
    <row r="25" spans="1:27" x14ac:dyDescent="0.35">
      <c r="A25" t="s">
        <v>82</v>
      </c>
      <c r="B25">
        <v>2.7337271557115912</v>
      </c>
      <c r="C25">
        <v>3.11937670418996</v>
      </c>
      <c r="D25">
        <v>3.2269494944829091</v>
      </c>
      <c r="E25">
        <v>3.1819359286051001</v>
      </c>
      <c r="F25">
        <v>2.8718100836043452</v>
      </c>
      <c r="G25">
        <v>3.3570656035647062</v>
      </c>
      <c r="H25">
        <v>3.4078253451185958</v>
      </c>
      <c r="I25">
        <v>3.23766509332853</v>
      </c>
      <c r="J25">
        <v>2.6658989513811089</v>
      </c>
      <c r="K25">
        <v>3.1929091122748048</v>
      </c>
      <c r="L25">
        <v>3.498607776504997</v>
      </c>
      <c r="M25">
        <v>2.8061627472960708</v>
      </c>
      <c r="N25">
        <v>3.307258341651504</v>
      </c>
      <c r="O25">
        <v>3.0505131751741028</v>
      </c>
      <c r="P25">
        <v>3.145983818387236</v>
      </c>
      <c r="Q25">
        <v>3.3660604011647588</v>
      </c>
      <c r="R25">
        <v>2.826458049544414</v>
      </c>
      <c r="S25">
        <v>3.04582265487204</v>
      </c>
      <c r="T25">
        <v>3.0416395235102698</v>
      </c>
      <c r="U25">
        <v>2.9679273985798602</v>
      </c>
      <c r="V25">
        <v>2.6978221589460252</v>
      </c>
      <c r="W25">
        <v>3.6835760294138709</v>
      </c>
      <c r="X25">
        <v>3.1516766104331002</v>
      </c>
      <c r="Y25">
        <v>3.3084029337305481</v>
      </c>
    </row>
    <row r="26" spans="1:27" x14ac:dyDescent="0.35">
      <c r="A26" t="s">
        <v>83</v>
      </c>
      <c r="B26">
        <v>3.5323067986217902</v>
      </c>
      <c r="C26">
        <v>3.7363692892496831</v>
      </c>
      <c r="D26">
        <v>2.7517419982534181</v>
      </c>
      <c r="E26">
        <v>2.9842075637926282</v>
      </c>
      <c r="F26">
        <v>4.6509063451323653</v>
      </c>
      <c r="G26">
        <v>4.4846681405722224</v>
      </c>
      <c r="H26">
        <v>4.7808037991555201</v>
      </c>
      <c r="I26">
        <v>4.5191187705327609</v>
      </c>
      <c r="J26">
        <v>4.5074174954124206</v>
      </c>
      <c r="K26">
        <v>4.7779656213268664</v>
      </c>
      <c r="L26">
        <v>4.6427041594333769</v>
      </c>
      <c r="M26">
        <v>3.688679455351223</v>
      </c>
      <c r="N26">
        <v>4.739404313502213</v>
      </c>
      <c r="O26">
        <v>4.6017890598663849</v>
      </c>
      <c r="P26">
        <v>3.4025343072791032</v>
      </c>
      <c r="Q26">
        <v>4.0847971683553466</v>
      </c>
      <c r="R26">
        <v>4.3302564236278362</v>
      </c>
      <c r="S26">
        <v>4.4532136988606714</v>
      </c>
      <c r="T26">
        <v>4.103123443445047</v>
      </c>
      <c r="U26">
        <v>3.506485067798863</v>
      </c>
      <c r="V26">
        <v>3.288536768275617</v>
      </c>
      <c r="W26">
        <v>3.983959009015968</v>
      </c>
      <c r="X26">
        <v>3.4528170303232901</v>
      </c>
      <c r="Y26">
        <v>4.8310358414269494</v>
      </c>
    </row>
    <row r="27" spans="1:27" x14ac:dyDescent="0.35">
      <c r="A27" t="s">
        <v>84</v>
      </c>
      <c r="B27">
        <v>5.5997514741849486</v>
      </c>
      <c r="C27">
        <v>5.4128819264640988</v>
      </c>
      <c r="D27">
        <v>5.2673947286485019</v>
      </c>
      <c r="E27">
        <v>4.5420030265163662</v>
      </c>
      <c r="F27">
        <v>5.3624567007812711</v>
      </c>
      <c r="G27">
        <v>6.035989186874275</v>
      </c>
      <c r="H27">
        <v>5.9669093342871644</v>
      </c>
      <c r="I27">
        <v>5.799672623452615</v>
      </c>
      <c r="J27">
        <v>5.8449831506099379</v>
      </c>
      <c r="K27">
        <v>5.7841673551057022</v>
      </c>
      <c r="L27">
        <v>5.3981902234298991</v>
      </c>
      <c r="M27">
        <v>5.2731832050771494</v>
      </c>
      <c r="N27">
        <v>5.3491704579926784</v>
      </c>
      <c r="O27">
        <v>4.8002605897044113</v>
      </c>
      <c r="P27">
        <v>4.7198144016065697</v>
      </c>
      <c r="Q27">
        <v>5.4186290685862417</v>
      </c>
      <c r="R27">
        <v>5.2158839304840594</v>
      </c>
      <c r="S27">
        <v>5.240300928020786</v>
      </c>
      <c r="T27">
        <v>5.1900913534860766</v>
      </c>
      <c r="U27">
        <v>5.0988560592461889</v>
      </c>
      <c r="V27">
        <v>4.7600295781465691</v>
      </c>
      <c r="W27">
        <v>5.2390687641798932</v>
      </c>
      <c r="X27">
        <v>5.3410545460209953</v>
      </c>
      <c r="Y27">
        <v>4.4163018212339997</v>
      </c>
    </row>
    <row r="28" spans="1:27" x14ac:dyDescent="0.35">
      <c r="A28" t="s">
        <v>85</v>
      </c>
      <c r="B28">
        <v>0.87128490714792617</v>
      </c>
      <c r="C28">
        <v>0.663476246029292</v>
      </c>
      <c r="D28">
        <v>0.7007480983584492</v>
      </c>
      <c r="E28">
        <v>0.78032025770673752</v>
      </c>
      <c r="F28">
        <v>0.78902524726805368</v>
      </c>
      <c r="G28">
        <v>1.2576311803035849</v>
      </c>
      <c r="H28">
        <v>1.0488575017178901</v>
      </c>
      <c r="I28">
        <v>1.040652901552515</v>
      </c>
      <c r="J28">
        <v>0.76032649910014849</v>
      </c>
      <c r="K28">
        <v>1.1051947857949369</v>
      </c>
      <c r="L28">
        <v>1.0852155897158871</v>
      </c>
      <c r="M28">
        <v>1.018081729261217</v>
      </c>
      <c r="N28">
        <v>1.2265004783085429</v>
      </c>
      <c r="O28">
        <v>0.79019963309254104</v>
      </c>
      <c r="P28">
        <v>0.9804031383281937</v>
      </c>
      <c r="Q28">
        <v>1.0708619469119729</v>
      </c>
      <c r="R28">
        <v>0.98776463862167052</v>
      </c>
      <c r="S28">
        <v>0.92927492981913729</v>
      </c>
      <c r="T28">
        <v>1.0570632476990249</v>
      </c>
      <c r="U28">
        <v>1.078718438906048</v>
      </c>
      <c r="V28">
        <v>0.60185025093263866</v>
      </c>
      <c r="W28">
        <v>0.74669191970995319</v>
      </c>
      <c r="X28">
        <v>0.75546431983080975</v>
      </c>
      <c r="Y28">
        <v>1.013558740301449</v>
      </c>
    </row>
    <row r="29" spans="1:27" x14ac:dyDescent="0.35">
      <c r="A29" t="s">
        <v>86</v>
      </c>
      <c r="B29">
        <v>153.92611900075531</v>
      </c>
      <c r="C29">
        <v>153.82063259115139</v>
      </c>
      <c r="D29">
        <v>153.1207934116027</v>
      </c>
      <c r="E29">
        <v>152.36128269834009</v>
      </c>
      <c r="F29">
        <v>154.68799935267251</v>
      </c>
      <c r="G29">
        <v>156.5513392234524</v>
      </c>
      <c r="H29">
        <v>156.7814877246968</v>
      </c>
      <c r="I29">
        <v>155.40442714223619</v>
      </c>
      <c r="J29">
        <v>154.60039396469881</v>
      </c>
      <c r="K29">
        <v>156.37997238650041</v>
      </c>
      <c r="L29">
        <v>155.45999735725499</v>
      </c>
      <c r="M29">
        <v>154.37179741411649</v>
      </c>
      <c r="N29">
        <v>156.17719207184049</v>
      </c>
      <c r="O29">
        <v>153.82183011560721</v>
      </c>
      <c r="P29">
        <v>153.5441285671221</v>
      </c>
      <c r="Q29">
        <v>155.67638233267741</v>
      </c>
      <c r="R29">
        <v>153.9439703531767</v>
      </c>
      <c r="S29">
        <v>155.21727857644319</v>
      </c>
      <c r="T29">
        <v>154.86201105675701</v>
      </c>
      <c r="U29">
        <v>153.69014528558009</v>
      </c>
      <c r="V29">
        <v>152.71760123281729</v>
      </c>
      <c r="W29">
        <v>155.40771581512641</v>
      </c>
      <c r="X29">
        <v>154.5036040804986</v>
      </c>
      <c r="Y29">
        <v>155.2393164499187</v>
      </c>
    </row>
    <row r="30" spans="1:27" x14ac:dyDescent="0.35">
      <c r="A30" t="s">
        <v>87</v>
      </c>
      <c r="B30">
        <v>9850065.4000000004</v>
      </c>
      <c r="C30">
        <v>10947304.48</v>
      </c>
      <c r="D30">
        <v>9613964.8200000022</v>
      </c>
      <c r="E30">
        <v>9280333.3300000001</v>
      </c>
      <c r="F30">
        <v>9951292.8399999999</v>
      </c>
      <c r="G30">
        <v>10058959.15</v>
      </c>
      <c r="H30">
        <v>9564744.7800000012</v>
      </c>
      <c r="I30">
        <v>9457058.0300000012</v>
      </c>
      <c r="J30">
        <v>8299521.2199999997</v>
      </c>
      <c r="K30">
        <v>8329698.4800000004</v>
      </c>
      <c r="L30">
        <v>9036785.6000000015</v>
      </c>
      <c r="M30">
        <v>8560512.3499999996</v>
      </c>
      <c r="N30">
        <v>8917287.9299999997</v>
      </c>
      <c r="O30">
        <v>8210549.9100000001</v>
      </c>
      <c r="P30">
        <v>9118608.4600000009</v>
      </c>
      <c r="Q30">
        <v>8884209.8900000006</v>
      </c>
      <c r="R30">
        <v>8646568.6699999999</v>
      </c>
      <c r="S30">
        <v>8939805.4299999997</v>
      </c>
      <c r="T30">
        <v>8774704.6699999999</v>
      </c>
      <c r="U30">
        <v>8748912.5199999996</v>
      </c>
      <c r="V30">
        <v>7132446.0899999999</v>
      </c>
      <c r="W30">
        <v>7349444.0999999996</v>
      </c>
      <c r="X30">
        <v>6364386.0199999996</v>
      </c>
      <c r="Y30">
        <v>3505008.4</v>
      </c>
      <c r="AA30">
        <f>X30/W30</f>
        <v>0.86596835534812766</v>
      </c>
    </row>
    <row r="31" spans="1:27" x14ac:dyDescent="0.35">
      <c r="A31" t="s">
        <v>88</v>
      </c>
      <c r="B31">
        <v>1.4593080829969349</v>
      </c>
      <c r="C31">
        <v>1.471475203778178</v>
      </c>
      <c r="D31">
        <v>1.4810892967900291</v>
      </c>
      <c r="E31">
        <v>1.5309625553113351</v>
      </c>
      <c r="F31">
        <v>1.474793241247407</v>
      </c>
      <c r="G31">
        <v>1.4316728373354051</v>
      </c>
      <c r="H31">
        <v>1.43597902181659</v>
      </c>
      <c r="I31">
        <v>1.446511997987002</v>
      </c>
      <c r="J31">
        <v>1.443642999540556</v>
      </c>
      <c r="K31">
        <v>1.4474963901899851</v>
      </c>
      <c r="L31">
        <v>1.4724403923269149</v>
      </c>
      <c r="M31">
        <v>1.48070438321911</v>
      </c>
      <c r="N31">
        <v>1.4756699834559379</v>
      </c>
      <c r="O31">
        <v>1.512825952895968</v>
      </c>
      <c r="P31">
        <v>1.5184291813083139</v>
      </c>
      <c r="Q31">
        <v>1.471097982802736</v>
      </c>
      <c r="R31">
        <v>1.484523420413882</v>
      </c>
      <c r="S31">
        <v>1.482893604126019</v>
      </c>
      <c r="T31">
        <v>1.486248951148136</v>
      </c>
      <c r="U31">
        <v>1.492384941174415</v>
      </c>
      <c r="V31">
        <v>1.515622939829161</v>
      </c>
      <c r="W31">
        <v>1.482975764395331</v>
      </c>
      <c r="X31">
        <v>1.476206055182558</v>
      </c>
      <c r="Y31">
        <v>1.539948412909494</v>
      </c>
    </row>
    <row r="32" spans="1:27" x14ac:dyDescent="0.35">
      <c r="A32" t="s">
        <v>89</v>
      </c>
      <c r="B32">
        <v>0.2375530727550296</v>
      </c>
      <c r="C32">
        <v>0.24052176791386731</v>
      </c>
      <c r="D32">
        <v>0.23998931288059361</v>
      </c>
      <c r="E32">
        <v>0.23885256774704661</v>
      </c>
      <c r="F32">
        <v>0.23872821075331349</v>
      </c>
      <c r="G32">
        <v>0.23203384028137741</v>
      </c>
      <c r="H32">
        <v>0.23501632140403009</v>
      </c>
      <c r="I32">
        <v>0.23513352997782119</v>
      </c>
      <c r="J32">
        <v>0.23913819286999791</v>
      </c>
      <c r="K32">
        <v>0.2342115030600723</v>
      </c>
      <c r="L32">
        <v>0.23449692014691589</v>
      </c>
      <c r="M32">
        <v>0.2354559752962683</v>
      </c>
      <c r="N32">
        <v>0.23247856459559221</v>
      </c>
      <c r="O32">
        <v>0.2387114338129637</v>
      </c>
      <c r="P32">
        <v>0.2359942408810258</v>
      </c>
      <c r="Q32">
        <v>0.23470197218697181</v>
      </c>
      <c r="R32">
        <v>0.23588907659111899</v>
      </c>
      <c r="S32">
        <v>0.23672464385972661</v>
      </c>
      <c r="T32">
        <v>0.2348990964614425</v>
      </c>
      <c r="U32">
        <v>0.23458973658705651</v>
      </c>
      <c r="V32">
        <v>0.2414021392723909</v>
      </c>
      <c r="W32">
        <v>0.23933297257557209</v>
      </c>
      <c r="X32">
        <v>0.2392076525738456</v>
      </c>
      <c r="Y32">
        <v>0.23552058942426499</v>
      </c>
    </row>
    <row r="34" spans="1:27" x14ac:dyDescent="0.35">
      <c r="A34" t="s">
        <v>92</v>
      </c>
      <c r="B34" t="s">
        <v>129</v>
      </c>
      <c r="C34" t="s">
        <v>130</v>
      </c>
      <c r="D34" t="s">
        <v>131</v>
      </c>
      <c r="E34" t="s">
        <v>132</v>
      </c>
      <c r="F34" t="s">
        <v>133</v>
      </c>
      <c r="G34" t="s">
        <v>134</v>
      </c>
      <c r="H34" t="s">
        <v>135</v>
      </c>
      <c r="I34" t="s">
        <v>136</v>
      </c>
      <c r="J34" t="s">
        <v>137</v>
      </c>
      <c r="K34" t="s">
        <v>138</v>
      </c>
      <c r="L34" t="s">
        <v>139</v>
      </c>
      <c r="M34" t="s">
        <v>140</v>
      </c>
      <c r="N34" t="s">
        <v>141</v>
      </c>
      <c r="O34" t="s">
        <v>142</v>
      </c>
      <c r="P34" t="s">
        <v>143</v>
      </c>
      <c r="Q34" t="s">
        <v>144</v>
      </c>
      <c r="R34" t="s">
        <v>145</v>
      </c>
      <c r="S34" t="s">
        <v>146</v>
      </c>
      <c r="T34" t="s">
        <v>147</v>
      </c>
      <c r="U34" t="s">
        <v>148</v>
      </c>
      <c r="V34" t="s">
        <v>149</v>
      </c>
      <c r="W34" t="s">
        <v>150</v>
      </c>
      <c r="X34" t="s">
        <v>151</v>
      </c>
      <c r="Y34" t="s">
        <v>152</v>
      </c>
    </row>
    <row r="35" spans="1:27" x14ac:dyDescent="0.35">
      <c r="A35" t="s">
        <v>81</v>
      </c>
      <c r="B35">
        <v>141.68274484467679</v>
      </c>
      <c r="C35">
        <v>141.37710839526031</v>
      </c>
      <c r="D35">
        <v>141.19289017093459</v>
      </c>
      <c r="E35">
        <v>141.79870456047101</v>
      </c>
      <c r="F35">
        <v>141.44515973219529</v>
      </c>
      <c r="G35">
        <v>141.17233093572551</v>
      </c>
      <c r="H35">
        <v>141.89494607442151</v>
      </c>
      <c r="I35">
        <v>141.335634415155</v>
      </c>
      <c r="J35">
        <v>141.9227887595458</v>
      </c>
      <c r="K35">
        <v>142.16540391650759</v>
      </c>
      <c r="L35">
        <v>142.2250894834844</v>
      </c>
      <c r="M35">
        <v>142.36344024327229</v>
      </c>
      <c r="N35">
        <v>142.0960083156271</v>
      </c>
      <c r="O35">
        <v>142.91137325697929</v>
      </c>
      <c r="P35">
        <v>141.94351119905539</v>
      </c>
      <c r="Q35">
        <v>142.98549060453951</v>
      </c>
      <c r="R35">
        <v>141.55385274557409</v>
      </c>
      <c r="S35">
        <v>141.26404248640361</v>
      </c>
      <c r="T35">
        <v>142.37761349355929</v>
      </c>
      <c r="U35">
        <v>143.1076296363058</v>
      </c>
      <c r="V35">
        <v>143.26984255651629</v>
      </c>
      <c r="W35">
        <v>142.56738909680161</v>
      </c>
      <c r="X35">
        <v>142.86401534784349</v>
      </c>
      <c r="Y35">
        <v>142.61861797652429</v>
      </c>
    </row>
    <row r="36" spans="1:27" x14ac:dyDescent="0.35">
      <c r="A36" t="s">
        <v>82</v>
      </c>
      <c r="B36">
        <v>2.656858341472883</v>
      </c>
      <c r="C36">
        <v>1.8158355218290301</v>
      </c>
      <c r="D36">
        <v>2.6544341462564489</v>
      </c>
      <c r="E36">
        <v>2.5062758044364841</v>
      </c>
      <c r="F36">
        <v>2.3363807149768259</v>
      </c>
      <c r="G36">
        <v>2.2871276945421641</v>
      </c>
      <c r="H36">
        <v>2.596385397611471</v>
      </c>
      <c r="I36">
        <v>2.4951803853295189</v>
      </c>
      <c r="J36">
        <v>2.3909107415013011</v>
      </c>
      <c r="K36">
        <v>2.2640641425223289</v>
      </c>
      <c r="L36">
        <v>2.195561993576149</v>
      </c>
      <c r="M36">
        <v>2.4716608994902738</v>
      </c>
      <c r="N36">
        <v>3.2171924103132881</v>
      </c>
      <c r="O36">
        <v>2.5384982993741119</v>
      </c>
      <c r="P36">
        <v>2.674799159071199</v>
      </c>
      <c r="Q36">
        <v>1.9471161484540289</v>
      </c>
      <c r="R36">
        <v>2.668861608968399</v>
      </c>
      <c r="S36">
        <v>2.0570013540245209</v>
      </c>
      <c r="T36">
        <v>2.4033383465513789</v>
      </c>
      <c r="U36">
        <v>3.0882085369007939</v>
      </c>
      <c r="V36">
        <v>3.8196902515824149</v>
      </c>
      <c r="W36">
        <v>1.961282598460258</v>
      </c>
      <c r="X36">
        <v>3.2010436249580319</v>
      </c>
      <c r="Y36">
        <v>3.138566113100183</v>
      </c>
    </row>
    <row r="37" spans="1:27" x14ac:dyDescent="0.35">
      <c r="A37" t="s">
        <v>83</v>
      </c>
      <c r="B37">
        <v>0.5185026826671375</v>
      </c>
      <c r="C37">
        <v>0.41202551615579341</v>
      </c>
      <c r="D37">
        <v>0.47344861557627538</v>
      </c>
      <c r="E37">
        <v>0.22931786329212719</v>
      </c>
      <c r="F37">
        <v>0.38748951585600161</v>
      </c>
      <c r="G37">
        <v>0.64537616147735422</v>
      </c>
      <c r="H37">
        <v>0.45951703848637609</v>
      </c>
      <c r="I37">
        <v>1.145472224649178</v>
      </c>
      <c r="J37">
        <v>-0.25941210575780099</v>
      </c>
      <c r="K37">
        <v>0.98022300285189135</v>
      </c>
      <c r="L37">
        <v>1.037435266413169</v>
      </c>
      <c r="M37">
        <v>0.16396925599535281</v>
      </c>
      <c r="N37">
        <v>-0.33890943377026372</v>
      </c>
      <c r="O37">
        <v>-0.2410358773130665</v>
      </c>
      <c r="P37">
        <v>-0.28199560228251191</v>
      </c>
      <c r="Q37">
        <v>-1.627158862630383</v>
      </c>
      <c r="R37">
        <v>0.27825765010760001</v>
      </c>
      <c r="S37">
        <v>-0.2808235360686947</v>
      </c>
      <c r="T37">
        <v>1.326729827036581</v>
      </c>
      <c r="U37">
        <v>-6.0643899704457598E-2</v>
      </c>
      <c r="V37">
        <v>0.464003352485307</v>
      </c>
      <c r="W37">
        <v>-0.74005116750882549</v>
      </c>
      <c r="X37">
        <v>1.0854851425782059</v>
      </c>
      <c r="Y37">
        <v>-2.2037335684302808</v>
      </c>
    </row>
    <row r="38" spans="1:27" x14ac:dyDescent="0.35">
      <c r="A38" t="s">
        <v>84</v>
      </c>
      <c r="B38">
        <v>-0.52088626855909126</v>
      </c>
      <c r="C38">
        <v>-0.24177539595788919</v>
      </c>
      <c r="D38">
        <v>-0.71006328144222042</v>
      </c>
      <c r="E38">
        <v>-0.30156828914682832</v>
      </c>
      <c r="F38">
        <v>-0.41931288159070251</v>
      </c>
      <c r="G38">
        <v>-0.60341370562236063</v>
      </c>
      <c r="H38">
        <v>-0.46345175746701212</v>
      </c>
      <c r="I38">
        <v>-0.114698540325644</v>
      </c>
      <c r="J38">
        <v>-0.46603675158054853</v>
      </c>
      <c r="K38">
        <v>-4.0176727353541386E-3</v>
      </c>
      <c r="L38">
        <v>-0.18092552994561259</v>
      </c>
      <c r="M38">
        <v>5.3421837889909403E-2</v>
      </c>
      <c r="N38">
        <v>-0.51182564653874973</v>
      </c>
      <c r="O38">
        <v>-1.108590073301988</v>
      </c>
      <c r="P38">
        <v>1.4440716632448951E-3</v>
      </c>
      <c r="Q38">
        <v>-0.70378868601642885</v>
      </c>
      <c r="R38">
        <v>-0.23052362178196739</v>
      </c>
      <c r="S38">
        <v>-1.6461374150905099</v>
      </c>
      <c r="T38">
        <v>-1.0224332714712689</v>
      </c>
      <c r="U38">
        <v>7.2136292723087969E-2</v>
      </c>
      <c r="V38">
        <v>-0.98698770155788618</v>
      </c>
      <c r="W38">
        <v>-0.21920718793384381</v>
      </c>
      <c r="X38">
        <v>-0.74635701226987361</v>
      </c>
      <c r="Y38">
        <v>-0.71274768349056916</v>
      </c>
    </row>
    <row r="39" spans="1:27" x14ac:dyDescent="0.35">
      <c r="A39" t="s">
        <v>85</v>
      </c>
      <c r="B39">
        <v>-0.20395501043035949</v>
      </c>
      <c r="C39">
        <v>-0.25139941418877509</v>
      </c>
      <c r="D39">
        <v>-5.4496071137450093E-2</v>
      </c>
      <c r="E39">
        <v>-0.39323779847738488</v>
      </c>
      <c r="F39">
        <v>-0.26482074133514533</v>
      </c>
      <c r="G39">
        <v>-0.36304140254338152</v>
      </c>
      <c r="H39">
        <v>-0.33205218958302563</v>
      </c>
      <c r="I39">
        <v>-0.37916285219704671</v>
      </c>
      <c r="J39">
        <v>-0.29336716676178037</v>
      </c>
      <c r="K39">
        <v>-0.5360435736477811</v>
      </c>
      <c r="L39">
        <v>-0.31040580313211941</v>
      </c>
      <c r="M39">
        <v>-0.43126950159568439</v>
      </c>
      <c r="N39">
        <v>-0.13779383016922139</v>
      </c>
      <c r="O39">
        <v>-0.23534778942270521</v>
      </c>
      <c r="P39">
        <v>-0.51724064896947419</v>
      </c>
      <c r="Q39">
        <v>-0.41898762626699171</v>
      </c>
      <c r="R39">
        <v>-0.49025323104460972</v>
      </c>
      <c r="S39">
        <v>-0.88530604213431796</v>
      </c>
      <c r="T39">
        <v>-0.25526288948236298</v>
      </c>
      <c r="U39">
        <v>-0.43546569872015661</v>
      </c>
      <c r="V39">
        <v>-0.50474847574650727</v>
      </c>
      <c r="W39">
        <v>-1.100362295426037</v>
      </c>
      <c r="X39">
        <v>-0.78615972677212553</v>
      </c>
      <c r="Y39">
        <v>-0.51035735253819214</v>
      </c>
    </row>
    <row r="40" spans="1:27" x14ac:dyDescent="0.35">
      <c r="A40" t="s">
        <v>86</v>
      </c>
      <c r="B40">
        <v>144.13326458982741</v>
      </c>
      <c r="C40">
        <v>143.1117946230984</v>
      </c>
      <c r="D40">
        <v>143.55621358018769</v>
      </c>
      <c r="E40">
        <v>143.8394921405754</v>
      </c>
      <c r="F40">
        <v>143.4848963401023</v>
      </c>
      <c r="G40">
        <v>143.1383796835793</v>
      </c>
      <c r="H40">
        <v>144.1553445634693</v>
      </c>
      <c r="I40">
        <v>144.48242563261101</v>
      </c>
      <c r="J40">
        <v>143.29488347694689</v>
      </c>
      <c r="K40">
        <v>144.86962981549871</v>
      </c>
      <c r="L40">
        <v>144.96675541039599</v>
      </c>
      <c r="M40">
        <v>144.6212227350521</v>
      </c>
      <c r="N40">
        <v>144.32467181546221</v>
      </c>
      <c r="O40">
        <v>143.86489781631559</v>
      </c>
      <c r="P40">
        <v>143.8205181785379</v>
      </c>
      <c r="Q40">
        <v>142.18267157807969</v>
      </c>
      <c r="R40">
        <v>143.78019515182351</v>
      </c>
      <c r="S40">
        <v>140.50877684713461</v>
      </c>
      <c r="T40">
        <v>144.82998550619359</v>
      </c>
      <c r="U40">
        <v>145.77186486750509</v>
      </c>
      <c r="V40">
        <v>146.0617999832796</v>
      </c>
      <c r="W40">
        <v>142.46905104439321</v>
      </c>
      <c r="X40">
        <v>145.61802737633769</v>
      </c>
      <c r="Y40">
        <v>142.33034548516551</v>
      </c>
    </row>
    <row r="41" spans="1:27" x14ac:dyDescent="0.35">
      <c r="A41" t="s">
        <v>87</v>
      </c>
      <c r="B41">
        <v>5637510.25</v>
      </c>
      <c r="C41">
        <v>5501427.5199999996</v>
      </c>
      <c r="D41">
        <v>5157687.43</v>
      </c>
      <c r="E41">
        <v>4945302.2699999996</v>
      </c>
      <c r="F41">
        <v>4075216.73</v>
      </c>
      <c r="G41">
        <v>3931628.27</v>
      </c>
      <c r="H41">
        <v>4231325.05</v>
      </c>
      <c r="I41">
        <v>4910248.4000000004</v>
      </c>
      <c r="J41">
        <v>3369808.95</v>
      </c>
      <c r="K41">
        <v>4370529.4300000006</v>
      </c>
      <c r="L41">
        <v>3647371.38</v>
      </c>
      <c r="M41">
        <v>3119614.850000001</v>
      </c>
      <c r="N41">
        <v>3082216.14</v>
      </c>
      <c r="O41">
        <v>3255072.11</v>
      </c>
      <c r="P41">
        <v>3754735.63</v>
      </c>
      <c r="Q41">
        <v>3090961.31</v>
      </c>
      <c r="R41">
        <v>3235010.27</v>
      </c>
      <c r="S41">
        <v>2773875.44</v>
      </c>
      <c r="T41">
        <v>3684093.64</v>
      </c>
      <c r="U41">
        <v>2469923</v>
      </c>
      <c r="V41">
        <v>2005785.14</v>
      </c>
      <c r="W41">
        <v>2139374.1800000002</v>
      </c>
      <c r="X41">
        <v>1837386.47</v>
      </c>
      <c r="Y41">
        <v>1515826.06</v>
      </c>
      <c r="AA41">
        <f>X41/W41</f>
        <v>0.85884296780659464</v>
      </c>
    </row>
    <row r="42" spans="1:27" x14ac:dyDescent="0.35">
      <c r="A42" t="s">
        <v>88</v>
      </c>
      <c r="B42">
        <v>1.495832870730764</v>
      </c>
      <c r="C42">
        <v>1.4709195384607969</v>
      </c>
      <c r="D42">
        <v>1.5132041594684831</v>
      </c>
      <c r="E42">
        <v>1.476186532174677</v>
      </c>
      <c r="F42">
        <v>1.486669389752338</v>
      </c>
      <c r="G42">
        <v>1.5033617094097469</v>
      </c>
      <c r="H42">
        <v>1.4906375646520189</v>
      </c>
      <c r="I42">
        <v>1.459849565544884</v>
      </c>
      <c r="J42">
        <v>1.49087061762741</v>
      </c>
      <c r="K42">
        <v>1.45034276485784</v>
      </c>
      <c r="L42">
        <v>1.4655978867260639</v>
      </c>
      <c r="M42">
        <v>1.4454577054577831</v>
      </c>
      <c r="N42">
        <v>1.4950108769819861</v>
      </c>
      <c r="O42">
        <v>1.5511524851289189</v>
      </c>
      <c r="P42">
        <v>1.4498768396435691</v>
      </c>
      <c r="Q42">
        <v>1.512621524418265</v>
      </c>
      <c r="R42">
        <v>1.469932599208525</v>
      </c>
      <c r="S42">
        <v>1.605459203746372</v>
      </c>
      <c r="T42">
        <v>1.542788111533042</v>
      </c>
      <c r="U42">
        <v>1.443873196496618</v>
      </c>
      <c r="V42">
        <v>1.539373076132476</v>
      </c>
      <c r="W42">
        <v>1.468941323336971</v>
      </c>
      <c r="X42">
        <v>1.516583083472935</v>
      </c>
      <c r="Y42">
        <v>1.51345355993618</v>
      </c>
    </row>
    <row r="43" spans="1:27" x14ac:dyDescent="0.35">
      <c r="A43" t="s">
        <v>89</v>
      </c>
      <c r="B43">
        <v>0.23791364300614801</v>
      </c>
      <c r="C43">
        <v>0.2385914202026968</v>
      </c>
      <c r="D43">
        <v>0.23577851530196359</v>
      </c>
      <c r="E43">
        <v>0.2406176828353912</v>
      </c>
      <c r="F43">
        <v>0.23878315344764489</v>
      </c>
      <c r="G43">
        <v>0.24018630575061969</v>
      </c>
      <c r="H43">
        <v>0.2397436027083289</v>
      </c>
      <c r="I43">
        <v>0.24041661217424351</v>
      </c>
      <c r="J43">
        <v>0.23919095952516831</v>
      </c>
      <c r="K43">
        <v>0.2426577653378254</v>
      </c>
      <c r="L43">
        <v>0.23943436861617309</v>
      </c>
      <c r="M43">
        <v>0.24116099287993831</v>
      </c>
      <c r="N43">
        <v>0.23696848328813169</v>
      </c>
      <c r="O43">
        <v>0.2383621112774672</v>
      </c>
      <c r="P43">
        <v>0.2423891521281353</v>
      </c>
      <c r="Q43">
        <v>0.2409855375180999</v>
      </c>
      <c r="R43">
        <v>0.24200361758635161</v>
      </c>
      <c r="S43">
        <v>0.24764722917334739</v>
      </c>
      <c r="T43">
        <v>0.23864661270689089</v>
      </c>
      <c r="U43">
        <v>0.24122093855314511</v>
      </c>
      <c r="V43">
        <v>0.2422106925106644</v>
      </c>
      <c r="W43">
        <v>0.25071946136322909</v>
      </c>
      <c r="X43">
        <v>0.24623085323960181</v>
      </c>
      <c r="Y43">
        <v>0.24229081932197419</v>
      </c>
    </row>
    <row r="45" spans="1:27" x14ac:dyDescent="0.35">
      <c r="A45" t="s">
        <v>93</v>
      </c>
      <c r="B45" t="s">
        <v>129</v>
      </c>
      <c r="C45" t="s">
        <v>130</v>
      </c>
      <c r="D45" t="s">
        <v>131</v>
      </c>
      <c r="E45" t="s">
        <v>132</v>
      </c>
      <c r="F45" t="s">
        <v>133</v>
      </c>
      <c r="G45" t="s">
        <v>134</v>
      </c>
      <c r="H45" t="s">
        <v>135</v>
      </c>
      <c r="I45" t="s">
        <v>136</v>
      </c>
      <c r="J45" t="s">
        <v>137</v>
      </c>
      <c r="K45" t="s">
        <v>138</v>
      </c>
      <c r="L45" t="s">
        <v>139</v>
      </c>
      <c r="M45" t="s">
        <v>140</v>
      </c>
      <c r="N45" t="s">
        <v>141</v>
      </c>
      <c r="O45" t="s">
        <v>142</v>
      </c>
      <c r="P45" t="s">
        <v>143</v>
      </c>
      <c r="Q45" t="s">
        <v>144</v>
      </c>
      <c r="R45" t="s">
        <v>145</v>
      </c>
      <c r="S45" t="s">
        <v>146</v>
      </c>
      <c r="T45" t="s">
        <v>147</v>
      </c>
      <c r="U45" t="s">
        <v>148</v>
      </c>
      <c r="V45" t="s">
        <v>149</v>
      </c>
      <c r="W45" t="s">
        <v>150</v>
      </c>
      <c r="X45" t="s">
        <v>151</v>
      </c>
      <c r="Y45" t="s">
        <v>152</v>
      </c>
    </row>
    <row r="46" spans="1:27" x14ac:dyDescent="0.35">
      <c r="A46" t="s">
        <v>81</v>
      </c>
      <c r="B46">
        <v>140.24914710177899</v>
      </c>
      <c r="C46">
        <v>140.06684645217081</v>
      </c>
      <c r="D46">
        <v>140.64005130853641</v>
      </c>
      <c r="E46">
        <v>140.63705875772311</v>
      </c>
      <c r="F46">
        <v>140.63340872876199</v>
      </c>
      <c r="G46">
        <v>141.19162430442299</v>
      </c>
      <c r="H46">
        <v>140.57679096975281</v>
      </c>
      <c r="I46">
        <v>141.17797738142389</v>
      </c>
      <c r="J46">
        <v>144.0581190445204</v>
      </c>
      <c r="K46">
        <v>144.05143082678379</v>
      </c>
      <c r="L46">
        <v>144.52458523436979</v>
      </c>
      <c r="M46">
        <v>143.67618373871801</v>
      </c>
      <c r="N46">
        <v>143.41470914737371</v>
      </c>
      <c r="O46">
        <v>144.37062867536079</v>
      </c>
      <c r="P46">
        <v>144.17676605074871</v>
      </c>
      <c r="Q46">
        <v>144.9570945509146</v>
      </c>
      <c r="R46">
        <v>145.31827926850789</v>
      </c>
      <c r="S46">
        <v>144.93361719713519</v>
      </c>
      <c r="T46">
        <v>145.10982185787299</v>
      </c>
      <c r="U46">
        <v>145.38399446757231</v>
      </c>
      <c r="V46">
        <v>145.24730201522891</v>
      </c>
      <c r="W46">
        <v>145.95915261548339</v>
      </c>
      <c r="X46">
        <v>145.9994315187341</v>
      </c>
      <c r="Y46">
        <v>145.45333795188321</v>
      </c>
    </row>
    <row r="47" spans="1:27" x14ac:dyDescent="0.35">
      <c r="A47" t="s">
        <v>82</v>
      </c>
      <c r="B47">
        <v>0.69433688946631378</v>
      </c>
      <c r="C47">
        <v>0.87938996852679452</v>
      </c>
      <c r="D47">
        <v>0.51447949309928731</v>
      </c>
      <c r="E47">
        <v>0.7116787460532521</v>
      </c>
      <c r="F47">
        <v>0.55076052780671603</v>
      </c>
      <c r="G47">
        <v>0.37687435068309583</v>
      </c>
      <c r="H47">
        <v>0.12881605745528191</v>
      </c>
      <c r="I47">
        <v>0.39792606021626398</v>
      </c>
      <c r="J47">
        <v>0.57622303606018477</v>
      </c>
      <c r="K47">
        <v>0.68772018509591248</v>
      </c>
      <c r="L47">
        <v>1.092397990244677</v>
      </c>
      <c r="M47">
        <v>0.1872266365834605</v>
      </c>
      <c r="N47">
        <v>0.30378640553644232</v>
      </c>
      <c r="O47">
        <v>0.11675959960894031</v>
      </c>
      <c r="P47">
        <v>0.12739799152387829</v>
      </c>
      <c r="Q47">
        <v>0.82598265409305327</v>
      </c>
      <c r="R47">
        <v>0.2807677954435519</v>
      </c>
      <c r="S47">
        <v>0.89474629794591465</v>
      </c>
      <c r="T47">
        <v>0.26276830234269261</v>
      </c>
      <c r="U47">
        <v>0.38936265536881359</v>
      </c>
      <c r="V47">
        <v>0.13244818594247931</v>
      </c>
      <c r="W47">
        <v>0.25557276697759329</v>
      </c>
      <c r="X47">
        <v>0.38889667252979621</v>
      </c>
      <c r="Y47">
        <v>0.28013057360647048</v>
      </c>
    </row>
    <row r="48" spans="1:27" x14ac:dyDescent="0.35">
      <c r="A48" t="s">
        <v>83</v>
      </c>
      <c r="B48">
        <v>2.4880382574606732</v>
      </c>
      <c r="C48">
        <v>2.9408584893033272</v>
      </c>
      <c r="D48">
        <v>1.8316278909876831</v>
      </c>
      <c r="E48">
        <v>1.9357663095711719</v>
      </c>
      <c r="F48">
        <v>1.947491628862525</v>
      </c>
      <c r="G48">
        <v>1.934787348031942</v>
      </c>
      <c r="H48">
        <v>1.8272549921633889</v>
      </c>
      <c r="I48">
        <v>1.278754170005818</v>
      </c>
      <c r="J48">
        <v>0.5817038121893392</v>
      </c>
      <c r="K48">
        <v>0.78962512450414402</v>
      </c>
      <c r="L48">
        <v>0.52824735143427715</v>
      </c>
      <c r="M48">
        <v>0.24574989787129381</v>
      </c>
      <c r="N48">
        <v>0.39251032565723398</v>
      </c>
      <c r="O48">
        <v>0.32775903923894789</v>
      </c>
      <c r="P48">
        <v>0.25162856368979658</v>
      </c>
      <c r="Q48">
        <v>0.49840096387595462</v>
      </c>
      <c r="R48">
        <v>-1.3484054742105971</v>
      </c>
      <c r="S48">
        <v>-0.63396615905524734</v>
      </c>
      <c r="T48">
        <v>-8.0622779896416585E-2</v>
      </c>
      <c r="U48">
        <v>-0.86730977183505142</v>
      </c>
      <c r="V48">
        <v>-1.5466647370841959</v>
      </c>
      <c r="W48">
        <v>-1.7546915374625141</v>
      </c>
      <c r="X48">
        <v>-1.240553360917501</v>
      </c>
      <c r="Y48">
        <v>-1.183841960709755</v>
      </c>
    </row>
    <row r="49" spans="1:27" x14ac:dyDescent="0.35">
      <c r="A49" t="s">
        <v>84</v>
      </c>
      <c r="B49">
        <v>1.8210972118585029</v>
      </c>
      <c r="C49">
        <v>1.641559754288769</v>
      </c>
      <c r="D49">
        <v>1.6332963977834081</v>
      </c>
      <c r="E49">
        <v>2.1614206189475711</v>
      </c>
      <c r="F49">
        <v>2.1064161616891042</v>
      </c>
      <c r="G49">
        <v>1.748780566289281</v>
      </c>
      <c r="H49">
        <v>2.4551682005300668</v>
      </c>
      <c r="I49">
        <v>1.937853158600825</v>
      </c>
      <c r="J49">
        <v>2.0807134037101132</v>
      </c>
      <c r="K49">
        <v>1.35517426980228</v>
      </c>
      <c r="L49">
        <v>1.9169941850675529</v>
      </c>
      <c r="M49">
        <v>1.3077940103676791</v>
      </c>
      <c r="N49">
        <v>1.3189298793073361</v>
      </c>
      <c r="O49">
        <v>1.1263841403169721</v>
      </c>
      <c r="P49">
        <v>1.3224896170082561</v>
      </c>
      <c r="Q49">
        <v>1.39657674119985</v>
      </c>
      <c r="R49">
        <v>1.3040285965552989</v>
      </c>
      <c r="S49">
        <v>1.342614691306343</v>
      </c>
      <c r="T49">
        <v>1.536936686518366</v>
      </c>
      <c r="U49">
        <v>1.433781795871593</v>
      </c>
      <c r="V49">
        <v>1.8197059705248551</v>
      </c>
      <c r="W49">
        <v>1.50465680772222</v>
      </c>
      <c r="X49">
        <v>1.82690328781886</v>
      </c>
      <c r="Y49">
        <v>1.87256162367838</v>
      </c>
    </row>
    <row r="50" spans="1:27" x14ac:dyDescent="0.35">
      <c r="A50" t="s">
        <v>85</v>
      </c>
      <c r="B50">
        <v>-0.25140431780566691</v>
      </c>
      <c r="C50">
        <v>-0.12810270548676919</v>
      </c>
      <c r="D50">
        <v>-0.15185566068323719</v>
      </c>
      <c r="E50">
        <v>-5.5412440307015517E-2</v>
      </c>
      <c r="F50">
        <v>-6.3529978414216537E-2</v>
      </c>
      <c r="G50">
        <v>-6.4314663886752546E-3</v>
      </c>
      <c r="H50">
        <v>-0.16873681832726439</v>
      </c>
      <c r="I50">
        <v>-5.814557020915323E-3</v>
      </c>
      <c r="J50">
        <v>-4.3622448373247247E-2</v>
      </c>
      <c r="K50">
        <v>-0.1178464591067363</v>
      </c>
      <c r="L50">
        <v>0.16194871114540349</v>
      </c>
      <c r="M50">
        <v>-0.22339581538813211</v>
      </c>
      <c r="N50">
        <v>-0.35619662450507772</v>
      </c>
      <c r="O50">
        <v>-0.14629724500773769</v>
      </c>
      <c r="P50">
        <v>-0.46610189756412168</v>
      </c>
      <c r="Q50">
        <v>-0.19486022523449359</v>
      </c>
      <c r="R50">
        <v>-0.43996716630300381</v>
      </c>
      <c r="S50">
        <v>-0.46041752022750948</v>
      </c>
      <c r="T50">
        <v>-0.3841392779367736</v>
      </c>
      <c r="U50">
        <v>-0.28917009238500441</v>
      </c>
      <c r="V50">
        <v>-0.44988265488957979</v>
      </c>
      <c r="W50">
        <v>-0.32721827111471591</v>
      </c>
      <c r="X50">
        <v>-0.34889796613597529</v>
      </c>
      <c r="Y50">
        <v>-0.35646274633113212</v>
      </c>
    </row>
    <row r="51" spans="1:27" x14ac:dyDescent="0.35">
      <c r="A51" t="s">
        <v>86</v>
      </c>
      <c r="B51">
        <v>145.00121514275881</v>
      </c>
      <c r="C51">
        <v>145.40055195880291</v>
      </c>
      <c r="D51">
        <v>144.46759942972349</v>
      </c>
      <c r="E51">
        <v>145.39051199198809</v>
      </c>
      <c r="F51">
        <v>145.17454706870609</v>
      </c>
      <c r="G51">
        <v>145.24563510303861</v>
      </c>
      <c r="H51">
        <v>144.8192934015743</v>
      </c>
      <c r="I51">
        <v>144.78669621322589</v>
      </c>
      <c r="J51">
        <v>147.25313684810681</v>
      </c>
      <c r="K51">
        <v>146.76610394707939</v>
      </c>
      <c r="L51">
        <v>148.2241734722617</v>
      </c>
      <c r="M51">
        <v>145.1935584681523</v>
      </c>
      <c r="N51">
        <v>145.0737391333696</v>
      </c>
      <c r="O51">
        <v>145.7952342095179</v>
      </c>
      <c r="P51">
        <v>145.41218032540641</v>
      </c>
      <c r="Q51">
        <v>147.483194684849</v>
      </c>
      <c r="R51">
        <v>145.1147030199931</v>
      </c>
      <c r="S51">
        <v>146.07659450710469</v>
      </c>
      <c r="T51">
        <v>146.44476478890081</v>
      </c>
      <c r="U51">
        <v>146.05065905459259</v>
      </c>
      <c r="V51">
        <v>145.20290877972249</v>
      </c>
      <c r="W51">
        <v>145.63747238160599</v>
      </c>
      <c r="X51">
        <v>146.62578015202919</v>
      </c>
      <c r="Y51">
        <v>146.06572544212719</v>
      </c>
    </row>
    <row r="52" spans="1:27" x14ac:dyDescent="0.35">
      <c r="A52" t="s">
        <v>87</v>
      </c>
      <c r="B52">
        <v>7305405.6699999999</v>
      </c>
      <c r="C52">
        <v>7395275.4999999991</v>
      </c>
      <c r="D52">
        <v>6783978.3499999996</v>
      </c>
      <c r="E52">
        <v>5165787.3000000007</v>
      </c>
      <c r="F52">
        <v>4941117.43</v>
      </c>
      <c r="G52">
        <v>4574279.67</v>
      </c>
      <c r="H52">
        <v>4882686.84</v>
      </c>
      <c r="I52">
        <v>4753382.33</v>
      </c>
      <c r="J52">
        <v>3664297.68</v>
      </c>
      <c r="K52">
        <v>3422584.1</v>
      </c>
      <c r="L52">
        <v>3709767.97</v>
      </c>
      <c r="M52">
        <v>3243960.59</v>
      </c>
      <c r="N52">
        <v>3727649.51</v>
      </c>
      <c r="O52">
        <v>4023499.5</v>
      </c>
      <c r="P52">
        <v>3853838.15</v>
      </c>
      <c r="Q52">
        <v>3792944.8</v>
      </c>
      <c r="R52">
        <v>3260649.57</v>
      </c>
      <c r="S52">
        <v>3267858.25</v>
      </c>
      <c r="T52">
        <v>3406842.11</v>
      </c>
      <c r="U52">
        <v>3046532.33</v>
      </c>
      <c r="V52">
        <v>2746542.56</v>
      </c>
      <c r="W52">
        <v>3627684.41</v>
      </c>
      <c r="X52">
        <v>2863946.62</v>
      </c>
      <c r="Y52">
        <v>1656161.98</v>
      </c>
      <c r="AA52">
        <f>X52/W52</f>
        <v>0.78946961651496028</v>
      </c>
    </row>
    <row r="53" spans="1:27" x14ac:dyDescent="0.35">
      <c r="A53" t="s">
        <v>88</v>
      </c>
      <c r="B53">
        <v>1.309700477210697</v>
      </c>
      <c r="C53">
        <v>1.3223142443501219</v>
      </c>
      <c r="D53">
        <v>1.3229006544935511</v>
      </c>
      <c r="E53">
        <v>1.2864390636895211</v>
      </c>
      <c r="F53">
        <v>1.290142525494997</v>
      </c>
      <c r="G53">
        <v>1.3147521734998191</v>
      </c>
      <c r="H53">
        <v>1.26701551720989</v>
      </c>
      <c r="I53">
        <v>1.3016258914651551</v>
      </c>
      <c r="J53">
        <v>1.2918804175952341</v>
      </c>
      <c r="K53">
        <v>1.342945571514071</v>
      </c>
      <c r="L53">
        <v>1.303061139568245</v>
      </c>
      <c r="M53">
        <v>1.3464210918060771</v>
      </c>
      <c r="N53">
        <v>1.345602617751384</v>
      </c>
      <c r="O53">
        <v>1.3598961496779221</v>
      </c>
      <c r="P53">
        <v>1.3453411908127431</v>
      </c>
      <c r="Q53">
        <v>1.339923201298389</v>
      </c>
      <c r="R53">
        <v>1.3466980708628791</v>
      </c>
      <c r="S53">
        <v>1.3438651149164189</v>
      </c>
      <c r="T53">
        <v>1.3297774285396129</v>
      </c>
      <c r="U53">
        <v>1.337218823189096</v>
      </c>
      <c r="V53">
        <v>1.3097972964405751</v>
      </c>
      <c r="W53">
        <v>1.332097117829997</v>
      </c>
      <c r="X53">
        <v>1.3092965753931891</v>
      </c>
      <c r="Y53">
        <v>1.3061289978289421</v>
      </c>
    </row>
    <row r="54" spans="1:27" x14ac:dyDescent="0.35">
      <c r="A54" t="s">
        <v>89</v>
      </c>
      <c r="B54">
        <v>0.23859149025436671</v>
      </c>
      <c r="C54">
        <v>0.236830038649811</v>
      </c>
      <c r="D54">
        <v>0.23716936658118909</v>
      </c>
      <c r="E54">
        <v>0.23579160629010021</v>
      </c>
      <c r="F54">
        <v>0.23590757112020311</v>
      </c>
      <c r="G54">
        <v>0.2350918780912668</v>
      </c>
      <c r="H54">
        <v>0.23741052597610379</v>
      </c>
      <c r="I54">
        <v>0.2350830651002988</v>
      </c>
      <c r="J54">
        <v>0.23562317783390349</v>
      </c>
      <c r="K54">
        <v>0.23668352084438191</v>
      </c>
      <c r="L54">
        <v>0.23268644698363711</v>
      </c>
      <c r="M54">
        <v>0.23819136879125899</v>
      </c>
      <c r="N54">
        <v>0.24008852320721541</v>
      </c>
      <c r="O54">
        <v>0.2370899606429677</v>
      </c>
      <c r="P54">
        <v>0.2416585985366303</v>
      </c>
      <c r="Q54">
        <v>0.2377837175033499</v>
      </c>
      <c r="R54">
        <v>0.24128524523289999</v>
      </c>
      <c r="S54">
        <v>0.24157739314610729</v>
      </c>
      <c r="T54">
        <v>0.2404877039705253</v>
      </c>
      <c r="U54">
        <v>0.23913100131978579</v>
      </c>
      <c r="V54">
        <v>0.2414268950698511</v>
      </c>
      <c r="W54">
        <v>0.23967454673021019</v>
      </c>
      <c r="X54">
        <v>0.23998425665908529</v>
      </c>
      <c r="Y54">
        <v>0.24009232494758759</v>
      </c>
    </row>
    <row r="56" spans="1:27" x14ac:dyDescent="0.35">
      <c r="A56" t="s">
        <v>94</v>
      </c>
      <c r="B56" t="s">
        <v>129</v>
      </c>
      <c r="C56" t="s">
        <v>130</v>
      </c>
      <c r="D56" t="s">
        <v>131</v>
      </c>
      <c r="E56" t="s">
        <v>132</v>
      </c>
      <c r="F56" t="s">
        <v>133</v>
      </c>
      <c r="G56" t="s">
        <v>134</v>
      </c>
      <c r="H56" t="s">
        <v>135</v>
      </c>
      <c r="I56" t="s">
        <v>136</v>
      </c>
      <c r="J56" t="s">
        <v>137</v>
      </c>
      <c r="K56" t="s">
        <v>138</v>
      </c>
      <c r="L56" t="s">
        <v>139</v>
      </c>
      <c r="M56" t="s">
        <v>140</v>
      </c>
      <c r="N56" t="s">
        <v>141</v>
      </c>
      <c r="O56" t="s">
        <v>142</v>
      </c>
      <c r="P56" t="s">
        <v>143</v>
      </c>
      <c r="Q56" t="s">
        <v>144</v>
      </c>
      <c r="R56" t="s">
        <v>145</v>
      </c>
      <c r="S56" t="s">
        <v>146</v>
      </c>
      <c r="T56" t="s">
        <v>147</v>
      </c>
      <c r="U56" t="s">
        <v>148</v>
      </c>
      <c r="V56" t="s">
        <v>149</v>
      </c>
      <c r="W56" t="s">
        <v>150</v>
      </c>
      <c r="X56" t="s">
        <v>151</v>
      </c>
      <c r="Y56" t="s">
        <v>152</v>
      </c>
    </row>
    <row r="57" spans="1:27" x14ac:dyDescent="0.35">
      <c r="A57" t="s">
        <v>81</v>
      </c>
    </row>
    <row r="58" spans="1:27" x14ac:dyDescent="0.35">
      <c r="A58" t="s">
        <v>82</v>
      </c>
    </row>
    <row r="59" spans="1:27" x14ac:dyDescent="0.35">
      <c r="A59" t="s">
        <v>83</v>
      </c>
    </row>
    <row r="60" spans="1:27" x14ac:dyDescent="0.35">
      <c r="A60" t="s">
        <v>84</v>
      </c>
    </row>
    <row r="61" spans="1:27" x14ac:dyDescent="0.35">
      <c r="A61" t="s">
        <v>85</v>
      </c>
    </row>
    <row r="62" spans="1:27" x14ac:dyDescent="0.35">
      <c r="A62" t="s">
        <v>86</v>
      </c>
    </row>
    <row r="63" spans="1:27" x14ac:dyDescent="0.35">
      <c r="A63" t="s">
        <v>87</v>
      </c>
    </row>
    <row r="64" spans="1:27" x14ac:dyDescent="0.35">
      <c r="A64" t="s">
        <v>88</v>
      </c>
    </row>
    <row r="65" spans="1:25" x14ac:dyDescent="0.35">
      <c r="A65" t="s">
        <v>89</v>
      </c>
    </row>
    <row r="67" spans="1:25" x14ac:dyDescent="0.35">
      <c r="A67" t="s">
        <v>95</v>
      </c>
      <c r="B67" t="s">
        <v>129</v>
      </c>
      <c r="C67" t="s">
        <v>130</v>
      </c>
      <c r="D67" t="s">
        <v>131</v>
      </c>
      <c r="E67" t="s">
        <v>132</v>
      </c>
      <c r="F67" t="s">
        <v>133</v>
      </c>
      <c r="G67" t="s">
        <v>134</v>
      </c>
      <c r="H67" t="s">
        <v>135</v>
      </c>
      <c r="I67" t="s">
        <v>136</v>
      </c>
      <c r="J67" t="s">
        <v>137</v>
      </c>
      <c r="K67" t="s">
        <v>138</v>
      </c>
      <c r="L67" t="s">
        <v>139</v>
      </c>
      <c r="M67" t="s">
        <v>140</v>
      </c>
      <c r="N67" t="s">
        <v>141</v>
      </c>
      <c r="O67" t="s">
        <v>142</v>
      </c>
      <c r="P67" t="s">
        <v>143</v>
      </c>
      <c r="Q67" t="s">
        <v>144</v>
      </c>
      <c r="R67" t="s">
        <v>145</v>
      </c>
      <c r="S67" t="s">
        <v>146</v>
      </c>
      <c r="T67" t="s">
        <v>147</v>
      </c>
      <c r="U67" t="s">
        <v>148</v>
      </c>
      <c r="V67" t="s">
        <v>149</v>
      </c>
      <c r="W67" t="s">
        <v>150</v>
      </c>
      <c r="X67" t="s">
        <v>151</v>
      </c>
      <c r="Y67" t="s">
        <v>152</v>
      </c>
    </row>
    <row r="68" spans="1:25" x14ac:dyDescent="0.35">
      <c r="A68" t="s">
        <v>81</v>
      </c>
      <c r="B68">
        <v>141.79077758279291</v>
      </c>
      <c r="C68">
        <v>141.87015642271379</v>
      </c>
      <c r="D68">
        <v>141.97337106331881</v>
      </c>
      <c r="E68">
        <v>141.95243558821741</v>
      </c>
      <c r="F68">
        <v>141.85457393869891</v>
      </c>
      <c r="G68">
        <v>141.9100571847041</v>
      </c>
      <c r="H68">
        <v>142.1469890355917</v>
      </c>
      <c r="I68">
        <v>141.7445434967338</v>
      </c>
      <c r="J68">
        <v>141.91584398743231</v>
      </c>
      <c r="K68">
        <v>142.04662280001429</v>
      </c>
      <c r="L68">
        <v>141.8213674741358</v>
      </c>
      <c r="M68">
        <v>142.4361235108521</v>
      </c>
      <c r="N68">
        <v>142.44000700908731</v>
      </c>
      <c r="O68">
        <v>142.3753922202778</v>
      </c>
      <c r="P68">
        <v>142.05009039131659</v>
      </c>
      <c r="Q68">
        <v>142.49189872496819</v>
      </c>
      <c r="R68">
        <v>142.0038455043304</v>
      </c>
      <c r="S68">
        <v>142.11874959680321</v>
      </c>
      <c r="T68">
        <v>142.3072976619149</v>
      </c>
      <c r="U68">
        <v>142.20517329454901</v>
      </c>
      <c r="V68">
        <v>142.58972222357329</v>
      </c>
      <c r="W68">
        <v>142.77748079129759</v>
      </c>
      <c r="X68">
        <v>142.49577337332249</v>
      </c>
      <c r="Y68">
        <v>142.9287674599129</v>
      </c>
    </row>
    <row r="69" spans="1:25" x14ac:dyDescent="0.35">
      <c r="A69" t="s">
        <v>82</v>
      </c>
      <c r="B69">
        <v>2.5563821383099521</v>
      </c>
      <c r="C69">
        <v>2.801952225628324</v>
      </c>
      <c r="D69">
        <v>2.9348288215855329</v>
      </c>
      <c r="E69">
        <v>2.905770742201462</v>
      </c>
      <c r="F69">
        <v>3.0461856688354612</v>
      </c>
      <c r="G69">
        <v>3.116020032633124</v>
      </c>
      <c r="H69">
        <v>3.1193706329423159</v>
      </c>
      <c r="I69">
        <v>3.2098830801481122</v>
      </c>
      <c r="J69">
        <v>2.854583093954199</v>
      </c>
      <c r="K69">
        <v>2.8929492206392919</v>
      </c>
      <c r="L69">
        <v>3.136967905408369</v>
      </c>
      <c r="M69">
        <v>2.8396186845346332</v>
      </c>
      <c r="N69">
        <v>3.1499607353004042</v>
      </c>
      <c r="O69">
        <v>3.114595830348843</v>
      </c>
      <c r="P69">
        <v>3.102854919820774</v>
      </c>
      <c r="Q69">
        <v>3.2619737791952979</v>
      </c>
      <c r="R69">
        <v>3.1572418087619378</v>
      </c>
      <c r="S69">
        <v>2.8748351054242791</v>
      </c>
      <c r="T69">
        <v>3.029620637132032</v>
      </c>
      <c r="U69">
        <v>2.9800154487018822</v>
      </c>
      <c r="V69">
        <v>3.0918947639956018</v>
      </c>
      <c r="W69">
        <v>3.276065003711615</v>
      </c>
      <c r="X69">
        <v>3.1548195564797101</v>
      </c>
      <c r="Y69">
        <v>2.8226048592625661</v>
      </c>
    </row>
    <row r="70" spans="1:25" x14ac:dyDescent="0.35">
      <c r="A70" t="s">
        <v>83</v>
      </c>
      <c r="B70">
        <v>2.312911762929398</v>
      </c>
      <c r="C70">
        <v>2.4740773527937212</v>
      </c>
      <c r="D70">
        <v>2.4685181667763252</v>
      </c>
      <c r="E70">
        <v>2.047982934057293</v>
      </c>
      <c r="F70">
        <v>3.337734473547127</v>
      </c>
      <c r="G70">
        <v>3.0649696657196732</v>
      </c>
      <c r="H70">
        <v>3.148813887094438</v>
      </c>
      <c r="I70">
        <v>3.5346421921650171</v>
      </c>
      <c r="J70">
        <v>3.4224355502010888</v>
      </c>
      <c r="K70">
        <v>3.2149136425612221</v>
      </c>
      <c r="L70">
        <v>3.6765835137525289</v>
      </c>
      <c r="M70">
        <v>2.69164120626189</v>
      </c>
      <c r="N70">
        <v>3.1989099634668281</v>
      </c>
      <c r="O70">
        <v>2.9324507298555491</v>
      </c>
      <c r="P70">
        <v>2.2773613071361969</v>
      </c>
      <c r="Q70">
        <v>2.7211020477446901</v>
      </c>
      <c r="R70">
        <v>3.3148207213895402</v>
      </c>
      <c r="S70">
        <v>2.977651144569319</v>
      </c>
      <c r="T70">
        <v>2.8186833777089482</v>
      </c>
      <c r="U70">
        <v>3.045595049311399</v>
      </c>
      <c r="V70">
        <v>3.1039220008548329</v>
      </c>
      <c r="W70">
        <v>2.7981408936619938</v>
      </c>
      <c r="X70">
        <v>3.5095386496755432</v>
      </c>
      <c r="Y70">
        <v>3.050662303675411</v>
      </c>
    </row>
    <row r="71" spans="1:25" x14ac:dyDescent="0.35">
      <c r="A71" t="s">
        <v>84</v>
      </c>
      <c r="B71">
        <v>4.0343303233604226</v>
      </c>
      <c r="C71">
        <v>4.1407186308428301</v>
      </c>
      <c r="D71">
        <v>4.0202434682836987</v>
      </c>
      <c r="E71">
        <v>3.854017057137245</v>
      </c>
      <c r="F71">
        <v>4.3796902991777236</v>
      </c>
      <c r="G71">
        <v>4.4912342840809396</v>
      </c>
      <c r="H71">
        <v>4.65830171113421</v>
      </c>
      <c r="I71">
        <v>4.4024009996164306</v>
      </c>
      <c r="J71">
        <v>4.6440159567804482</v>
      </c>
      <c r="K71">
        <v>4.3259007881358782</v>
      </c>
      <c r="L71">
        <v>4.3924237457902713</v>
      </c>
      <c r="M71">
        <v>4.5038166343151538</v>
      </c>
      <c r="N71">
        <v>4.1931260379064579</v>
      </c>
      <c r="O71">
        <v>4.0496938160000138</v>
      </c>
      <c r="P71">
        <v>4.0513851241761394</v>
      </c>
      <c r="Q71">
        <v>4.3758135622931951</v>
      </c>
      <c r="R71">
        <v>4.241600114836694</v>
      </c>
      <c r="S71">
        <v>4.0109640030900326</v>
      </c>
      <c r="T71">
        <v>3.9912876655748621</v>
      </c>
      <c r="U71">
        <v>4.094604662452352</v>
      </c>
      <c r="V71">
        <v>4.2388565311277437</v>
      </c>
      <c r="W71">
        <v>4.1825098628105577</v>
      </c>
      <c r="X71">
        <v>4.4182233312148762</v>
      </c>
      <c r="Y71">
        <v>3.8489244115412671</v>
      </c>
    </row>
    <row r="72" spans="1:25" x14ac:dyDescent="0.35">
      <c r="A72" t="s">
        <v>85</v>
      </c>
      <c r="B72">
        <v>0.16020264797512521</v>
      </c>
      <c r="C72">
        <v>7.3496005310225515E-2</v>
      </c>
      <c r="D72">
        <v>0.17186094819371281</v>
      </c>
      <c r="E72">
        <v>0.18473443740664619</v>
      </c>
      <c r="F72">
        <v>0.24145845582013439</v>
      </c>
      <c r="G72">
        <v>0.3477430161055618</v>
      </c>
      <c r="H72">
        <v>0.40001241280905492</v>
      </c>
      <c r="I72">
        <v>0.36395159289009671</v>
      </c>
      <c r="J72">
        <v>0.30954177119943488</v>
      </c>
      <c r="K72">
        <v>0.36712006376130651</v>
      </c>
      <c r="L72">
        <v>0.30039959199326888</v>
      </c>
      <c r="M72">
        <v>0.29394136333890269</v>
      </c>
      <c r="N72">
        <v>0.6138374642437191</v>
      </c>
      <c r="O72">
        <v>0.40592164040902501</v>
      </c>
      <c r="P72">
        <v>0.35133695950962762</v>
      </c>
      <c r="Q72">
        <v>0.46734503489383372</v>
      </c>
      <c r="R72">
        <v>0.55102020856038048</v>
      </c>
      <c r="S72">
        <v>0.33740452301619728</v>
      </c>
      <c r="T72">
        <v>0.47339657326891538</v>
      </c>
      <c r="U72">
        <v>0.37800678971329638</v>
      </c>
      <c r="V72">
        <v>0.13325720968263491</v>
      </c>
      <c r="W72">
        <v>6.9560204956273172E-2</v>
      </c>
      <c r="X72">
        <v>0.34476967691124422</v>
      </c>
      <c r="Y72">
        <v>0.30570419294556428</v>
      </c>
    </row>
    <row r="73" spans="1:25" x14ac:dyDescent="0.35">
      <c r="A73" t="s">
        <v>86</v>
      </c>
      <c r="B73">
        <v>150.85460445536779</v>
      </c>
      <c r="C73">
        <v>151.3604006372889</v>
      </c>
      <c r="D73">
        <v>151.56882246815809</v>
      </c>
      <c r="E73">
        <v>150.94494075902</v>
      </c>
      <c r="F73">
        <v>152.8596428360793</v>
      </c>
      <c r="G73">
        <v>152.9300241832434</v>
      </c>
      <c r="H73">
        <v>153.4734876795718</v>
      </c>
      <c r="I73">
        <v>153.2554213615534</v>
      </c>
      <c r="J73">
        <v>153.1464203595674</v>
      </c>
      <c r="K73">
        <v>152.84750651511189</v>
      </c>
      <c r="L73">
        <v>153.32774223108021</v>
      </c>
      <c r="M73">
        <v>152.76514139930271</v>
      </c>
      <c r="N73">
        <v>153.59584121000469</v>
      </c>
      <c r="O73">
        <v>152.87805423689119</v>
      </c>
      <c r="P73">
        <v>151.83302870195939</v>
      </c>
      <c r="Q73">
        <v>153.31813314909519</v>
      </c>
      <c r="R73">
        <v>153.26852835787889</v>
      </c>
      <c r="S73">
        <v>152.31960437290309</v>
      </c>
      <c r="T73">
        <v>152.62028591559971</v>
      </c>
      <c r="U73">
        <v>152.70339524472789</v>
      </c>
      <c r="V73">
        <v>153.15765272923409</v>
      </c>
      <c r="W73">
        <v>153.103756756438</v>
      </c>
      <c r="X73">
        <v>153.92312458760389</v>
      </c>
      <c r="Y73">
        <v>152.95666322733771</v>
      </c>
    </row>
    <row r="74" spans="1:25" x14ac:dyDescent="0.35">
      <c r="A74" t="s">
        <v>87</v>
      </c>
      <c r="B74">
        <v>34236443.200000003</v>
      </c>
      <c r="C74">
        <v>36095003.509999998</v>
      </c>
      <c r="D74">
        <v>35738652.18</v>
      </c>
      <c r="E74">
        <v>31618259.010000002</v>
      </c>
      <c r="F74">
        <v>33396056.84</v>
      </c>
      <c r="G74">
        <v>33772457.060000002</v>
      </c>
      <c r="H74">
        <v>34310799.289999999</v>
      </c>
      <c r="I74">
        <v>34165168.780000001</v>
      </c>
      <c r="J74">
        <v>29364414.960000001</v>
      </c>
      <c r="K74">
        <v>30875007.91</v>
      </c>
      <c r="L74">
        <v>31731981.379999999</v>
      </c>
      <c r="M74">
        <v>28074967.25</v>
      </c>
      <c r="N74">
        <v>27458738.57</v>
      </c>
      <c r="O74">
        <v>28063794.140000001</v>
      </c>
      <c r="P74">
        <v>28258155.75</v>
      </c>
      <c r="Q74">
        <v>27679729.27</v>
      </c>
      <c r="R74">
        <v>27959891.719999999</v>
      </c>
      <c r="S74">
        <v>27059482.579999998</v>
      </c>
      <c r="T74">
        <v>27802588.41</v>
      </c>
      <c r="U74">
        <v>26328348.809999999</v>
      </c>
      <c r="V74">
        <v>23165154.899999999</v>
      </c>
      <c r="W74">
        <v>21813601.260000002</v>
      </c>
      <c r="X74">
        <v>19769239.829999998</v>
      </c>
      <c r="Y74">
        <v>12826390.220000001</v>
      </c>
    </row>
    <row r="75" spans="1:25" x14ac:dyDescent="0.35">
      <c r="A75" t="s">
        <v>88</v>
      </c>
      <c r="B75">
        <v>1.5033295749836799</v>
      </c>
      <c r="C75">
        <v>1.499681085589015</v>
      </c>
      <c r="D75">
        <v>1.5126674531009741</v>
      </c>
      <c r="E75">
        <v>1.5190176206361741</v>
      </c>
      <c r="F75">
        <v>1.49494058364397</v>
      </c>
      <c r="G75">
        <v>1.49196639289804</v>
      </c>
      <c r="H75">
        <v>1.4762559831140749</v>
      </c>
      <c r="I75">
        <v>1.484921375844162</v>
      </c>
      <c r="J75">
        <v>1.480507145192085</v>
      </c>
      <c r="K75">
        <v>1.490548827900378</v>
      </c>
      <c r="L75">
        <v>1.4968285897411271</v>
      </c>
      <c r="M75">
        <v>1.4895624121920039</v>
      </c>
      <c r="N75">
        <v>1.5122899715468809</v>
      </c>
      <c r="O75">
        <v>1.5222383381631379</v>
      </c>
      <c r="P75">
        <v>1.512417275028854</v>
      </c>
      <c r="Q75">
        <v>1.500157049979753</v>
      </c>
      <c r="R75">
        <v>1.506467283967502</v>
      </c>
      <c r="S75">
        <v>1.531947502810205</v>
      </c>
      <c r="T75">
        <v>1.519906238608431</v>
      </c>
      <c r="U75">
        <v>1.5258935649664671</v>
      </c>
      <c r="V75">
        <v>1.5195388476416769</v>
      </c>
      <c r="W75">
        <v>1.518277999982506</v>
      </c>
      <c r="X75">
        <v>1.5045623215309301</v>
      </c>
      <c r="Y75">
        <v>1.534253520105983</v>
      </c>
    </row>
    <row r="76" spans="1:25" x14ac:dyDescent="0.35">
      <c r="A76" t="s">
        <v>89</v>
      </c>
      <c r="B76">
        <v>0.24524143049483019</v>
      </c>
      <c r="C76">
        <v>0.24666382892527799</v>
      </c>
      <c r="D76">
        <v>0.24538009180244361</v>
      </c>
      <c r="E76">
        <v>0.2450148386140695</v>
      </c>
      <c r="F76">
        <v>0.24472019023909591</v>
      </c>
      <c r="G76">
        <v>0.24328601421539561</v>
      </c>
      <c r="H76">
        <v>0.24243568568670321</v>
      </c>
      <c r="I76">
        <v>0.24264487820826741</v>
      </c>
      <c r="J76">
        <v>0.24385660090786021</v>
      </c>
      <c r="K76">
        <v>0.24263209406850639</v>
      </c>
      <c r="L76">
        <v>0.2439844311963667</v>
      </c>
      <c r="M76">
        <v>0.2441340780107944</v>
      </c>
      <c r="N76">
        <v>0.23954715826182979</v>
      </c>
      <c r="O76">
        <v>0.24246129474305639</v>
      </c>
      <c r="P76">
        <v>0.24298781104533521</v>
      </c>
      <c r="Q76">
        <v>0.24164861081489911</v>
      </c>
      <c r="R76">
        <v>0.24039275548260239</v>
      </c>
      <c r="S76">
        <v>0.24364228101692689</v>
      </c>
      <c r="T76">
        <v>0.2412495565663772</v>
      </c>
      <c r="U76">
        <v>0.24319271847963639</v>
      </c>
      <c r="V76">
        <v>0.24679753101879751</v>
      </c>
      <c r="W76">
        <v>0.24753515418554051</v>
      </c>
      <c r="X76">
        <v>0.24368059361941591</v>
      </c>
      <c r="Y76">
        <v>0.24386009342673809</v>
      </c>
    </row>
    <row r="78" spans="1:25" x14ac:dyDescent="0.35">
      <c r="A78" t="s">
        <v>96</v>
      </c>
      <c r="B78" t="s">
        <v>129</v>
      </c>
      <c r="C78" t="s">
        <v>130</v>
      </c>
      <c r="D78" t="s">
        <v>131</v>
      </c>
      <c r="E78" t="s">
        <v>132</v>
      </c>
      <c r="F78" t="s">
        <v>133</v>
      </c>
      <c r="G78" t="s">
        <v>134</v>
      </c>
      <c r="H78" t="s">
        <v>135</v>
      </c>
      <c r="I78" t="s">
        <v>136</v>
      </c>
      <c r="J78" t="s">
        <v>137</v>
      </c>
      <c r="K78" t="s">
        <v>138</v>
      </c>
      <c r="L78" t="s">
        <v>139</v>
      </c>
      <c r="M78" t="s">
        <v>140</v>
      </c>
      <c r="N78" t="s">
        <v>141</v>
      </c>
      <c r="O78" t="s">
        <v>142</v>
      </c>
      <c r="P78" t="s">
        <v>143</v>
      </c>
      <c r="Q78" t="s">
        <v>144</v>
      </c>
      <c r="R78" t="s">
        <v>145</v>
      </c>
      <c r="S78" t="s">
        <v>146</v>
      </c>
      <c r="T78" t="s">
        <v>147</v>
      </c>
      <c r="U78" t="s">
        <v>148</v>
      </c>
      <c r="V78" t="s">
        <v>149</v>
      </c>
      <c r="W78" t="s">
        <v>150</v>
      </c>
      <c r="X78" t="s">
        <v>151</v>
      </c>
      <c r="Y78" t="s">
        <v>152</v>
      </c>
    </row>
    <row r="79" spans="1:25" x14ac:dyDescent="0.35">
      <c r="A79" t="s">
        <v>81</v>
      </c>
      <c r="B79">
        <v>141.5196717855452</v>
      </c>
      <c r="C79">
        <v>141.56351378100999</v>
      </c>
      <c r="D79">
        <v>141.7606558047064</v>
      </c>
      <c r="E79">
        <v>141.76770993654711</v>
      </c>
      <c r="F79">
        <v>141.69718308194891</v>
      </c>
      <c r="G79">
        <v>141.82435724779239</v>
      </c>
      <c r="H79">
        <v>141.9513752693951</v>
      </c>
      <c r="I79">
        <v>141.67534499667451</v>
      </c>
      <c r="J79">
        <v>142.15351396891691</v>
      </c>
      <c r="K79">
        <v>142.24668419423611</v>
      </c>
      <c r="L79">
        <v>142.1043193838685</v>
      </c>
      <c r="M79">
        <v>142.56456681290169</v>
      </c>
      <c r="N79">
        <v>142.55651129739601</v>
      </c>
      <c r="O79">
        <v>142.62557950529711</v>
      </c>
      <c r="P79">
        <v>142.30531788714009</v>
      </c>
      <c r="Q79">
        <v>142.78899301280049</v>
      </c>
      <c r="R79">
        <v>142.3500024440059</v>
      </c>
      <c r="S79">
        <v>142.42205968132279</v>
      </c>
      <c r="T79">
        <v>142.61322305965541</v>
      </c>
      <c r="U79">
        <v>142.53485570002829</v>
      </c>
      <c r="V79">
        <v>142.87141569485769</v>
      </c>
      <c r="W79">
        <v>143.23115681317981</v>
      </c>
      <c r="X79">
        <v>142.93911748332459</v>
      </c>
      <c r="Y79">
        <v>143.21746641344609</v>
      </c>
    </row>
    <row r="80" spans="1:25" x14ac:dyDescent="0.35">
      <c r="A80" t="s">
        <v>82</v>
      </c>
      <c r="B80">
        <v>2.2289293096872358</v>
      </c>
      <c r="C80">
        <v>2.475031408360207</v>
      </c>
      <c r="D80">
        <v>2.5486909641850231</v>
      </c>
      <c r="E80">
        <v>2.5976422542908542</v>
      </c>
      <c r="F80">
        <v>2.7245607996482168</v>
      </c>
      <c r="G80">
        <v>2.7892746698051591</v>
      </c>
      <c r="H80">
        <v>2.7468102176325</v>
      </c>
      <c r="I80">
        <v>2.8664400065998512</v>
      </c>
      <c r="J80">
        <v>2.6018154621865901</v>
      </c>
      <c r="K80">
        <v>2.672887653876574</v>
      </c>
      <c r="L80">
        <v>2.9229581535533899</v>
      </c>
      <c r="M80">
        <v>2.5648884856996088</v>
      </c>
      <c r="N80">
        <v>2.8097629439273408</v>
      </c>
      <c r="O80">
        <v>2.7386902550519698</v>
      </c>
      <c r="P80">
        <v>2.745763128521189</v>
      </c>
      <c r="Q80">
        <v>2.9683991102538378</v>
      </c>
      <c r="R80">
        <v>2.8568250521297611</v>
      </c>
      <c r="S80">
        <v>2.6614748381485529</v>
      </c>
      <c r="T80">
        <v>2.727589203387303</v>
      </c>
      <c r="U80">
        <v>2.7113332554675158</v>
      </c>
      <c r="V80">
        <v>2.7782045477055708</v>
      </c>
      <c r="W80">
        <v>2.8453716519740162</v>
      </c>
      <c r="X80">
        <v>2.8048266152662111</v>
      </c>
      <c r="Y80">
        <v>2.531858505382254</v>
      </c>
    </row>
    <row r="81" spans="1:25" x14ac:dyDescent="0.35">
      <c r="A81" t="s">
        <v>83</v>
      </c>
      <c r="B81">
        <v>2.3437089017404218</v>
      </c>
      <c r="C81">
        <v>2.5534508399561719</v>
      </c>
      <c r="D81">
        <v>2.3669099222151742</v>
      </c>
      <c r="E81">
        <v>2.0322237321268171</v>
      </c>
      <c r="F81">
        <v>3.158551910340341</v>
      </c>
      <c r="G81">
        <v>2.9301532396025589</v>
      </c>
      <c r="H81">
        <v>2.98417534988543</v>
      </c>
      <c r="I81">
        <v>3.2591155356694488</v>
      </c>
      <c r="J81">
        <v>3.1072768326768569</v>
      </c>
      <c r="K81">
        <v>2.9728921642780088</v>
      </c>
      <c r="L81">
        <v>3.3470400553182178</v>
      </c>
      <c r="M81">
        <v>2.438299998274911</v>
      </c>
      <c r="N81">
        <v>2.8634663651921701</v>
      </c>
      <c r="O81">
        <v>2.6058424520609478</v>
      </c>
      <c r="P81">
        <v>2.0342482151024468</v>
      </c>
      <c r="Q81">
        <v>2.453232133060498</v>
      </c>
      <c r="R81">
        <v>2.8277969267583249</v>
      </c>
      <c r="S81">
        <v>2.5884889866455549</v>
      </c>
      <c r="T81">
        <v>2.5021931969226481</v>
      </c>
      <c r="U81">
        <v>2.6397792441334551</v>
      </c>
      <c r="V81">
        <v>2.6109772825692441</v>
      </c>
      <c r="W81">
        <v>2.148950461780303</v>
      </c>
      <c r="X81">
        <v>2.9084739260459211</v>
      </c>
      <c r="Y81">
        <v>2.5664227255972749</v>
      </c>
    </row>
    <row r="82" spans="1:25" x14ac:dyDescent="0.35">
      <c r="A82" t="s">
        <v>84</v>
      </c>
      <c r="B82">
        <v>3.6451188134828691</v>
      </c>
      <c r="C82">
        <v>3.715750825827413</v>
      </c>
      <c r="D82">
        <v>3.6394345426118582</v>
      </c>
      <c r="E82">
        <v>3.6163163672583161</v>
      </c>
      <c r="F82">
        <v>4.0866975401181964</v>
      </c>
      <c r="G82">
        <v>4.164094314504438</v>
      </c>
      <c r="H82">
        <v>4.3838374554334161</v>
      </c>
      <c r="I82">
        <v>4.1013893271671682</v>
      </c>
      <c r="J82">
        <v>4.3596360083177119</v>
      </c>
      <c r="K82">
        <v>4.0294496161663593</v>
      </c>
      <c r="L82">
        <v>4.1333149414907924</v>
      </c>
      <c r="M82">
        <v>4.1727781169750919</v>
      </c>
      <c r="N82">
        <v>3.849578850756664</v>
      </c>
      <c r="O82">
        <v>3.6831332967359822</v>
      </c>
      <c r="P82">
        <v>3.7238837660967459</v>
      </c>
      <c r="Q82">
        <v>4.0167693710242407</v>
      </c>
      <c r="R82">
        <v>3.9348023812882218</v>
      </c>
      <c r="S82">
        <v>3.7234416858096302</v>
      </c>
      <c r="T82">
        <v>3.7233690868359441</v>
      </c>
      <c r="U82">
        <v>3.818644979456284</v>
      </c>
      <c r="V82">
        <v>3.982435662367581</v>
      </c>
      <c r="W82">
        <v>3.800673586679673</v>
      </c>
      <c r="X82">
        <v>4.0903241953147136</v>
      </c>
      <c r="Y82">
        <v>3.6229161180620739</v>
      </c>
    </row>
    <row r="83" spans="1:25" x14ac:dyDescent="0.35">
      <c r="A83" t="s">
        <v>85</v>
      </c>
      <c r="B83">
        <v>8.7818872495213668E-2</v>
      </c>
      <c r="C83">
        <v>3.9215286935303309E-2</v>
      </c>
      <c r="D83">
        <v>0.1202158256134601</v>
      </c>
      <c r="E83">
        <v>0.15100928165371219</v>
      </c>
      <c r="F83">
        <v>0.20214977704974779</v>
      </c>
      <c r="G83">
        <v>0.30549448929314332</v>
      </c>
      <c r="H83">
        <v>0.32915818012053177</v>
      </c>
      <c r="I83">
        <v>0.31878958574724808</v>
      </c>
      <c r="J83">
        <v>0.27036074575214131</v>
      </c>
      <c r="K83">
        <v>0.31872486710387071</v>
      </c>
      <c r="L83">
        <v>0.28590762552413362</v>
      </c>
      <c r="M83">
        <v>0.24035646962523949</v>
      </c>
      <c r="N83">
        <v>0.4978911389965619</v>
      </c>
      <c r="O83">
        <v>0.33667764512875181</v>
      </c>
      <c r="P83">
        <v>0.25323414277101303</v>
      </c>
      <c r="Q83">
        <v>0.38753904216662</v>
      </c>
      <c r="R83">
        <v>0.44752224138199909</v>
      </c>
      <c r="S83">
        <v>0.2514369018963537</v>
      </c>
      <c r="T83">
        <v>0.37978739168355929</v>
      </c>
      <c r="U83">
        <v>0.30881243514029022</v>
      </c>
      <c r="V83">
        <v>7.1446575356086076E-2</v>
      </c>
      <c r="W83">
        <v>1.298338291446929E-2</v>
      </c>
      <c r="X83">
        <v>0.25699471397806639</v>
      </c>
      <c r="Y83">
        <v>0.22998164804473989</v>
      </c>
    </row>
    <row r="84" spans="1:25" x14ac:dyDescent="0.35">
      <c r="A84" t="s">
        <v>86</v>
      </c>
      <c r="B84">
        <v>149.82524768295099</v>
      </c>
      <c r="C84">
        <v>150.3469621420891</v>
      </c>
      <c r="D84">
        <v>150.4359070593319</v>
      </c>
      <c r="E84">
        <v>150.16490157187681</v>
      </c>
      <c r="F84">
        <v>151.86914310910541</v>
      </c>
      <c r="G84">
        <v>152.01337396099771</v>
      </c>
      <c r="H84">
        <v>152.395356472467</v>
      </c>
      <c r="I84">
        <v>152.22107945185829</v>
      </c>
      <c r="J84">
        <v>152.4926030178502</v>
      </c>
      <c r="K84">
        <v>152.2406384956609</v>
      </c>
      <c r="L84">
        <v>152.793540159755</v>
      </c>
      <c r="M84">
        <v>151.98088988347661</v>
      </c>
      <c r="N84">
        <v>152.57721059626871</v>
      </c>
      <c r="O84">
        <v>151.98992315427469</v>
      </c>
      <c r="P84">
        <v>151.0624471396315</v>
      </c>
      <c r="Q84">
        <v>152.61493266930569</v>
      </c>
      <c r="R84">
        <v>152.41694904556419</v>
      </c>
      <c r="S84">
        <v>151.64690209382289</v>
      </c>
      <c r="T84">
        <v>151.94616193848481</v>
      </c>
      <c r="U84">
        <v>152.01342561422581</v>
      </c>
      <c r="V84">
        <v>152.31447976285619</v>
      </c>
      <c r="W84">
        <v>152.03913589652831</v>
      </c>
      <c r="X84">
        <v>152.99973693392951</v>
      </c>
      <c r="Y84">
        <v>152.16864541053249</v>
      </c>
    </row>
    <row r="85" spans="1:25" x14ac:dyDescent="0.35">
      <c r="A85" t="s">
        <v>87</v>
      </c>
      <c r="B85">
        <v>41541848.869999997</v>
      </c>
      <c r="C85">
        <v>43490279.009999998</v>
      </c>
      <c r="D85">
        <v>42522630.530000001</v>
      </c>
      <c r="E85">
        <v>36784046.310000002</v>
      </c>
      <c r="F85">
        <v>38337174.270000003</v>
      </c>
      <c r="G85">
        <v>38346736.729999997</v>
      </c>
      <c r="H85">
        <v>39193486.130000003</v>
      </c>
      <c r="I85">
        <v>38918551.109999999</v>
      </c>
      <c r="J85">
        <v>33028712.640000001</v>
      </c>
      <c r="K85">
        <v>34297592.009999998</v>
      </c>
      <c r="L85">
        <v>35441749.350000001</v>
      </c>
      <c r="M85">
        <v>31318927.84</v>
      </c>
      <c r="N85">
        <v>31186388.079999998</v>
      </c>
      <c r="O85">
        <v>32087293.640000001</v>
      </c>
      <c r="P85">
        <v>32111993.899999991</v>
      </c>
      <c r="Q85">
        <v>31472674.07</v>
      </c>
      <c r="R85">
        <v>31220541.289999999</v>
      </c>
      <c r="S85">
        <v>30327340.829999998</v>
      </c>
      <c r="T85">
        <v>31209430.52</v>
      </c>
      <c r="U85">
        <v>29374881.140000001</v>
      </c>
      <c r="V85">
        <v>25911697.460000001</v>
      </c>
      <c r="W85">
        <v>25441285.670000002</v>
      </c>
      <c r="X85">
        <v>22633186.449999999</v>
      </c>
      <c r="Y85">
        <v>14482552.199999999</v>
      </c>
    </row>
    <row r="86" spans="1:25" x14ac:dyDescent="0.35">
      <c r="A86" t="s">
        <v>88</v>
      </c>
      <c r="B86">
        <v>1.469278632446809</v>
      </c>
      <c r="C86">
        <v>1.4695208593181111</v>
      </c>
      <c r="D86">
        <v>1.4823924245513329</v>
      </c>
      <c r="E86">
        <v>1.4863553260750471</v>
      </c>
      <c r="F86">
        <v>1.4685450217900049</v>
      </c>
      <c r="G86">
        <v>1.470826982607776</v>
      </c>
      <c r="H86">
        <v>1.450189006936526</v>
      </c>
      <c r="I86">
        <v>1.4625342753029991</v>
      </c>
      <c r="J86">
        <v>1.4595803689094979</v>
      </c>
      <c r="K86">
        <v>1.475819381055576</v>
      </c>
      <c r="L86">
        <v>1.476546512996517</v>
      </c>
      <c r="M86">
        <v>1.474736080827638</v>
      </c>
      <c r="N86">
        <v>1.492366149939035</v>
      </c>
      <c r="O86">
        <v>1.5018818780164049</v>
      </c>
      <c r="P86">
        <v>1.4923660695724199</v>
      </c>
      <c r="Q86">
        <v>1.480846388871383</v>
      </c>
      <c r="R86">
        <v>1.489781108953115</v>
      </c>
      <c r="S86">
        <v>1.511681084253969</v>
      </c>
      <c r="T86">
        <v>1.499151651752014</v>
      </c>
      <c r="U86">
        <v>1.506325700234022</v>
      </c>
      <c r="V86">
        <v>1.497307031379407</v>
      </c>
      <c r="W86">
        <v>1.491730383938827</v>
      </c>
      <c r="X86">
        <v>1.479853883994378</v>
      </c>
      <c r="Y86">
        <v>1.508166187204748</v>
      </c>
    </row>
    <row r="87" spans="1:25" x14ac:dyDescent="0.35">
      <c r="A87" t="s">
        <v>89</v>
      </c>
      <c r="B87">
        <v>0.2440719950349432</v>
      </c>
      <c r="C87">
        <v>0.24499164861391279</v>
      </c>
      <c r="D87">
        <v>0.24407016855817271</v>
      </c>
      <c r="E87">
        <v>0.243719569028919</v>
      </c>
      <c r="F87">
        <v>0.24358436876134071</v>
      </c>
      <c r="G87">
        <v>0.24230855763154791</v>
      </c>
      <c r="H87">
        <v>0.2418096561187679</v>
      </c>
      <c r="I87">
        <v>0.24172130351740631</v>
      </c>
      <c r="J87">
        <v>0.24294316194349019</v>
      </c>
      <c r="K87">
        <v>0.24203848119537419</v>
      </c>
      <c r="L87">
        <v>0.2428018456658376</v>
      </c>
      <c r="M87">
        <v>0.243518542427824</v>
      </c>
      <c r="N87">
        <v>0.23961186658163339</v>
      </c>
      <c r="O87">
        <v>0.2417877708145971</v>
      </c>
      <c r="P87">
        <v>0.24282828903335871</v>
      </c>
      <c r="Q87">
        <v>0.2411828312959427</v>
      </c>
      <c r="R87">
        <v>0.2404859664328389</v>
      </c>
      <c r="S87">
        <v>0.24341978340654269</v>
      </c>
      <c r="T87">
        <v>0.24116639223233091</v>
      </c>
      <c r="U87">
        <v>0.24277146902559341</v>
      </c>
      <c r="V87">
        <v>0.24622826378994009</v>
      </c>
      <c r="W87">
        <v>0.24641430661955219</v>
      </c>
      <c r="X87">
        <v>0.24321286841566231</v>
      </c>
      <c r="Y87">
        <v>0.24342922773273351</v>
      </c>
    </row>
    <row r="89" spans="1:25" x14ac:dyDescent="0.35">
      <c r="A89" t="s">
        <v>97</v>
      </c>
      <c r="B89" t="s">
        <v>129</v>
      </c>
      <c r="C89" t="s">
        <v>130</v>
      </c>
      <c r="D89" t="s">
        <v>131</v>
      </c>
      <c r="E89" t="s">
        <v>132</v>
      </c>
      <c r="F89" t="s">
        <v>133</v>
      </c>
      <c r="G89" t="s">
        <v>134</v>
      </c>
      <c r="H89" t="s">
        <v>135</v>
      </c>
      <c r="I89" t="s">
        <v>136</v>
      </c>
      <c r="J89" t="s">
        <v>137</v>
      </c>
      <c r="K89" t="s">
        <v>138</v>
      </c>
      <c r="L89" t="s">
        <v>139</v>
      </c>
      <c r="M89" t="s">
        <v>140</v>
      </c>
      <c r="N89" t="s">
        <v>141</v>
      </c>
      <c r="O89" t="s">
        <v>142</v>
      </c>
      <c r="P89" t="s">
        <v>143</v>
      </c>
      <c r="Q89" t="s">
        <v>144</v>
      </c>
      <c r="R89" t="s">
        <v>145</v>
      </c>
      <c r="S89" t="s">
        <v>146</v>
      </c>
      <c r="T89" t="s">
        <v>147</v>
      </c>
      <c r="U89" t="s">
        <v>148</v>
      </c>
      <c r="V89" t="s">
        <v>149</v>
      </c>
      <c r="W89" t="s">
        <v>150</v>
      </c>
      <c r="X89" t="s">
        <v>151</v>
      </c>
      <c r="Y89" t="s">
        <v>152</v>
      </c>
    </row>
    <row r="90" spans="1:25" x14ac:dyDescent="0.35">
      <c r="A90" t="s">
        <v>81</v>
      </c>
      <c r="B90">
        <v>141.5196717855452</v>
      </c>
      <c r="C90">
        <v>141.56351378100999</v>
      </c>
      <c r="D90">
        <v>141.7606558047064</v>
      </c>
      <c r="E90">
        <v>141.76770993654711</v>
      </c>
      <c r="F90">
        <v>141.69718308194891</v>
      </c>
      <c r="G90">
        <v>141.82435724779239</v>
      </c>
      <c r="H90">
        <v>141.9513752693951</v>
      </c>
      <c r="I90">
        <v>141.67534499667451</v>
      </c>
      <c r="J90">
        <v>142.15351396891691</v>
      </c>
      <c r="K90">
        <v>142.24668419423611</v>
      </c>
      <c r="L90">
        <v>142.1043193838685</v>
      </c>
      <c r="M90">
        <v>142.56456681290169</v>
      </c>
      <c r="N90">
        <v>142.55651129739601</v>
      </c>
      <c r="O90">
        <v>142.62557950529711</v>
      </c>
      <c r="P90">
        <v>142.30531788714009</v>
      </c>
      <c r="Q90">
        <v>142.78899301280049</v>
      </c>
      <c r="R90">
        <v>142.3500024440059</v>
      </c>
      <c r="S90">
        <v>142.42205968132279</v>
      </c>
      <c r="T90">
        <v>142.61322305965541</v>
      </c>
      <c r="U90">
        <v>142.53485570002829</v>
      </c>
      <c r="V90">
        <v>142.87141569485769</v>
      </c>
      <c r="W90">
        <v>143.23115681317981</v>
      </c>
      <c r="X90">
        <v>142.93911748332459</v>
      </c>
      <c r="Y90">
        <v>143.21746641344609</v>
      </c>
    </row>
    <row r="91" spans="1:25" x14ac:dyDescent="0.35">
      <c r="A91" t="s">
        <v>82</v>
      </c>
      <c r="B91">
        <v>2.2289293096872358</v>
      </c>
      <c r="C91">
        <v>2.475031408360207</v>
      </c>
      <c r="D91">
        <v>2.5486909641850231</v>
      </c>
      <c r="E91">
        <v>2.5976422542908542</v>
      </c>
      <c r="F91">
        <v>2.7245607996482168</v>
      </c>
      <c r="G91">
        <v>2.7892746698051591</v>
      </c>
      <c r="H91">
        <v>2.7468102176325</v>
      </c>
      <c r="I91">
        <v>2.8664400065998512</v>
      </c>
      <c r="J91">
        <v>2.6018154621865901</v>
      </c>
      <c r="K91">
        <v>2.672887653876574</v>
      </c>
      <c r="L91">
        <v>2.9229581535533899</v>
      </c>
      <c r="M91">
        <v>2.5648884856996088</v>
      </c>
      <c r="N91">
        <v>2.8097629439273408</v>
      </c>
      <c r="O91">
        <v>2.7386902550519698</v>
      </c>
      <c r="P91">
        <v>2.745763128521189</v>
      </c>
      <c r="Q91">
        <v>2.9683991102538378</v>
      </c>
      <c r="R91">
        <v>2.8568250521297611</v>
      </c>
      <c r="S91">
        <v>2.6614748381485529</v>
      </c>
      <c r="T91">
        <v>2.727589203387303</v>
      </c>
      <c r="U91">
        <v>2.7113332554675158</v>
      </c>
      <c r="V91">
        <v>2.7782045477055708</v>
      </c>
      <c r="W91">
        <v>2.8453716519740162</v>
      </c>
      <c r="X91">
        <v>2.8048266152662111</v>
      </c>
      <c r="Y91">
        <v>2.531858505382254</v>
      </c>
    </row>
    <row r="92" spans="1:25" x14ac:dyDescent="0.35">
      <c r="A92" t="s">
        <v>83</v>
      </c>
      <c r="B92">
        <v>2.3437089017404218</v>
      </c>
      <c r="C92">
        <v>2.5534508399561719</v>
      </c>
      <c r="D92">
        <v>2.3669099222151742</v>
      </c>
      <c r="E92">
        <v>2.0322237321268171</v>
      </c>
      <c r="F92">
        <v>3.158551910340341</v>
      </c>
      <c r="G92">
        <v>2.9301532396025589</v>
      </c>
      <c r="H92">
        <v>2.98417534988543</v>
      </c>
      <c r="I92">
        <v>3.2591155356694488</v>
      </c>
      <c r="J92">
        <v>3.1072768326768569</v>
      </c>
      <c r="K92">
        <v>2.9728921642780088</v>
      </c>
      <c r="L92">
        <v>3.3470400553182178</v>
      </c>
      <c r="M92">
        <v>2.438299998274911</v>
      </c>
      <c r="N92">
        <v>2.8634663651921701</v>
      </c>
      <c r="O92">
        <v>2.6058424520609478</v>
      </c>
      <c r="P92">
        <v>2.0342482151024468</v>
      </c>
      <c r="Q92">
        <v>2.453232133060498</v>
      </c>
      <c r="R92">
        <v>2.8277969267583249</v>
      </c>
      <c r="S92">
        <v>2.5884889866455549</v>
      </c>
      <c r="T92">
        <v>2.5021931969226481</v>
      </c>
      <c r="U92">
        <v>2.6397792441334551</v>
      </c>
      <c r="V92">
        <v>2.6109772825692441</v>
      </c>
      <c r="W92">
        <v>2.148950461780303</v>
      </c>
      <c r="X92">
        <v>2.9084739260459211</v>
      </c>
      <c r="Y92">
        <v>2.5664227255972749</v>
      </c>
    </row>
    <row r="93" spans="1:25" x14ac:dyDescent="0.35">
      <c r="A93" t="s">
        <v>84</v>
      </c>
      <c r="B93">
        <v>3.6451188134828691</v>
      </c>
      <c r="C93">
        <v>3.715750825827413</v>
      </c>
      <c r="D93">
        <v>3.6394345426118582</v>
      </c>
      <c r="E93">
        <v>3.6163163672583161</v>
      </c>
      <c r="F93">
        <v>4.0866975401181964</v>
      </c>
      <c r="G93">
        <v>4.164094314504438</v>
      </c>
      <c r="H93">
        <v>4.3838374554334161</v>
      </c>
      <c r="I93">
        <v>4.1013893271671682</v>
      </c>
      <c r="J93">
        <v>4.3596360083177119</v>
      </c>
      <c r="K93">
        <v>4.0294496161663593</v>
      </c>
      <c r="L93">
        <v>4.1333149414907924</v>
      </c>
      <c r="M93">
        <v>4.1727781169750919</v>
      </c>
      <c r="N93">
        <v>3.849578850756664</v>
      </c>
      <c r="O93">
        <v>3.6831332967359822</v>
      </c>
      <c r="P93">
        <v>3.7238837660967459</v>
      </c>
      <c r="Q93">
        <v>4.0167693710242407</v>
      </c>
      <c r="R93">
        <v>3.9348023812882218</v>
      </c>
      <c r="S93">
        <v>3.7234416858096302</v>
      </c>
      <c r="T93">
        <v>3.7233690868359441</v>
      </c>
      <c r="U93">
        <v>3.818644979456284</v>
      </c>
      <c r="V93">
        <v>3.982435662367581</v>
      </c>
      <c r="W93">
        <v>3.800673586679673</v>
      </c>
      <c r="X93">
        <v>4.0903241953147136</v>
      </c>
      <c r="Y93">
        <v>3.6229161180620739</v>
      </c>
    </row>
    <row r="94" spans="1:25" x14ac:dyDescent="0.35">
      <c r="A94" t="s">
        <v>85</v>
      </c>
      <c r="B94">
        <v>8.7818872495213668E-2</v>
      </c>
      <c r="C94">
        <v>3.9215286935303309E-2</v>
      </c>
      <c r="D94">
        <v>0.1202158256134601</v>
      </c>
      <c r="E94">
        <v>0.15100928165371219</v>
      </c>
      <c r="F94">
        <v>0.20214977704974779</v>
      </c>
      <c r="G94">
        <v>0.30549448929314332</v>
      </c>
      <c r="H94">
        <v>0.32915818012053177</v>
      </c>
      <c r="I94">
        <v>0.31878958574724808</v>
      </c>
      <c r="J94">
        <v>0.27036074575214131</v>
      </c>
      <c r="K94">
        <v>0.31872486710387071</v>
      </c>
      <c r="L94">
        <v>0.28590762552413362</v>
      </c>
      <c r="M94">
        <v>0.24035646962523949</v>
      </c>
      <c r="N94">
        <v>0.4978911389965619</v>
      </c>
      <c r="O94">
        <v>0.33667764512875181</v>
      </c>
      <c r="P94">
        <v>0.25323414277101303</v>
      </c>
      <c r="Q94">
        <v>0.38753904216662</v>
      </c>
      <c r="R94">
        <v>0.44752224138199909</v>
      </c>
      <c r="S94">
        <v>0.2514369018963537</v>
      </c>
      <c r="T94">
        <v>0.37978739168355929</v>
      </c>
      <c r="U94">
        <v>0.30881243514029022</v>
      </c>
      <c r="V94">
        <v>7.1446575356086076E-2</v>
      </c>
      <c r="W94">
        <v>1.298338291446929E-2</v>
      </c>
      <c r="X94">
        <v>0.25699471397806639</v>
      </c>
      <c r="Y94">
        <v>0.22998164804473989</v>
      </c>
    </row>
    <row r="95" spans="1:25" x14ac:dyDescent="0.35">
      <c r="A95" t="s">
        <v>86</v>
      </c>
      <c r="B95">
        <v>149.82524768295099</v>
      </c>
      <c r="C95">
        <v>150.3469621420891</v>
      </c>
      <c r="D95">
        <v>150.4359070593319</v>
      </c>
      <c r="E95">
        <v>150.16490157187681</v>
      </c>
      <c r="F95">
        <v>151.86914310910541</v>
      </c>
      <c r="G95">
        <v>152.01337396099771</v>
      </c>
      <c r="H95">
        <v>152.395356472467</v>
      </c>
      <c r="I95">
        <v>152.22107945185829</v>
      </c>
      <c r="J95">
        <v>152.4926030178502</v>
      </c>
      <c r="K95">
        <v>152.2406384956609</v>
      </c>
      <c r="L95">
        <v>152.793540159755</v>
      </c>
      <c r="M95">
        <v>151.98088988347661</v>
      </c>
      <c r="N95">
        <v>152.57721059626871</v>
      </c>
      <c r="O95">
        <v>151.98992315427469</v>
      </c>
      <c r="P95">
        <v>151.0624471396315</v>
      </c>
      <c r="Q95">
        <v>152.61493266930569</v>
      </c>
      <c r="R95">
        <v>152.41694904556419</v>
      </c>
      <c r="S95">
        <v>151.64690209382289</v>
      </c>
      <c r="T95">
        <v>151.94616193848481</v>
      </c>
      <c r="U95">
        <v>152.01342561422581</v>
      </c>
      <c r="V95">
        <v>152.31447976285619</v>
      </c>
      <c r="W95">
        <v>152.03913589652831</v>
      </c>
      <c r="X95">
        <v>152.99973693392951</v>
      </c>
      <c r="Y95">
        <v>152.16864541053249</v>
      </c>
    </row>
    <row r="96" spans="1:25" x14ac:dyDescent="0.35">
      <c r="A96" t="s">
        <v>87</v>
      </c>
      <c r="B96">
        <v>41541848.869999997</v>
      </c>
      <c r="C96">
        <v>43490279.009999998</v>
      </c>
      <c r="D96">
        <v>42522630.530000001</v>
      </c>
      <c r="E96">
        <v>36784046.310000002</v>
      </c>
      <c r="F96">
        <v>38337174.270000003</v>
      </c>
      <c r="G96">
        <v>38346736.729999997</v>
      </c>
      <c r="H96">
        <v>39193486.130000003</v>
      </c>
      <c r="I96">
        <v>38918551.109999999</v>
      </c>
      <c r="J96">
        <v>33028712.640000001</v>
      </c>
      <c r="K96">
        <v>34297592.009999998</v>
      </c>
      <c r="L96">
        <v>35441749.350000001</v>
      </c>
      <c r="M96">
        <v>31318927.84</v>
      </c>
      <c r="N96">
        <v>31186388.079999998</v>
      </c>
      <c r="O96">
        <v>32087293.640000001</v>
      </c>
      <c r="P96">
        <v>32111993.899999991</v>
      </c>
      <c r="Q96">
        <v>31472674.07</v>
      </c>
      <c r="R96">
        <v>31220541.289999999</v>
      </c>
      <c r="S96">
        <v>30327340.829999998</v>
      </c>
      <c r="T96">
        <v>31209430.52</v>
      </c>
      <c r="U96">
        <v>29374881.140000001</v>
      </c>
      <c r="V96">
        <v>25911697.460000001</v>
      </c>
      <c r="W96">
        <v>25441285.670000002</v>
      </c>
      <c r="X96">
        <v>22633186.449999999</v>
      </c>
      <c r="Y96">
        <v>14482552.199999999</v>
      </c>
    </row>
    <row r="97" spans="1:25" x14ac:dyDescent="0.35">
      <c r="A97" t="s">
        <v>88</v>
      </c>
      <c r="B97">
        <v>1.469278632446809</v>
      </c>
      <c r="C97">
        <v>1.4695208593181111</v>
      </c>
      <c r="D97">
        <v>1.4823924245513329</v>
      </c>
      <c r="E97">
        <v>1.4863553260750471</v>
      </c>
      <c r="F97">
        <v>1.4685450217900049</v>
      </c>
      <c r="G97">
        <v>1.470826982607776</v>
      </c>
      <c r="H97">
        <v>1.450189006936526</v>
      </c>
      <c r="I97">
        <v>1.4625342753029991</v>
      </c>
      <c r="J97">
        <v>1.4595803689094979</v>
      </c>
      <c r="K97">
        <v>1.475819381055576</v>
      </c>
      <c r="L97">
        <v>1.476546512996517</v>
      </c>
      <c r="M97">
        <v>1.474736080827638</v>
      </c>
      <c r="N97">
        <v>1.492366149939035</v>
      </c>
      <c r="O97">
        <v>1.5018818780164049</v>
      </c>
      <c r="P97">
        <v>1.4923660695724199</v>
      </c>
      <c r="Q97">
        <v>1.480846388871383</v>
      </c>
      <c r="R97">
        <v>1.489781108953115</v>
      </c>
      <c r="S97">
        <v>1.511681084253969</v>
      </c>
      <c r="T97">
        <v>1.499151651752014</v>
      </c>
      <c r="U97">
        <v>1.506325700234022</v>
      </c>
      <c r="V97">
        <v>1.497307031379407</v>
      </c>
      <c r="W97">
        <v>1.491730383938827</v>
      </c>
      <c r="X97">
        <v>1.479853883994378</v>
      </c>
      <c r="Y97">
        <v>1.508166187204748</v>
      </c>
    </row>
    <row r="98" spans="1:25" x14ac:dyDescent="0.35">
      <c r="A98" t="s">
        <v>89</v>
      </c>
      <c r="B98">
        <v>0.2440719950349432</v>
      </c>
      <c r="C98">
        <v>0.24499164861391279</v>
      </c>
      <c r="D98">
        <v>0.24407016855817271</v>
      </c>
      <c r="E98">
        <v>0.243719569028919</v>
      </c>
      <c r="F98">
        <v>0.24358436876134071</v>
      </c>
      <c r="G98">
        <v>0.24230855763154791</v>
      </c>
      <c r="H98">
        <v>0.2418096561187679</v>
      </c>
      <c r="I98">
        <v>0.24172130351740631</v>
      </c>
      <c r="J98">
        <v>0.24294316194349019</v>
      </c>
      <c r="K98">
        <v>0.24203848119537419</v>
      </c>
      <c r="L98">
        <v>0.2428018456658376</v>
      </c>
      <c r="M98">
        <v>0.243518542427824</v>
      </c>
      <c r="N98">
        <v>0.23961186658163339</v>
      </c>
      <c r="O98">
        <v>0.2417877708145971</v>
      </c>
      <c r="P98">
        <v>0.24282828903335871</v>
      </c>
      <c r="Q98">
        <v>0.2411828312959427</v>
      </c>
      <c r="R98">
        <v>0.2404859664328389</v>
      </c>
      <c r="S98">
        <v>0.24341978340654269</v>
      </c>
      <c r="T98">
        <v>0.24116639223233091</v>
      </c>
      <c r="U98">
        <v>0.24277146902559341</v>
      </c>
      <c r="V98">
        <v>0.24622826378994009</v>
      </c>
      <c r="W98">
        <v>0.24641430661955219</v>
      </c>
      <c r="X98">
        <v>0.24321286841566231</v>
      </c>
      <c r="Y98">
        <v>0.24342922773273351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>
      <selection activeCell="S27" sqref="S27"/>
    </sheetView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98"/>
  <sheetViews>
    <sheetView topLeftCell="A98" zoomScale="145" zoomScaleNormal="145" workbookViewId="0">
      <pane xSplit="1" topLeftCell="AC1" activePane="topRight" state="frozen"/>
      <selection pane="topRight" activeCell="AB1" sqref="AB1:AJ98"/>
    </sheetView>
  </sheetViews>
  <sheetFormatPr defaultRowHeight="14.5" x14ac:dyDescent="0.35"/>
  <cols>
    <col min="1" max="1" width="24" bestFit="1" customWidth="1"/>
  </cols>
  <sheetData>
    <row r="1" spans="1:38" x14ac:dyDescent="0.35">
      <c r="A1" t="s">
        <v>0</v>
      </c>
      <c r="B1" t="s">
        <v>153</v>
      </c>
      <c r="C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159</v>
      </c>
      <c r="I1" t="s">
        <v>160</v>
      </c>
      <c r="J1" t="s">
        <v>161</v>
      </c>
      <c r="K1" t="s">
        <v>162</v>
      </c>
      <c r="L1" t="s">
        <v>163</v>
      </c>
      <c r="M1" t="s">
        <v>129</v>
      </c>
      <c r="N1" t="s">
        <v>130</v>
      </c>
      <c r="O1" t="s">
        <v>131</v>
      </c>
      <c r="P1" t="s">
        <v>132</v>
      </c>
      <c r="Q1" t="s">
        <v>133</v>
      </c>
      <c r="R1" t="s">
        <v>134</v>
      </c>
      <c r="S1" t="s">
        <v>135</v>
      </c>
      <c r="T1" t="s">
        <v>136</v>
      </c>
      <c r="U1" t="s">
        <v>137</v>
      </c>
      <c r="V1" t="s">
        <v>138</v>
      </c>
      <c r="W1" t="s">
        <v>139</v>
      </c>
      <c r="X1" s="5" t="s">
        <v>140</v>
      </c>
      <c r="Y1" t="s">
        <v>141</v>
      </c>
      <c r="Z1" t="s">
        <v>142</v>
      </c>
      <c r="AA1" t="s">
        <v>143</v>
      </c>
      <c r="AB1" t="s">
        <v>144</v>
      </c>
      <c r="AC1" t="s">
        <v>145</v>
      </c>
      <c r="AD1" t="s">
        <v>146</v>
      </c>
      <c r="AE1" t="s">
        <v>147</v>
      </c>
      <c r="AF1" t="s">
        <v>148</v>
      </c>
      <c r="AG1" t="s">
        <v>149</v>
      </c>
      <c r="AH1" t="s">
        <v>150</v>
      </c>
      <c r="AI1" t="s">
        <v>151</v>
      </c>
      <c r="AJ1" s="5" t="s">
        <v>152</v>
      </c>
      <c r="AK1" t="s">
        <v>164</v>
      </c>
      <c r="AL1" t="s">
        <v>165</v>
      </c>
    </row>
    <row r="2" spans="1:38" x14ac:dyDescent="0.35">
      <c r="A2" t="s">
        <v>81</v>
      </c>
      <c r="B2">
        <v>140.4895772042951</v>
      </c>
      <c r="C2">
        <v>140.53183755730009</v>
      </c>
      <c r="D2">
        <v>140.4284786949259</v>
      </c>
      <c r="E2">
        <v>140.13327318499901</v>
      </c>
      <c r="F2">
        <v>140.42300565729701</v>
      </c>
      <c r="G2">
        <v>139.65779540597211</v>
      </c>
      <c r="H2">
        <v>140.71684399524409</v>
      </c>
      <c r="I2">
        <v>140.26613030966891</v>
      </c>
      <c r="J2">
        <v>139.50565153486619</v>
      </c>
      <c r="K2">
        <v>141.36988648185309</v>
      </c>
      <c r="L2">
        <v>140.72276927446109</v>
      </c>
      <c r="M2">
        <v>139.5328914508093</v>
      </c>
      <c r="N2">
        <v>140.5651370476894</v>
      </c>
      <c r="O2">
        <v>140.87895178150379</v>
      </c>
      <c r="P2">
        <v>139.7826755104175</v>
      </c>
      <c r="Q2">
        <v>140.66068016542101</v>
      </c>
      <c r="R2">
        <v>140.722873913185</v>
      </c>
      <c r="S2">
        <v>140.9437018671953</v>
      </c>
      <c r="T2">
        <v>140.98491324403079</v>
      </c>
      <c r="U2">
        <v>141.6252200393532</v>
      </c>
      <c r="V2">
        <v>140.73212147936499</v>
      </c>
      <c r="W2">
        <v>140.7522022415655</v>
      </c>
      <c r="X2">
        <v>140.81055832100699</v>
      </c>
      <c r="Y2">
        <v>141.05537322829471</v>
      </c>
      <c r="Z2">
        <v>142.1856983848142</v>
      </c>
      <c r="AA2">
        <v>141.38209872817541</v>
      </c>
      <c r="AB2">
        <v>141.1314460266471</v>
      </c>
      <c r="AC2">
        <v>141.15729292874431</v>
      </c>
      <c r="AD2">
        <v>140.7502065941498</v>
      </c>
      <c r="AE2">
        <v>140.68363807948029</v>
      </c>
      <c r="AF2">
        <v>140.99847061966841</v>
      </c>
      <c r="AG2">
        <v>142.71838947286349</v>
      </c>
      <c r="AH2">
        <v>142.6295559094045</v>
      </c>
      <c r="AI2">
        <v>141.48235438067519</v>
      </c>
      <c r="AJ2">
        <v>141.89296518031691</v>
      </c>
      <c r="AK2">
        <v>142.06553109614961</v>
      </c>
      <c r="AL2">
        <v>145.21899129907541</v>
      </c>
    </row>
    <row r="3" spans="1:38" x14ac:dyDescent="0.35">
      <c r="A3" t="s">
        <v>82</v>
      </c>
      <c r="B3">
        <v>3.352920648626053</v>
      </c>
      <c r="C3">
        <v>3.5436269793568731</v>
      </c>
      <c r="D3">
        <v>3.03021297575259</v>
      </c>
      <c r="E3">
        <v>3.6058476528015722</v>
      </c>
      <c r="F3">
        <v>2.8174643234309831</v>
      </c>
      <c r="G3">
        <v>2.9687542311875461</v>
      </c>
      <c r="H3">
        <v>3.0033211384138951</v>
      </c>
      <c r="I3">
        <v>3.1073408273441601</v>
      </c>
      <c r="J3">
        <v>2.2135580702784239</v>
      </c>
      <c r="K3">
        <v>2.6739508959268221</v>
      </c>
      <c r="L3">
        <v>2.7227385329082101</v>
      </c>
      <c r="M3">
        <v>2.78891480580026</v>
      </c>
      <c r="N3">
        <v>2.987648667084386</v>
      </c>
      <c r="O3">
        <v>3.3318987918154899</v>
      </c>
      <c r="P3">
        <v>3.0394308602666911</v>
      </c>
      <c r="Q3">
        <v>3.3476843788211852</v>
      </c>
      <c r="R3">
        <v>3.619021219922729</v>
      </c>
      <c r="S3">
        <v>3.3947145200768318</v>
      </c>
      <c r="T3">
        <v>3.728870134574549</v>
      </c>
      <c r="U3">
        <v>3.5161685322256631</v>
      </c>
      <c r="V3">
        <v>2.8095754735832661</v>
      </c>
      <c r="W3">
        <v>3.7473912528963349</v>
      </c>
      <c r="X3">
        <v>3.6067685211737341</v>
      </c>
      <c r="Y3">
        <v>3.5190572895859868</v>
      </c>
      <c r="Z3">
        <v>3.5311802390942262</v>
      </c>
      <c r="AA3">
        <v>3.274467806364044</v>
      </c>
      <c r="AB3">
        <v>4.00792529873425</v>
      </c>
      <c r="AC3">
        <v>3.6984067358998232</v>
      </c>
      <c r="AD3">
        <v>3.01992784121262</v>
      </c>
      <c r="AE3">
        <v>3.1905001394514159</v>
      </c>
      <c r="AF3">
        <v>3.1205426356861778</v>
      </c>
      <c r="AG3">
        <v>3.3038446539736701</v>
      </c>
      <c r="AH3">
        <v>3.861224309146905</v>
      </c>
      <c r="AI3">
        <v>3.7529791761396889</v>
      </c>
      <c r="AJ3">
        <v>2.8010786891769901</v>
      </c>
      <c r="AK3">
        <v>4.3469198763630459</v>
      </c>
      <c r="AL3">
        <v>5.8872866040854888</v>
      </c>
    </row>
    <row r="4" spans="1:38" x14ac:dyDescent="0.35">
      <c r="A4" t="s">
        <v>83</v>
      </c>
      <c r="B4">
        <v>4.707174692256193</v>
      </c>
      <c r="C4">
        <v>3.6718177040500448</v>
      </c>
      <c r="D4">
        <v>3.086901503105123</v>
      </c>
      <c r="E4">
        <v>1.985699973909471</v>
      </c>
      <c r="F4">
        <v>2.5316478880017019</v>
      </c>
      <c r="G4">
        <v>1.9316049171336811</v>
      </c>
      <c r="H4">
        <v>1.629399335396444</v>
      </c>
      <c r="I4">
        <v>1.062412226081981</v>
      </c>
      <c r="J4">
        <v>1.160679260865682</v>
      </c>
      <c r="K4">
        <v>2.3394701403376361</v>
      </c>
      <c r="L4">
        <v>1.203318765593131</v>
      </c>
      <c r="M4">
        <v>1.0623003355728411</v>
      </c>
      <c r="N4">
        <v>1.6820264487013701</v>
      </c>
      <c r="O4">
        <v>2.596370900193643</v>
      </c>
      <c r="P4">
        <v>1.497830799371787</v>
      </c>
      <c r="Q4">
        <v>4.3552557188651937</v>
      </c>
      <c r="R4">
        <v>3.203205817000049</v>
      </c>
      <c r="S4">
        <v>3.7939489606649222</v>
      </c>
      <c r="T4">
        <v>3.3213138607131318</v>
      </c>
      <c r="U4">
        <v>3.7222458205872462</v>
      </c>
      <c r="V4">
        <v>3.023199252738352</v>
      </c>
      <c r="W4">
        <v>5.0555818984873708</v>
      </c>
      <c r="X4">
        <v>2.752959597769435</v>
      </c>
      <c r="Y4">
        <v>4.3024142126939937</v>
      </c>
      <c r="Z4">
        <v>2.3843550733664491</v>
      </c>
      <c r="AA4">
        <v>2.3643402857410152</v>
      </c>
      <c r="AB4">
        <v>3.6863544698134221</v>
      </c>
      <c r="AC4">
        <v>4.8592304108738418</v>
      </c>
      <c r="AD4">
        <v>2.490040036217529</v>
      </c>
      <c r="AE4">
        <v>2.7242116892571899</v>
      </c>
      <c r="AF4">
        <v>4.2597125550309922</v>
      </c>
      <c r="AG4">
        <v>2.8357592468737551</v>
      </c>
      <c r="AH4">
        <v>2.7117172109244509</v>
      </c>
      <c r="AI4">
        <v>4.2919354384346349</v>
      </c>
      <c r="AJ4">
        <v>4.5033010826080062</v>
      </c>
      <c r="AK4">
        <v>7.3860702570096102</v>
      </c>
      <c r="AL4">
        <v>6.110100471527268</v>
      </c>
    </row>
    <row r="5" spans="1:38" x14ac:dyDescent="0.35">
      <c r="A5" t="s">
        <v>84</v>
      </c>
      <c r="B5">
        <v>3.7095542627163081</v>
      </c>
      <c r="C5">
        <v>3.5689275033858672</v>
      </c>
      <c r="D5">
        <v>4.47270030364046</v>
      </c>
      <c r="E5">
        <v>2.955829501934601</v>
      </c>
      <c r="F5">
        <v>5.023127883856068</v>
      </c>
      <c r="G5">
        <v>4.0788916575616003</v>
      </c>
      <c r="H5">
        <v>4.1724997532807846</v>
      </c>
      <c r="I5">
        <v>4.7258881438344682</v>
      </c>
      <c r="J5">
        <v>5.2541837993603808</v>
      </c>
      <c r="K5">
        <v>4.2430978252204072</v>
      </c>
      <c r="L5">
        <v>3.634226828141955</v>
      </c>
      <c r="M5">
        <v>3.7949420166025409</v>
      </c>
      <c r="N5">
        <v>3.8117861143964049</v>
      </c>
      <c r="O5">
        <v>3.5696735113001079</v>
      </c>
      <c r="P5">
        <v>3.110210385375991</v>
      </c>
      <c r="Q5">
        <v>4.7292947359288071</v>
      </c>
      <c r="R5">
        <v>3.525319865058639</v>
      </c>
      <c r="S5">
        <v>4.8476357094796132</v>
      </c>
      <c r="T5">
        <v>4.2021771931231466</v>
      </c>
      <c r="U5">
        <v>4.4979174205448436</v>
      </c>
      <c r="V5">
        <v>4.8759551528737779</v>
      </c>
      <c r="W5">
        <v>3.9981230844336419</v>
      </c>
      <c r="X5">
        <v>4.9520214973779808</v>
      </c>
      <c r="Y5">
        <v>4.0103005809446008</v>
      </c>
      <c r="Z5">
        <v>4.0124222642655241</v>
      </c>
      <c r="AA5">
        <v>4.177202210564567</v>
      </c>
      <c r="AB5">
        <v>4.3764110554066313</v>
      </c>
      <c r="AC5">
        <v>4.6046255547845627</v>
      </c>
      <c r="AD5">
        <v>4.0742077507331178</v>
      </c>
      <c r="AE5">
        <v>4.0649706973367881</v>
      </c>
      <c r="AF5">
        <v>3.4931697711269569</v>
      </c>
      <c r="AG5">
        <v>4.1895938074488814</v>
      </c>
      <c r="AH5">
        <v>3.6698140830095229</v>
      </c>
      <c r="AI5">
        <v>4.0153897997029162</v>
      </c>
      <c r="AJ5">
        <v>4.7925182080464852</v>
      </c>
      <c r="AK5">
        <v>4.6809864189141202</v>
      </c>
      <c r="AL5">
        <v>2.0003328006224339</v>
      </c>
    </row>
    <row r="6" spans="1:38" x14ac:dyDescent="0.35">
      <c r="A6" t="s">
        <v>85</v>
      </c>
      <c r="B6">
        <v>0.90865500736101823</v>
      </c>
      <c r="C6">
        <v>0.63210115333337225</v>
      </c>
      <c r="D6">
        <v>0.53279522851261918</v>
      </c>
      <c r="E6">
        <v>0.15830178030447009</v>
      </c>
      <c r="F6">
        <v>1.0417458315557939</v>
      </c>
      <c r="G6">
        <v>-0.1040264791156814</v>
      </c>
      <c r="H6">
        <v>0.48134244541353283</v>
      </c>
      <c r="I6">
        <v>0.80361610571575259</v>
      </c>
      <c r="J6">
        <v>0.2062351111874014</v>
      </c>
      <c r="K6">
        <v>0.75367878544519096</v>
      </c>
      <c r="L6">
        <v>0.52668375103561504</v>
      </c>
      <c r="M6">
        <v>0.4805485147389168</v>
      </c>
      <c r="N6">
        <v>0.82284421274018471</v>
      </c>
      <c r="O6">
        <v>0.54170994012501583</v>
      </c>
      <c r="P6">
        <v>0.86180154601915582</v>
      </c>
      <c r="Q6">
        <v>1.1294387471822991</v>
      </c>
      <c r="R6">
        <v>1.020041859223455</v>
      </c>
      <c r="S6">
        <v>1.517406563926913</v>
      </c>
      <c r="T6">
        <v>1.74450588220908</v>
      </c>
      <c r="U6">
        <v>1.2232640130786301</v>
      </c>
      <c r="V6">
        <v>1.284592543156049</v>
      </c>
      <c r="W6">
        <v>1.316202585342547</v>
      </c>
      <c r="X6">
        <v>1.4627528400031879</v>
      </c>
      <c r="Y6">
        <v>1.801269469083417</v>
      </c>
      <c r="Z6">
        <v>1.943157421969764</v>
      </c>
      <c r="AA6">
        <v>1.7028213446379341</v>
      </c>
      <c r="AB6">
        <v>1.762562693037673</v>
      </c>
      <c r="AC6">
        <v>1.958681122262661</v>
      </c>
      <c r="AD6">
        <v>1.2840725314428929</v>
      </c>
      <c r="AE6">
        <v>1.370401887104804</v>
      </c>
      <c r="AF6">
        <v>1.1706714932051121</v>
      </c>
      <c r="AG6">
        <v>1.323089515183586</v>
      </c>
      <c r="AH6">
        <v>0.74355334955523167</v>
      </c>
      <c r="AI6">
        <v>1.610863770980467</v>
      </c>
      <c r="AJ6">
        <v>1.4702522758978209</v>
      </c>
      <c r="AK6">
        <v>1.46224008702898</v>
      </c>
      <c r="AL6">
        <v>2.0619448545551791</v>
      </c>
    </row>
    <row r="7" spans="1:38" x14ac:dyDescent="0.35">
      <c r="A7" t="s">
        <v>86</v>
      </c>
      <c r="B7">
        <v>153.1678818152547</v>
      </c>
      <c r="C7">
        <v>151.94831089742621</v>
      </c>
      <c r="D7">
        <v>151.55108870593671</v>
      </c>
      <c r="E7">
        <v>148.8389520939491</v>
      </c>
      <c r="F7">
        <v>151.83699158414149</v>
      </c>
      <c r="G7">
        <v>148.53301973273929</v>
      </c>
      <c r="H7">
        <v>150.00340666774869</v>
      </c>
      <c r="I7">
        <v>149.9653876126452</v>
      </c>
      <c r="J7">
        <v>148.34030777655809</v>
      </c>
      <c r="K7">
        <v>151.38008412878321</v>
      </c>
      <c r="L7">
        <v>148.80973715214</v>
      </c>
      <c r="M7">
        <v>147.65959712352389</v>
      </c>
      <c r="N7">
        <v>149.86944249061179</v>
      </c>
      <c r="O7">
        <v>150.91860492493811</v>
      </c>
      <c r="P7">
        <v>148.29194910145111</v>
      </c>
      <c r="Q7">
        <v>154.22235374621849</v>
      </c>
      <c r="R7">
        <v>152.0904626743899</v>
      </c>
      <c r="S7">
        <v>154.4974076213436</v>
      </c>
      <c r="T7">
        <v>153.98178031465059</v>
      </c>
      <c r="U7">
        <v>154.5848158257896</v>
      </c>
      <c r="V7">
        <v>152.7254439017164</v>
      </c>
      <c r="W7">
        <v>154.86950106272539</v>
      </c>
      <c r="X7">
        <v>153.58506077733139</v>
      </c>
      <c r="Y7">
        <v>154.6884147806027</v>
      </c>
      <c r="Z7">
        <v>154.05681338351019</v>
      </c>
      <c r="AA7">
        <v>152.900930375483</v>
      </c>
      <c r="AB7">
        <v>154.96469954363911</v>
      </c>
      <c r="AC7">
        <v>156.27823675256519</v>
      </c>
      <c r="AD7">
        <v>151.618454753756</v>
      </c>
      <c r="AE7">
        <v>152.03372249263049</v>
      </c>
      <c r="AF7">
        <v>153.0425670747176</v>
      </c>
      <c r="AG7">
        <v>154.37067669634339</v>
      </c>
      <c r="AH7">
        <v>153.61586486204061</v>
      </c>
      <c r="AI7">
        <v>155.15352256593289</v>
      </c>
      <c r="AJ7">
        <v>155.46011543604621</v>
      </c>
      <c r="AK7">
        <v>159.94174773546541</v>
      </c>
      <c r="AL7">
        <v>161.2786560298658</v>
      </c>
    </row>
    <row r="8" spans="1:38" x14ac:dyDescent="0.35">
      <c r="A8" t="s">
        <v>87</v>
      </c>
      <c r="B8">
        <v>3220104.85</v>
      </c>
      <c r="C8">
        <v>2980427.93</v>
      </c>
      <c r="D8">
        <v>2913291.58</v>
      </c>
      <c r="E8">
        <v>2476521.89</v>
      </c>
      <c r="F8">
        <v>3187504.58</v>
      </c>
      <c r="G8">
        <v>3487655.37</v>
      </c>
      <c r="H8">
        <v>3939777.66</v>
      </c>
      <c r="I8">
        <v>5484726.75</v>
      </c>
      <c r="J8">
        <v>7653936.4199999999</v>
      </c>
      <c r="K8">
        <v>5920748.5199999996</v>
      </c>
      <c r="L8">
        <v>4553613.71</v>
      </c>
      <c r="M8">
        <v>3951213.060000001</v>
      </c>
      <c r="N8">
        <v>4744420.74</v>
      </c>
      <c r="O8">
        <v>4517768.0299999993</v>
      </c>
      <c r="P8">
        <v>4391450.1300000008</v>
      </c>
      <c r="Q8">
        <v>4977656.9700000007</v>
      </c>
      <c r="R8">
        <v>5492368.9700000007</v>
      </c>
      <c r="S8">
        <v>5252397.91</v>
      </c>
      <c r="T8">
        <v>5039020.99</v>
      </c>
      <c r="U8">
        <v>5139222.75</v>
      </c>
      <c r="V8">
        <v>5859138.3000000007</v>
      </c>
      <c r="W8">
        <v>5861629.4500000011</v>
      </c>
      <c r="X8">
        <v>4958280.53</v>
      </c>
      <c r="Y8">
        <v>5247689.3899999987</v>
      </c>
      <c r="Z8">
        <v>5299439.4700000007</v>
      </c>
      <c r="AA8">
        <v>4975160.92</v>
      </c>
      <c r="AB8">
        <v>5642143.4199999999</v>
      </c>
      <c r="AC8">
        <v>5845718.1600000001</v>
      </c>
      <c r="AD8">
        <v>6315728.209999999</v>
      </c>
      <c r="AE8">
        <v>5661452.3900000006</v>
      </c>
      <c r="AF8">
        <v>5347235.97</v>
      </c>
      <c r="AG8">
        <v>4259633</v>
      </c>
      <c r="AH8">
        <v>4186633.31</v>
      </c>
      <c r="AI8">
        <v>4143190.65</v>
      </c>
      <c r="AJ8">
        <v>3560597.02</v>
      </c>
      <c r="AK8">
        <v>1980719.5</v>
      </c>
      <c r="AL8">
        <v>283411.26</v>
      </c>
    </row>
    <row r="9" spans="1:38" x14ac:dyDescent="0.35">
      <c r="A9" t="s">
        <v>88</v>
      </c>
      <c r="B9">
        <v>1.592501682152297</v>
      </c>
      <c r="C9">
        <v>1.60338938403916</v>
      </c>
      <c r="D9">
        <v>1.535903707202052</v>
      </c>
      <c r="E9">
        <v>1.652649918501397</v>
      </c>
      <c r="F9">
        <v>1.497516618616914</v>
      </c>
      <c r="G9">
        <v>1.5645983923528131</v>
      </c>
      <c r="H9">
        <v>1.557680972219144</v>
      </c>
      <c r="I9">
        <v>1.5180046855465059</v>
      </c>
      <c r="J9">
        <v>1.481968527686371</v>
      </c>
      <c r="K9">
        <v>1.552504266154874</v>
      </c>
      <c r="L9">
        <v>1.598315278526466</v>
      </c>
      <c r="M9">
        <v>1.5859625852127399</v>
      </c>
      <c r="N9">
        <v>1.584678980396897</v>
      </c>
      <c r="O9">
        <v>1.6033312333266829</v>
      </c>
      <c r="P9">
        <v>1.6399629525498569</v>
      </c>
      <c r="Q9">
        <v>1.5177667016255461</v>
      </c>
      <c r="R9">
        <v>1.6067959094826889</v>
      </c>
      <c r="S9">
        <v>1.509545492178364</v>
      </c>
      <c r="T9">
        <v>1.5555006308831789</v>
      </c>
      <c r="U9">
        <v>1.5341020878832721</v>
      </c>
      <c r="V9">
        <v>1.5075913151919</v>
      </c>
      <c r="W9">
        <v>1.570616567365908</v>
      </c>
      <c r="X9">
        <v>1.50236733341115</v>
      </c>
      <c r="Y9">
        <v>1.5697062435133069</v>
      </c>
      <c r="Z9">
        <v>1.5695477458630249</v>
      </c>
      <c r="AA9">
        <v>1.5573350847803411</v>
      </c>
      <c r="AB9">
        <v>1.542822128303831</v>
      </c>
      <c r="AC9">
        <v>1.5265249525556459</v>
      </c>
      <c r="AD9">
        <v>1.564946136532829</v>
      </c>
      <c r="AE9">
        <v>1.565632370149445</v>
      </c>
      <c r="AF9">
        <v>1.609316682988976</v>
      </c>
      <c r="AG9">
        <v>1.5564243609241051</v>
      </c>
      <c r="AH9">
        <v>1.5955634563307171</v>
      </c>
      <c r="AI9">
        <v>1.569326113592536</v>
      </c>
      <c r="AJ9">
        <v>1.513363425243015</v>
      </c>
      <c r="AK9">
        <v>1.521148501399771</v>
      </c>
      <c r="AL9">
        <v>1.735759070436893</v>
      </c>
    </row>
    <row r="10" spans="1:38" x14ac:dyDescent="0.35">
      <c r="A10" t="s">
        <v>89</v>
      </c>
      <c r="B10">
        <v>0.23701921418055691</v>
      </c>
      <c r="C10">
        <v>0.24096998352380899</v>
      </c>
      <c r="D10">
        <v>0.2423886395926769</v>
      </c>
      <c r="E10">
        <v>0.2477385459956504</v>
      </c>
      <c r="F10">
        <v>0.23511791669206011</v>
      </c>
      <c r="G10">
        <v>0.25148609255879539</v>
      </c>
      <c r="H10">
        <v>0.24312367935123519</v>
      </c>
      <c r="I10">
        <v>0.23851976991834639</v>
      </c>
      <c r="J10">
        <v>0.24705378412589429</v>
      </c>
      <c r="K10">
        <v>0.23923316020792579</v>
      </c>
      <c r="L10">
        <v>0.2424759464137769</v>
      </c>
      <c r="M10">
        <v>0.2431350212180155</v>
      </c>
      <c r="N10">
        <v>0.23824508267514019</v>
      </c>
      <c r="O10">
        <v>0.2422612865696426</v>
      </c>
      <c r="P10">
        <v>0.23768854934258349</v>
      </c>
      <c r="Q10">
        <v>0.23386516075453859</v>
      </c>
      <c r="R10">
        <v>0.2354279734396649</v>
      </c>
      <c r="S10">
        <v>0.2283227633724727</v>
      </c>
      <c r="T10">
        <v>0.22507848739701311</v>
      </c>
      <c r="U10">
        <v>0.2325247998131624</v>
      </c>
      <c r="V10">
        <v>0.23164867795491359</v>
      </c>
      <c r="W10">
        <v>0.2311971059236779</v>
      </c>
      <c r="X10">
        <v>0.22910353085709731</v>
      </c>
      <c r="Y10">
        <v>0.22426757901309399</v>
      </c>
      <c r="Z10">
        <v>0.2222406082575748</v>
      </c>
      <c r="AA10">
        <v>0.22567398079088671</v>
      </c>
      <c r="AB10">
        <v>0.2248205329566047</v>
      </c>
      <c r="AC10">
        <v>0.22201884111053341</v>
      </c>
      <c r="AD10">
        <v>0.23165610669367301</v>
      </c>
      <c r="AE10">
        <v>0.23042283018421711</v>
      </c>
      <c r="AF10">
        <v>0.23327612152564131</v>
      </c>
      <c r="AG10">
        <v>0.23109872121166311</v>
      </c>
      <c r="AH10">
        <v>0.23937780929206809</v>
      </c>
      <c r="AI10">
        <v>0.22698766041456481</v>
      </c>
      <c r="AJ10">
        <v>0.22899639605860261</v>
      </c>
      <c r="AK10">
        <v>0.22911085589958599</v>
      </c>
      <c r="AL10">
        <v>0.22054364493492601</v>
      </c>
    </row>
    <row r="12" spans="1:38" x14ac:dyDescent="0.35">
      <c r="A12" t="s">
        <v>90</v>
      </c>
      <c r="B12" t="s">
        <v>153</v>
      </c>
      <c r="C12" t="s">
        <v>154</v>
      </c>
      <c r="D12" t="s">
        <v>155</v>
      </c>
      <c r="E12" t="s">
        <v>156</v>
      </c>
      <c r="F12" t="s">
        <v>157</v>
      </c>
      <c r="G12" t="s">
        <v>158</v>
      </c>
      <c r="H12" t="s">
        <v>159</v>
      </c>
      <c r="I12" t="s">
        <v>160</v>
      </c>
      <c r="J12" t="s">
        <v>161</v>
      </c>
      <c r="K12" t="s">
        <v>162</v>
      </c>
      <c r="L12" t="s">
        <v>163</v>
      </c>
      <c r="M12" t="s">
        <v>129</v>
      </c>
      <c r="N12" t="s">
        <v>130</v>
      </c>
      <c r="O12" t="s">
        <v>131</v>
      </c>
      <c r="P12" t="s">
        <v>132</v>
      </c>
      <c r="Q12" t="s">
        <v>133</v>
      </c>
      <c r="R12" t="s">
        <v>134</v>
      </c>
      <c r="S12" t="s">
        <v>135</v>
      </c>
      <c r="T12" t="s">
        <v>136</v>
      </c>
      <c r="U12" t="s">
        <v>137</v>
      </c>
      <c r="V12" t="s">
        <v>138</v>
      </c>
      <c r="W12" t="s">
        <v>139</v>
      </c>
      <c r="X12" t="s">
        <v>140</v>
      </c>
      <c r="Y12" t="s">
        <v>141</v>
      </c>
      <c r="Z12" t="s">
        <v>142</v>
      </c>
      <c r="AA12" t="s">
        <v>143</v>
      </c>
      <c r="AB12" t="s">
        <v>144</v>
      </c>
      <c r="AC12" t="s">
        <v>145</v>
      </c>
      <c r="AD12" t="s">
        <v>146</v>
      </c>
      <c r="AE12" t="s">
        <v>147</v>
      </c>
      <c r="AF12" t="s">
        <v>148</v>
      </c>
      <c r="AG12" t="s">
        <v>149</v>
      </c>
      <c r="AH12" t="s">
        <v>150</v>
      </c>
      <c r="AI12" t="s">
        <v>151</v>
      </c>
      <c r="AJ12" t="s">
        <v>152</v>
      </c>
      <c r="AK12" t="s">
        <v>164</v>
      </c>
      <c r="AL12" t="s">
        <v>165</v>
      </c>
    </row>
    <row r="13" spans="1:38" x14ac:dyDescent="0.35">
      <c r="A13" t="s">
        <v>81</v>
      </c>
      <c r="B13">
        <v>142.69229262787681</v>
      </c>
      <c r="C13">
        <v>142.8182217403828</v>
      </c>
      <c r="D13">
        <v>143.08317772857831</v>
      </c>
      <c r="E13">
        <v>143.2505943031116</v>
      </c>
      <c r="F13">
        <v>142.2628631334085</v>
      </c>
      <c r="G13">
        <v>142.5331774888958</v>
      </c>
      <c r="H13">
        <v>143.0639090314433</v>
      </c>
      <c r="I13">
        <v>142.74647987665401</v>
      </c>
      <c r="J13">
        <v>142.77753010730299</v>
      </c>
      <c r="K13">
        <v>142.47484936353101</v>
      </c>
      <c r="L13">
        <v>142.756543236434</v>
      </c>
      <c r="M13">
        <v>142.83536840251051</v>
      </c>
      <c r="N13">
        <v>143.1887986406399</v>
      </c>
      <c r="O13">
        <v>142.9859002563143</v>
      </c>
      <c r="P13">
        <v>143.51443845623331</v>
      </c>
      <c r="Q13">
        <v>142.9647841277482</v>
      </c>
      <c r="R13">
        <v>142.91714379085241</v>
      </c>
      <c r="S13">
        <v>142.98811483622899</v>
      </c>
      <c r="T13">
        <v>142.74049133811499</v>
      </c>
      <c r="U13">
        <v>142.7561277198221</v>
      </c>
      <c r="V13">
        <v>142.9862020108948</v>
      </c>
      <c r="W13">
        <v>142.860756850012</v>
      </c>
      <c r="X13">
        <v>143.79727554305569</v>
      </c>
      <c r="Y13">
        <v>144.0283592557015</v>
      </c>
      <c r="Z13">
        <v>143.61530354341599</v>
      </c>
      <c r="AA13">
        <v>143.0688886092419</v>
      </c>
      <c r="AB13">
        <v>143.7704644958871</v>
      </c>
      <c r="AC13">
        <v>143.8298365380459</v>
      </c>
      <c r="AD13">
        <v>143.90285798559671</v>
      </c>
      <c r="AE13">
        <v>143.98865201787169</v>
      </c>
      <c r="AF13">
        <v>143.6561895967244</v>
      </c>
      <c r="AG13">
        <v>143.21896401463869</v>
      </c>
      <c r="AH13">
        <v>143.73473060504</v>
      </c>
      <c r="AI13">
        <v>143.28141058105871</v>
      </c>
      <c r="AJ13">
        <v>144.2394965886163</v>
      </c>
      <c r="AK13">
        <v>144.16584749796019</v>
      </c>
      <c r="AL13">
        <v>142.4100044432879</v>
      </c>
    </row>
    <row r="14" spans="1:38" x14ac:dyDescent="0.35">
      <c r="A14" t="s">
        <v>82</v>
      </c>
      <c r="B14">
        <v>2.7853834034104921</v>
      </c>
      <c r="C14">
        <v>2.8198866211214408</v>
      </c>
      <c r="D14">
        <v>2.744878693227605</v>
      </c>
      <c r="E14">
        <v>3.0205189931353691</v>
      </c>
      <c r="F14">
        <v>2.6413156675313019</v>
      </c>
      <c r="G14">
        <v>2.5914367162826011</v>
      </c>
      <c r="H14">
        <v>2.7556939320833749</v>
      </c>
      <c r="I14">
        <v>2.5824381698089671</v>
      </c>
      <c r="J14">
        <v>2.5968588825497529</v>
      </c>
      <c r="K14">
        <v>2.6980438497242858</v>
      </c>
      <c r="L14">
        <v>2.6312741446041339</v>
      </c>
      <c r="M14">
        <v>2.337963620711037</v>
      </c>
      <c r="N14">
        <v>2.8736939927622132</v>
      </c>
      <c r="O14">
        <v>2.742958476732269</v>
      </c>
      <c r="P14">
        <v>2.815452470231008</v>
      </c>
      <c r="Q14">
        <v>3.2634687578106711</v>
      </c>
      <c r="R14">
        <v>2.981065063978718</v>
      </c>
      <c r="S14">
        <v>2.9888341663278482</v>
      </c>
      <c r="T14">
        <v>3.2526672646701802</v>
      </c>
      <c r="U14">
        <v>2.8329549774423981</v>
      </c>
      <c r="V14">
        <v>2.952912283966413</v>
      </c>
      <c r="W14">
        <v>2.8781760034779889</v>
      </c>
      <c r="X14">
        <v>2.6324359596821409</v>
      </c>
      <c r="Y14">
        <v>2.8026289031457172</v>
      </c>
      <c r="Z14">
        <v>3.1317419114273548</v>
      </c>
      <c r="AA14">
        <v>3.1374534822194562</v>
      </c>
      <c r="AB14">
        <v>3.1557051720728571</v>
      </c>
      <c r="AC14">
        <v>3.2819962680436281</v>
      </c>
      <c r="AD14">
        <v>2.855301183525512</v>
      </c>
      <c r="AE14">
        <v>3.1629571123615681</v>
      </c>
      <c r="AF14">
        <v>2.9074204130539272</v>
      </c>
      <c r="AG14">
        <v>3.188611381047934</v>
      </c>
      <c r="AH14">
        <v>2.9940415576289472</v>
      </c>
      <c r="AI14">
        <v>3.000184805331628</v>
      </c>
      <c r="AJ14">
        <v>2.809155400852319</v>
      </c>
      <c r="AK14">
        <v>4.35336561223167</v>
      </c>
      <c r="AL14">
        <v>4.3774991700083774</v>
      </c>
    </row>
    <row r="15" spans="1:38" x14ac:dyDescent="0.35">
      <c r="A15" t="s">
        <v>83</v>
      </c>
      <c r="B15">
        <v>4.2351599285698169</v>
      </c>
      <c r="C15">
        <v>4.3924053289127754</v>
      </c>
      <c r="D15">
        <v>2.513074804134201</v>
      </c>
      <c r="E15">
        <v>2.8098973225674162</v>
      </c>
      <c r="F15">
        <v>3.0121870325324398</v>
      </c>
      <c r="G15">
        <v>2.8569161401741221</v>
      </c>
      <c r="H15">
        <v>2.526899014377701</v>
      </c>
      <c r="I15">
        <v>2.8985184326813309</v>
      </c>
      <c r="J15">
        <v>2.2124312515876809</v>
      </c>
      <c r="K15">
        <v>1.747412585980771</v>
      </c>
      <c r="L15">
        <v>2.200133846589253</v>
      </c>
      <c r="M15">
        <v>2.5187762085063081</v>
      </c>
      <c r="N15">
        <v>2.5601980170678109</v>
      </c>
      <c r="O15">
        <v>2.8934275026714089</v>
      </c>
      <c r="P15">
        <v>2.25729769910975</v>
      </c>
      <c r="Q15">
        <v>2.9132077556708111</v>
      </c>
      <c r="R15">
        <v>2.6781828341756069</v>
      </c>
      <c r="S15">
        <v>2.649625151931188</v>
      </c>
      <c r="T15">
        <v>3.7715260866519071</v>
      </c>
      <c r="U15">
        <v>3.6208128190065261</v>
      </c>
      <c r="V15">
        <v>3.041988072648155</v>
      </c>
      <c r="W15">
        <v>3.147917040151929</v>
      </c>
      <c r="X15">
        <v>2.6705048210235312</v>
      </c>
      <c r="Y15">
        <v>2.3894889118473439</v>
      </c>
      <c r="Z15">
        <v>2.8596092558062578</v>
      </c>
      <c r="AA15">
        <v>2.1996390025343588</v>
      </c>
      <c r="AB15">
        <v>2.311544284237748</v>
      </c>
      <c r="AC15">
        <v>2.528800567931933</v>
      </c>
      <c r="AD15">
        <v>2.8669402664361732</v>
      </c>
      <c r="AE15">
        <v>2.277570389658703</v>
      </c>
      <c r="AF15">
        <v>2.7316846704226152</v>
      </c>
      <c r="AG15">
        <v>3.807193868429799</v>
      </c>
      <c r="AH15">
        <v>2.4693060193610941</v>
      </c>
      <c r="AI15">
        <v>3.151220848332001</v>
      </c>
      <c r="AJ15">
        <v>3.0176234107039761</v>
      </c>
      <c r="AK15">
        <v>4.0619808682839844</v>
      </c>
      <c r="AL15">
        <v>4.8053578031863982</v>
      </c>
    </row>
    <row r="16" spans="1:38" x14ac:dyDescent="0.35">
      <c r="A16" t="s">
        <v>84</v>
      </c>
      <c r="B16">
        <v>5.8970429184465356</v>
      </c>
      <c r="C16">
        <v>6.159952876594267</v>
      </c>
      <c r="D16">
        <v>5.2364707218178346</v>
      </c>
      <c r="E16">
        <v>4.9656389535257182</v>
      </c>
      <c r="F16">
        <v>4.6014788818401184</v>
      </c>
      <c r="G16">
        <v>4.9482360914342083</v>
      </c>
      <c r="H16">
        <v>4.6121513473066216</v>
      </c>
      <c r="I16">
        <v>4.8446660039351794</v>
      </c>
      <c r="J16">
        <v>5.0268109553103448</v>
      </c>
      <c r="K16">
        <v>5.1718527680179491</v>
      </c>
      <c r="L16">
        <v>5.1702405568493441</v>
      </c>
      <c r="M16">
        <v>4.7916431613779373</v>
      </c>
      <c r="N16">
        <v>4.9287958122733322</v>
      </c>
      <c r="O16">
        <v>4.8982750964765396</v>
      </c>
      <c r="P16">
        <v>5.1948403854574137</v>
      </c>
      <c r="Q16">
        <v>4.9381277709102536</v>
      </c>
      <c r="R16">
        <v>5.1768281482064626</v>
      </c>
      <c r="S16">
        <v>5.1930069293415126</v>
      </c>
      <c r="T16">
        <v>5.0782625851337082</v>
      </c>
      <c r="U16">
        <v>5.2814299023591822</v>
      </c>
      <c r="V16">
        <v>4.6144988772550626</v>
      </c>
      <c r="W16">
        <v>5.1434403691057664</v>
      </c>
      <c r="X16">
        <v>4.9475707379644938</v>
      </c>
      <c r="Y16">
        <v>4.697683205422031</v>
      </c>
      <c r="Z16">
        <v>5.0078135215416442</v>
      </c>
      <c r="AA16">
        <v>4.8665280204990049</v>
      </c>
      <c r="AB16">
        <v>5.0151125046620173</v>
      </c>
      <c r="AC16">
        <v>4.6247883519724224</v>
      </c>
      <c r="AD16">
        <v>4.48744201266428</v>
      </c>
      <c r="AE16">
        <v>4.7694794977112087</v>
      </c>
      <c r="AF16">
        <v>4.5558908149331856</v>
      </c>
      <c r="AG16">
        <v>5.0004695992964789</v>
      </c>
      <c r="AH16">
        <v>4.6983174300418638</v>
      </c>
      <c r="AI16">
        <v>5.1737364232476244</v>
      </c>
      <c r="AJ16">
        <v>4.57726333024819</v>
      </c>
      <c r="AK16">
        <v>5.3676364081390417</v>
      </c>
      <c r="AL16">
        <v>5.4611157328715736</v>
      </c>
    </row>
    <row r="17" spans="1:38" x14ac:dyDescent="0.35">
      <c r="A17" t="s">
        <v>85</v>
      </c>
      <c r="B17">
        <v>-0.31118520467093291</v>
      </c>
      <c r="C17">
        <v>-0.39140733742858919</v>
      </c>
      <c r="D17">
        <v>-0.62707401675760555</v>
      </c>
      <c r="E17">
        <v>-0.31127210735839789</v>
      </c>
      <c r="F17">
        <v>-0.55730403801348916</v>
      </c>
      <c r="G17">
        <v>-0.54747361715345166</v>
      </c>
      <c r="H17">
        <v>-0.49617640817652742</v>
      </c>
      <c r="I17">
        <v>-0.20514350045897239</v>
      </c>
      <c r="J17">
        <v>-0.28051605971721683</v>
      </c>
      <c r="K17">
        <v>-0.46722054244508748</v>
      </c>
      <c r="L17">
        <v>-0.2952278764766475</v>
      </c>
      <c r="M17">
        <v>-0.25993278649054491</v>
      </c>
      <c r="N17">
        <v>-0.47855139028949217</v>
      </c>
      <c r="O17">
        <v>-0.16785799356503259</v>
      </c>
      <c r="P17">
        <v>-0.24924900774185629</v>
      </c>
      <c r="Q17">
        <v>-0.30092070082065442</v>
      </c>
      <c r="R17">
        <v>-0.35560563806460438</v>
      </c>
      <c r="S17">
        <v>-0.18819608347586</v>
      </c>
      <c r="T17">
        <v>-0.29378086963325167</v>
      </c>
      <c r="U17">
        <v>-0.20061289535612151</v>
      </c>
      <c r="V17">
        <v>-0.2480516796700882</v>
      </c>
      <c r="W17">
        <v>-0.52005244683797247</v>
      </c>
      <c r="X17">
        <v>-0.55700765965584598</v>
      </c>
      <c r="Y17">
        <v>-0.30452274722605699</v>
      </c>
      <c r="Z17">
        <v>-0.40958959108302828</v>
      </c>
      <c r="AA17">
        <v>-0.53234121689946456</v>
      </c>
      <c r="AB17">
        <v>-0.51949113593127039</v>
      </c>
      <c r="AC17">
        <v>-0.2930080874727331</v>
      </c>
      <c r="AD17">
        <v>-0.53506426874044499</v>
      </c>
      <c r="AE17">
        <v>-0.3028008807296545</v>
      </c>
      <c r="AF17">
        <v>-0.47595942920100381</v>
      </c>
      <c r="AG17">
        <v>-0.60382621122924363</v>
      </c>
      <c r="AH17">
        <v>-0.54099471195712401</v>
      </c>
      <c r="AI17">
        <v>-0.35574320233235091</v>
      </c>
      <c r="AJ17">
        <v>-0.5302237031280671</v>
      </c>
      <c r="AK17">
        <v>-7.1494694168650064E-2</v>
      </c>
      <c r="AL17">
        <v>-1.0565479698276099</v>
      </c>
    </row>
    <row r="18" spans="1:38" x14ac:dyDescent="0.35">
      <c r="A18" t="s">
        <v>86</v>
      </c>
      <c r="B18">
        <v>155.29869367363281</v>
      </c>
      <c r="C18">
        <v>155.79905922958261</v>
      </c>
      <c r="D18">
        <v>152.95052793100029</v>
      </c>
      <c r="E18">
        <v>153.7353774649817</v>
      </c>
      <c r="F18">
        <v>151.96054067729881</v>
      </c>
      <c r="G18">
        <v>152.38229281963319</v>
      </c>
      <c r="H18">
        <v>152.46247691703439</v>
      </c>
      <c r="I18">
        <v>152.8669589826205</v>
      </c>
      <c r="J18">
        <v>152.33311513703359</v>
      </c>
      <c r="K18">
        <v>151.6249380248089</v>
      </c>
      <c r="L18">
        <v>152.46296390800001</v>
      </c>
      <c r="M18">
        <v>152.2238186066152</v>
      </c>
      <c r="N18">
        <v>153.07293507245379</v>
      </c>
      <c r="O18">
        <v>153.35270333862951</v>
      </c>
      <c r="P18">
        <v>153.53278000328959</v>
      </c>
      <c r="Q18">
        <v>153.77866771131929</v>
      </c>
      <c r="R18">
        <v>153.39761419914859</v>
      </c>
      <c r="S18">
        <v>153.63138500035359</v>
      </c>
      <c r="T18">
        <v>154.54916640493761</v>
      </c>
      <c r="U18">
        <v>154.29071252327401</v>
      </c>
      <c r="V18">
        <v>153.3475495650944</v>
      </c>
      <c r="W18">
        <v>153.5102378159097</v>
      </c>
      <c r="X18">
        <v>153.49077940206999</v>
      </c>
      <c r="Y18">
        <v>153.61363752889059</v>
      </c>
      <c r="Z18">
        <v>154.20487864110819</v>
      </c>
      <c r="AA18">
        <v>152.74016789759531</v>
      </c>
      <c r="AB18">
        <v>153.73333532092849</v>
      </c>
      <c r="AC18">
        <v>153.97241363852109</v>
      </c>
      <c r="AD18">
        <v>153.5774771794822</v>
      </c>
      <c r="AE18">
        <v>153.89585813687361</v>
      </c>
      <c r="AF18">
        <v>153.37522606593311</v>
      </c>
      <c r="AG18">
        <v>154.6114126521837</v>
      </c>
      <c r="AH18">
        <v>153.3554009001148</v>
      </c>
      <c r="AI18">
        <v>154.25080945563761</v>
      </c>
      <c r="AJ18">
        <v>154.11331502729271</v>
      </c>
      <c r="AK18">
        <v>157.87733569244631</v>
      </c>
      <c r="AL18">
        <v>155.99742917952659</v>
      </c>
    </row>
    <row r="19" spans="1:38" x14ac:dyDescent="0.35">
      <c r="A19" t="s">
        <v>87</v>
      </c>
      <c r="B19">
        <v>7386062.4199999999</v>
      </c>
      <c r="C19">
        <v>9056714.5099999998</v>
      </c>
      <c r="D19">
        <v>7686121.0299999993</v>
      </c>
      <c r="E19">
        <v>8952649.1099999994</v>
      </c>
      <c r="F19">
        <v>9840409.0399999991</v>
      </c>
      <c r="G19">
        <v>10451944.960000001</v>
      </c>
      <c r="H19">
        <v>11097946.640000001</v>
      </c>
      <c r="I19">
        <v>14539330.640000001</v>
      </c>
      <c r="J19">
        <v>24074629.379999999</v>
      </c>
      <c r="K19">
        <v>17715453.27</v>
      </c>
      <c r="L19">
        <v>17624387.34</v>
      </c>
      <c r="M19">
        <v>14797654.49</v>
      </c>
      <c r="N19">
        <v>14901850.77</v>
      </c>
      <c r="O19">
        <v>16449231.9</v>
      </c>
      <c r="P19">
        <v>13001173.279999999</v>
      </c>
      <c r="Q19">
        <v>14391890.300000001</v>
      </c>
      <c r="R19">
        <v>14289500.67</v>
      </c>
      <c r="S19">
        <v>15262331.550000001</v>
      </c>
      <c r="T19">
        <v>14758841.359999999</v>
      </c>
      <c r="U19">
        <v>12555862.039999999</v>
      </c>
      <c r="V19">
        <v>12315641.699999999</v>
      </c>
      <c r="W19">
        <v>13186194.949999999</v>
      </c>
      <c r="X19">
        <v>11436559.52</v>
      </c>
      <c r="Y19">
        <v>10211545.109999999</v>
      </c>
      <c r="Z19">
        <v>11298732.65</v>
      </c>
      <c r="AA19">
        <v>10409650.74</v>
      </c>
      <c r="AB19">
        <v>10062414.65</v>
      </c>
      <c r="AC19">
        <v>10232594.619999999</v>
      </c>
      <c r="AD19">
        <v>9030073.5</v>
      </c>
      <c r="AE19">
        <v>9682337.7100000009</v>
      </c>
      <c r="AF19">
        <v>9849580.7300000004</v>
      </c>
      <c r="AG19">
        <v>10156795.07</v>
      </c>
      <c r="AH19">
        <v>8525921.8000000007</v>
      </c>
      <c r="AI19">
        <v>8581624.3200000003</v>
      </c>
      <c r="AJ19">
        <v>8385274.6100000013</v>
      </c>
      <c r="AK19">
        <v>4328155.8499999996</v>
      </c>
      <c r="AL19">
        <v>293521.38</v>
      </c>
    </row>
    <row r="20" spans="1:38" x14ac:dyDescent="0.35">
      <c r="A20" t="s">
        <v>88</v>
      </c>
      <c r="B20">
        <v>1.440360666548357</v>
      </c>
      <c r="C20">
        <v>1.4240098058804771</v>
      </c>
      <c r="D20">
        <v>1.4831490308235331</v>
      </c>
      <c r="E20">
        <v>1.5014359504760211</v>
      </c>
      <c r="F20">
        <v>1.526747320421916</v>
      </c>
      <c r="G20">
        <v>1.5026264462715151</v>
      </c>
      <c r="H20">
        <v>1.5259933853882659</v>
      </c>
      <c r="I20">
        <v>1.5097507095809499</v>
      </c>
      <c r="J20">
        <v>1.497266221011853</v>
      </c>
      <c r="K20">
        <v>1.48747154083453</v>
      </c>
      <c r="L20">
        <v>1.487579709179613</v>
      </c>
      <c r="M20">
        <v>1.513424194576183</v>
      </c>
      <c r="N20">
        <v>1.503958552139987</v>
      </c>
      <c r="O20">
        <v>1.506054694020468</v>
      </c>
      <c r="P20">
        <v>1.485930938327868</v>
      </c>
      <c r="Q20">
        <v>1.503318803883126</v>
      </c>
      <c r="R20">
        <v>1.487137826004538</v>
      </c>
      <c r="S20">
        <v>1.4860536972300471</v>
      </c>
      <c r="T20">
        <v>1.4937769615172041</v>
      </c>
      <c r="U20">
        <v>1.480156351927308</v>
      </c>
      <c r="V20">
        <v>1.525827648713376</v>
      </c>
      <c r="W20">
        <v>1.489380125683327</v>
      </c>
      <c r="X20">
        <v>1.502671999272877</v>
      </c>
      <c r="Y20">
        <v>1.5199779482335991</v>
      </c>
      <c r="Z20">
        <v>1.498558680884795</v>
      </c>
      <c r="AA20">
        <v>1.5082412703600021</v>
      </c>
      <c r="AB20">
        <v>1.498061842428287</v>
      </c>
      <c r="AC20">
        <v>1.5251016316648409</v>
      </c>
      <c r="AD20">
        <v>1.534849982634612</v>
      </c>
      <c r="AE20">
        <v>1.5149650226348981</v>
      </c>
      <c r="AF20">
        <v>1.5299762038668601</v>
      </c>
      <c r="AG20">
        <v>1.4990589110450001</v>
      </c>
      <c r="AH20">
        <v>1.5199335204829461</v>
      </c>
      <c r="AI20">
        <v>1.487345180373965</v>
      </c>
      <c r="AJ20">
        <v>1.5284607457038739</v>
      </c>
      <c r="AK20">
        <v>1.4744517211482999</v>
      </c>
      <c r="AL20">
        <v>1.468315305091197</v>
      </c>
    </row>
    <row r="21" spans="1:38" x14ac:dyDescent="0.35">
      <c r="A21" t="s">
        <v>89</v>
      </c>
      <c r="B21">
        <v>0.25444550292387053</v>
      </c>
      <c r="C21">
        <v>0.25559153339183699</v>
      </c>
      <c r="D21">
        <v>0.25895820023939442</v>
      </c>
      <c r="E21">
        <v>0.25444674439083431</v>
      </c>
      <c r="F21">
        <v>0.25796148625733561</v>
      </c>
      <c r="G21">
        <v>0.25782105167362068</v>
      </c>
      <c r="H21">
        <v>0.25708823440252182</v>
      </c>
      <c r="I21">
        <v>0.25293062143512818</v>
      </c>
      <c r="J21">
        <v>0.25400737228167453</v>
      </c>
      <c r="K21">
        <v>0.25667457917778702</v>
      </c>
      <c r="L21">
        <v>0.25421754109252348</v>
      </c>
      <c r="M21">
        <v>0.2537133255212935</v>
      </c>
      <c r="N21">
        <v>0.25683644843270698</v>
      </c>
      <c r="O21">
        <v>0.25239797133664332</v>
      </c>
      <c r="P21">
        <v>0.25356070011059789</v>
      </c>
      <c r="Q21">
        <v>0.25429886715458078</v>
      </c>
      <c r="R21">
        <v>0.25508008054378012</v>
      </c>
      <c r="S21">
        <v>0.25268851547822663</v>
      </c>
      <c r="T21">
        <v>0.25419686956618931</v>
      </c>
      <c r="U21">
        <v>0.25286589850508739</v>
      </c>
      <c r="V21">
        <v>0.2535435954238584</v>
      </c>
      <c r="W21">
        <v>0.25742932066911389</v>
      </c>
      <c r="X21">
        <v>0.2579572522807978</v>
      </c>
      <c r="Y21">
        <v>0.25435032496037219</v>
      </c>
      <c r="Z21">
        <v>0.25585127987261469</v>
      </c>
      <c r="AA21">
        <v>0.25760487452713521</v>
      </c>
      <c r="AB21">
        <v>0.25742130194187529</v>
      </c>
      <c r="AC21">
        <v>0.25418582982103899</v>
      </c>
      <c r="AD21">
        <v>0.25764377526772059</v>
      </c>
      <c r="AE21">
        <v>0.25432572686756649</v>
      </c>
      <c r="AF21">
        <v>0.2567994204171572</v>
      </c>
      <c r="AG21">
        <v>0.25862608873184628</v>
      </c>
      <c r="AH21">
        <v>0.25772849588510183</v>
      </c>
      <c r="AI21">
        <v>0.25508204574760501</v>
      </c>
      <c r="AJ21">
        <v>0.25757462433040101</v>
      </c>
      <c r="AK21">
        <v>0.25102135277383791</v>
      </c>
      <c r="AL21">
        <v>0.26509354242610872</v>
      </c>
    </row>
    <row r="23" spans="1:38" x14ac:dyDescent="0.35">
      <c r="A23" t="s">
        <v>91</v>
      </c>
      <c r="B23" t="s">
        <v>153</v>
      </c>
      <c r="C23" t="s">
        <v>154</v>
      </c>
      <c r="D23" t="s">
        <v>155</v>
      </c>
      <c r="E23" t="s">
        <v>156</v>
      </c>
      <c r="F23" t="s">
        <v>157</v>
      </c>
      <c r="G23" t="s">
        <v>158</v>
      </c>
      <c r="H23" t="s">
        <v>159</v>
      </c>
      <c r="I23" t="s">
        <v>160</v>
      </c>
      <c r="J23" t="s">
        <v>161</v>
      </c>
      <c r="K23" t="s">
        <v>162</v>
      </c>
      <c r="L23" t="s">
        <v>163</v>
      </c>
      <c r="M23" t="s">
        <v>129</v>
      </c>
      <c r="N23" t="s">
        <v>130</v>
      </c>
      <c r="O23" t="s">
        <v>131</v>
      </c>
      <c r="P23" t="s">
        <v>132</v>
      </c>
      <c r="Q23" t="s">
        <v>133</v>
      </c>
      <c r="R23" t="s">
        <v>134</v>
      </c>
      <c r="S23" t="s">
        <v>135</v>
      </c>
      <c r="T23" t="s">
        <v>136</v>
      </c>
      <c r="U23" t="s">
        <v>137</v>
      </c>
      <c r="V23" t="s">
        <v>138</v>
      </c>
      <c r="W23" t="s">
        <v>139</v>
      </c>
      <c r="X23" t="s">
        <v>140</v>
      </c>
      <c r="Y23" t="s">
        <v>141</v>
      </c>
      <c r="Z23" t="s">
        <v>142</v>
      </c>
      <c r="AA23" t="s">
        <v>143</v>
      </c>
      <c r="AB23" t="s">
        <v>144</v>
      </c>
      <c r="AC23" t="s">
        <v>145</v>
      </c>
      <c r="AD23" t="s">
        <v>146</v>
      </c>
      <c r="AE23" t="s">
        <v>147</v>
      </c>
      <c r="AF23" t="s">
        <v>148</v>
      </c>
      <c r="AG23" t="s">
        <v>149</v>
      </c>
      <c r="AH23" t="s">
        <v>150</v>
      </c>
      <c r="AI23" t="s">
        <v>151</v>
      </c>
      <c r="AJ23" t="s">
        <v>152</v>
      </c>
      <c r="AK23" t="s">
        <v>164</v>
      </c>
      <c r="AL23" t="s">
        <v>165</v>
      </c>
    </row>
    <row r="24" spans="1:38" x14ac:dyDescent="0.35">
      <c r="A24" t="s">
        <v>81</v>
      </c>
      <c r="B24">
        <v>141.79467750736291</v>
      </c>
      <c r="C24">
        <v>141.1362168142349</v>
      </c>
      <c r="D24">
        <v>141.691381811198</v>
      </c>
      <c r="E24">
        <v>141.075914410667</v>
      </c>
      <c r="F24">
        <v>141.25999287794531</v>
      </c>
      <c r="G24">
        <v>140.8872762470177</v>
      </c>
      <c r="H24">
        <v>141.05512460824309</v>
      </c>
      <c r="I24">
        <v>140.93491923623401</v>
      </c>
      <c r="J24">
        <v>140.47199551244901</v>
      </c>
      <c r="K24">
        <v>140.52282074038811</v>
      </c>
      <c r="L24">
        <v>140.689882216803</v>
      </c>
      <c r="M24">
        <v>141.1890486650891</v>
      </c>
      <c r="N24">
        <v>140.88852842521831</v>
      </c>
      <c r="O24">
        <v>141.17395909185939</v>
      </c>
      <c r="P24">
        <v>140.87281592171919</v>
      </c>
      <c r="Q24">
        <v>141.0138009758864</v>
      </c>
      <c r="R24">
        <v>141.41598511213761</v>
      </c>
      <c r="S24">
        <v>141.57709174441769</v>
      </c>
      <c r="T24">
        <v>140.80731775336969</v>
      </c>
      <c r="U24">
        <v>140.8217678681952</v>
      </c>
      <c r="V24">
        <v>141.51973551199811</v>
      </c>
      <c r="W24">
        <v>140.83527960817079</v>
      </c>
      <c r="X24">
        <v>141.58569027713091</v>
      </c>
      <c r="Y24">
        <v>141.55485848038549</v>
      </c>
      <c r="Z24">
        <v>140.6327945848079</v>
      </c>
      <c r="AA24">
        <v>141.29539290152101</v>
      </c>
      <c r="AB24">
        <v>141.73603374765909</v>
      </c>
      <c r="AC24">
        <v>140.58360731089871</v>
      </c>
      <c r="AD24">
        <v>141.53579051467659</v>
      </c>
      <c r="AE24">
        <v>141.48170554919179</v>
      </c>
      <c r="AF24">
        <v>141.0202741909124</v>
      </c>
      <c r="AG24">
        <v>141.37587128177381</v>
      </c>
      <c r="AH24">
        <v>141.61709246350671</v>
      </c>
      <c r="AI24">
        <v>141.5502377548905</v>
      </c>
      <c r="AJ24">
        <v>141.65274723272179</v>
      </c>
      <c r="AK24">
        <v>141.32428579885519</v>
      </c>
      <c r="AL24">
        <v>141.14587934658559</v>
      </c>
    </row>
    <row r="25" spans="1:38" x14ac:dyDescent="0.35">
      <c r="A25" t="s">
        <v>82</v>
      </c>
      <c r="B25">
        <v>3.0477127410842968</v>
      </c>
      <c r="C25">
        <v>3.434355478855537</v>
      </c>
      <c r="D25">
        <v>3.5440396164472929</v>
      </c>
      <c r="E25">
        <v>3.364099915565419</v>
      </c>
      <c r="F25">
        <v>2.9417582815954688</v>
      </c>
      <c r="G25">
        <v>2.7219595533578058</v>
      </c>
      <c r="H25">
        <v>3.5800325652029699</v>
      </c>
      <c r="I25">
        <v>3.1977613886045622</v>
      </c>
      <c r="J25">
        <v>2.103589155777712</v>
      </c>
      <c r="K25">
        <v>3.1855504234179359</v>
      </c>
      <c r="L25">
        <v>3.115211014001432</v>
      </c>
      <c r="M25">
        <v>2.7337271557115912</v>
      </c>
      <c r="N25">
        <v>3.11937670418996</v>
      </c>
      <c r="O25">
        <v>3.2269494944829091</v>
      </c>
      <c r="P25">
        <v>3.1819359286051001</v>
      </c>
      <c r="Q25">
        <v>2.8718100836043452</v>
      </c>
      <c r="R25">
        <v>3.3570656035647062</v>
      </c>
      <c r="S25">
        <v>3.4078253451186238</v>
      </c>
      <c r="T25">
        <v>3.23766509332853</v>
      </c>
      <c r="U25">
        <v>2.6658989513811089</v>
      </c>
      <c r="V25">
        <v>3.1929091122748048</v>
      </c>
      <c r="W25">
        <v>3.498607776504969</v>
      </c>
      <c r="X25">
        <v>2.8061627472960708</v>
      </c>
      <c r="Y25">
        <v>3.307258341651504</v>
      </c>
      <c r="Z25">
        <v>3.0522701160804502</v>
      </c>
      <c r="AA25">
        <v>3.145983818387236</v>
      </c>
      <c r="AB25">
        <v>3.3660604011647588</v>
      </c>
      <c r="AC25">
        <v>2.826458049544414</v>
      </c>
      <c r="AD25">
        <v>3.056859128603691</v>
      </c>
      <c r="AE25">
        <v>3.0261706570440481</v>
      </c>
      <c r="AF25">
        <v>2.9435195562786021</v>
      </c>
      <c r="AG25">
        <v>2.670620278511961</v>
      </c>
      <c r="AH25">
        <v>3.7246129520384561</v>
      </c>
      <c r="AI25">
        <v>3.0290975311294801</v>
      </c>
      <c r="AJ25">
        <v>3.2252802925395661</v>
      </c>
      <c r="AK25">
        <v>3.939361068588624</v>
      </c>
      <c r="AL25">
        <v>4.5722208170445811</v>
      </c>
    </row>
    <row r="26" spans="1:38" x14ac:dyDescent="0.35">
      <c r="A26" t="s">
        <v>83</v>
      </c>
      <c r="B26">
        <v>6.0724162660162202</v>
      </c>
      <c r="C26">
        <v>3.339245012461189</v>
      </c>
      <c r="D26">
        <v>3.678860997443048</v>
      </c>
      <c r="E26">
        <v>3.3455071947238211</v>
      </c>
      <c r="F26">
        <v>3.929073034570453</v>
      </c>
      <c r="G26">
        <v>2.4838630823946231</v>
      </c>
      <c r="H26">
        <v>3.482809989090065</v>
      </c>
      <c r="I26">
        <v>2.5622139243802931</v>
      </c>
      <c r="J26">
        <v>2.3317417032318399</v>
      </c>
      <c r="K26">
        <v>2.7184486503666032</v>
      </c>
      <c r="L26">
        <v>3.9081528320493431</v>
      </c>
      <c r="M26">
        <v>3.5323067986217791</v>
      </c>
      <c r="N26">
        <v>3.7363692892496929</v>
      </c>
      <c r="O26">
        <v>2.811658516860235</v>
      </c>
      <c r="P26">
        <v>2.9842075637926149</v>
      </c>
      <c r="Q26">
        <v>4.650906345132376</v>
      </c>
      <c r="R26">
        <v>4.4846681405722224</v>
      </c>
      <c r="S26">
        <v>4.7612930210418032</v>
      </c>
      <c r="T26">
        <v>4.5191187705327609</v>
      </c>
      <c r="U26">
        <v>4.5074174954124206</v>
      </c>
      <c r="V26">
        <v>4.777965621326854</v>
      </c>
      <c r="W26">
        <v>4.6427041594333884</v>
      </c>
      <c r="X26">
        <v>3.8255620711522691</v>
      </c>
      <c r="Y26">
        <v>4.7394043135022006</v>
      </c>
      <c r="Z26">
        <v>4.75968760163786</v>
      </c>
      <c r="AA26">
        <v>3.4025343072791041</v>
      </c>
      <c r="AB26">
        <v>4.0847971683553483</v>
      </c>
      <c r="AC26">
        <v>4.3232856090493668</v>
      </c>
      <c r="AD26">
        <v>4.4088264786345581</v>
      </c>
      <c r="AE26">
        <v>4.1517736568779702</v>
      </c>
      <c r="AF26">
        <v>3.4913106140317809</v>
      </c>
      <c r="AG26">
        <v>3.3935215815023141</v>
      </c>
      <c r="AH26">
        <v>4.7292031250550304</v>
      </c>
      <c r="AI26">
        <v>3.5525005006908268</v>
      </c>
      <c r="AJ26">
        <v>4.3656086306177508</v>
      </c>
      <c r="AK26">
        <v>5.882738706518575</v>
      </c>
      <c r="AL26">
        <v>5.9365351937486453E-2</v>
      </c>
    </row>
    <row r="27" spans="1:38" x14ac:dyDescent="0.35">
      <c r="A27" t="s">
        <v>84</v>
      </c>
      <c r="B27">
        <v>5.1042748048924</v>
      </c>
      <c r="C27">
        <v>5.3333636868153667</v>
      </c>
      <c r="D27">
        <v>4.8080198474873512</v>
      </c>
      <c r="E27">
        <v>5.4010130128343166</v>
      </c>
      <c r="F27">
        <v>5.7453207846817858</v>
      </c>
      <c r="G27">
        <v>5.8069074843939976</v>
      </c>
      <c r="H27">
        <v>5.4582862035011281</v>
      </c>
      <c r="I27">
        <v>5.0132091156033063</v>
      </c>
      <c r="J27">
        <v>5.3270460523162653</v>
      </c>
      <c r="K27">
        <v>4.4884401551463924</v>
      </c>
      <c r="L27">
        <v>5.4311101724045532</v>
      </c>
      <c r="M27">
        <v>5.5997514741849486</v>
      </c>
      <c r="N27">
        <v>5.4128819264640988</v>
      </c>
      <c r="O27">
        <v>5.2673947286484966</v>
      </c>
      <c r="P27">
        <v>4.5420030265163662</v>
      </c>
      <c r="Q27">
        <v>5.3624567007812711</v>
      </c>
      <c r="R27">
        <v>6.035989186874267</v>
      </c>
      <c r="S27">
        <v>5.966909334287168</v>
      </c>
      <c r="T27">
        <v>5.7996726234526106</v>
      </c>
      <c r="U27">
        <v>5.8449831506099343</v>
      </c>
      <c r="V27">
        <v>5.7841673551056987</v>
      </c>
      <c r="W27">
        <v>5.3981902234298964</v>
      </c>
      <c r="X27">
        <v>5.273183205077153</v>
      </c>
      <c r="Y27">
        <v>5.349170457992682</v>
      </c>
      <c r="Z27">
        <v>4.846614118299005</v>
      </c>
      <c r="AA27">
        <v>4.7198144016065697</v>
      </c>
      <c r="AB27">
        <v>5.4186290685862302</v>
      </c>
      <c r="AC27">
        <v>5.2158839304840594</v>
      </c>
      <c r="AD27">
        <v>5.2593956762841731</v>
      </c>
      <c r="AE27">
        <v>5.1591294425048844</v>
      </c>
      <c r="AF27">
        <v>5.1049077140491734</v>
      </c>
      <c r="AG27">
        <v>4.8226075764779113</v>
      </c>
      <c r="AH27">
        <v>5.2603067642627774</v>
      </c>
      <c r="AI27">
        <v>5.3997448484519044</v>
      </c>
      <c r="AJ27">
        <v>4.5474616570456554</v>
      </c>
      <c r="AK27">
        <v>5.7441032634929474</v>
      </c>
      <c r="AL27">
        <v>5.5125542570986106</v>
      </c>
    </row>
    <row r="28" spans="1:38" x14ac:dyDescent="0.35">
      <c r="A28" t="s">
        <v>85</v>
      </c>
      <c r="B28">
        <v>0.7759671560972925</v>
      </c>
      <c r="C28">
        <v>0.78428717985840735</v>
      </c>
      <c r="D28">
        <v>0.85432174096566571</v>
      </c>
      <c r="E28">
        <v>0.63158200572876877</v>
      </c>
      <c r="F28">
        <v>0.90802737134755129</v>
      </c>
      <c r="G28">
        <v>0.48642374720654158</v>
      </c>
      <c r="H28">
        <v>0.72649188092405848</v>
      </c>
      <c r="I28">
        <v>0.54822279334576174</v>
      </c>
      <c r="J28">
        <v>0.61165323345010814</v>
      </c>
      <c r="K28">
        <v>0.69154802911736057</v>
      </c>
      <c r="L28">
        <v>0.801674865403324</v>
      </c>
      <c r="M28">
        <v>0.87128490714792617</v>
      </c>
      <c r="N28">
        <v>0.663476246029292</v>
      </c>
      <c r="O28">
        <v>0.70074809835844742</v>
      </c>
      <c r="P28">
        <v>0.78032025770673752</v>
      </c>
      <c r="Q28">
        <v>0.78902524726805157</v>
      </c>
      <c r="R28">
        <v>1.2576311803035809</v>
      </c>
      <c r="S28">
        <v>1.048857501717894</v>
      </c>
      <c r="T28">
        <v>1.040652901552515</v>
      </c>
      <c r="U28">
        <v>0.76032649910015027</v>
      </c>
      <c r="V28">
        <v>1.1051947857949349</v>
      </c>
      <c r="W28">
        <v>1.0852155897158819</v>
      </c>
      <c r="X28">
        <v>1.018081729261219</v>
      </c>
      <c r="Y28">
        <v>1.2265004783085429</v>
      </c>
      <c r="Z28">
        <v>0.82243563677131215</v>
      </c>
      <c r="AA28">
        <v>0.9804031383281937</v>
      </c>
      <c r="AB28">
        <v>1.07086194691197</v>
      </c>
      <c r="AC28">
        <v>0.98776463862167052</v>
      </c>
      <c r="AD28">
        <v>0.91829589340332762</v>
      </c>
      <c r="AE28">
        <v>1.052613855350417</v>
      </c>
      <c r="AF28">
        <v>1.0721598551792111</v>
      </c>
      <c r="AG28">
        <v>0.55230244373308224</v>
      </c>
      <c r="AH28">
        <v>0.7890470385344529</v>
      </c>
      <c r="AI28">
        <v>0.75246249252775743</v>
      </c>
      <c r="AJ28">
        <v>0.84796445013400445</v>
      </c>
      <c r="AK28">
        <v>1.094088066598693</v>
      </c>
      <c r="AL28">
        <v>-9.9145104179316768E-2</v>
      </c>
    </row>
    <row r="29" spans="1:38" x14ac:dyDescent="0.35">
      <c r="A29" t="s">
        <v>86</v>
      </c>
      <c r="B29">
        <v>156.79504847545309</v>
      </c>
      <c r="C29">
        <v>154.02746817222541</v>
      </c>
      <c r="D29">
        <v>154.57662401354131</v>
      </c>
      <c r="E29">
        <v>153.81811653951931</v>
      </c>
      <c r="F29">
        <v>154.78417235014049</v>
      </c>
      <c r="G29">
        <v>152.38643011437071</v>
      </c>
      <c r="H29">
        <v>154.30274524696131</v>
      </c>
      <c r="I29">
        <v>152.25632645816791</v>
      </c>
      <c r="J29">
        <v>150.84602565722491</v>
      </c>
      <c r="K29">
        <v>151.60680799843641</v>
      </c>
      <c r="L29">
        <v>153.9460311006616</v>
      </c>
      <c r="M29">
        <v>153.92611900075531</v>
      </c>
      <c r="N29">
        <v>153.82063259115139</v>
      </c>
      <c r="O29">
        <v>153.1807099302095</v>
      </c>
      <c r="P29">
        <v>152.36128269834001</v>
      </c>
      <c r="Q29">
        <v>154.68799935267251</v>
      </c>
      <c r="R29">
        <v>156.5513392234524</v>
      </c>
      <c r="S29">
        <v>156.76197694658319</v>
      </c>
      <c r="T29">
        <v>155.40442714223619</v>
      </c>
      <c r="U29">
        <v>154.60039396469881</v>
      </c>
      <c r="V29">
        <v>156.37997238650041</v>
      </c>
      <c r="W29">
        <v>155.45999735725499</v>
      </c>
      <c r="X29">
        <v>154.50868002991751</v>
      </c>
      <c r="Y29">
        <v>156.17719207184049</v>
      </c>
      <c r="Z29">
        <v>154.1138020575965</v>
      </c>
      <c r="AA29">
        <v>153.5441285671221</v>
      </c>
      <c r="AB29">
        <v>155.67638233267741</v>
      </c>
      <c r="AC29">
        <v>153.93699953859829</v>
      </c>
      <c r="AD29">
        <v>155.17916769160229</v>
      </c>
      <c r="AE29">
        <v>154.87139316096921</v>
      </c>
      <c r="AF29">
        <v>153.63217193045119</v>
      </c>
      <c r="AG29">
        <v>152.81492316199899</v>
      </c>
      <c r="AH29">
        <v>156.1202623433974</v>
      </c>
      <c r="AI29">
        <v>154.2840431276905</v>
      </c>
      <c r="AJ29">
        <v>154.63906226305869</v>
      </c>
      <c r="AK29">
        <v>157.98457690405399</v>
      </c>
      <c r="AL29">
        <v>151.19087466848691</v>
      </c>
    </row>
    <row r="30" spans="1:38" x14ac:dyDescent="0.35">
      <c r="A30" t="s">
        <v>87</v>
      </c>
      <c r="B30">
        <v>4666888.1399999997</v>
      </c>
      <c r="C30">
        <v>4991684.9600000009</v>
      </c>
      <c r="D30">
        <v>5465248.5</v>
      </c>
      <c r="E30">
        <v>6374204.1299999999</v>
      </c>
      <c r="F30">
        <v>7003451.6799999997</v>
      </c>
      <c r="G30">
        <v>6621099.46</v>
      </c>
      <c r="H30">
        <v>7677039.2899999991</v>
      </c>
      <c r="I30">
        <v>10003066.35</v>
      </c>
      <c r="J30">
        <v>15775922.25</v>
      </c>
      <c r="K30">
        <v>11373588.67</v>
      </c>
      <c r="L30">
        <v>11295865.92</v>
      </c>
      <c r="M30">
        <v>9850065.4000000004</v>
      </c>
      <c r="N30">
        <v>10947304.48</v>
      </c>
      <c r="O30">
        <v>9613964.8200000003</v>
      </c>
      <c r="P30">
        <v>9280333.3300000019</v>
      </c>
      <c r="Q30">
        <v>9951292.8399999999</v>
      </c>
      <c r="R30">
        <v>10058959.15</v>
      </c>
      <c r="S30">
        <v>9564744.7800000012</v>
      </c>
      <c r="T30">
        <v>9457058.0300000012</v>
      </c>
      <c r="U30">
        <v>8299521.2199999997</v>
      </c>
      <c r="V30">
        <v>8329698.4800000004</v>
      </c>
      <c r="W30">
        <v>9036785.5999999996</v>
      </c>
      <c r="X30">
        <v>8560512.3500000015</v>
      </c>
      <c r="Y30">
        <v>8917287.9299999997</v>
      </c>
      <c r="Z30">
        <v>8263841.3399999999</v>
      </c>
      <c r="AA30">
        <v>9118608.4600000009</v>
      </c>
      <c r="AB30">
        <v>8884209.8899999987</v>
      </c>
      <c r="AC30">
        <v>8646568.6699999999</v>
      </c>
      <c r="AD30">
        <v>8972399.5199999996</v>
      </c>
      <c r="AE30">
        <v>8790355.2300000004</v>
      </c>
      <c r="AF30">
        <v>8807050.4000000004</v>
      </c>
      <c r="AG30">
        <v>7266040.290000001</v>
      </c>
      <c r="AH30">
        <v>7635242.9799999986</v>
      </c>
      <c r="AI30">
        <v>7269068.9000000004</v>
      </c>
      <c r="AJ30">
        <v>6059318.4800000004</v>
      </c>
      <c r="AK30">
        <v>3495235.93</v>
      </c>
      <c r="AL30">
        <v>438537.61</v>
      </c>
    </row>
    <row r="31" spans="1:38" x14ac:dyDescent="0.35">
      <c r="A31" t="s">
        <v>88</v>
      </c>
      <c r="B31">
        <v>1.492019090927174</v>
      </c>
      <c r="C31">
        <v>1.4767144108914469</v>
      </c>
      <c r="D31">
        <v>1.5122876918969721</v>
      </c>
      <c r="E31">
        <v>1.472254847631427</v>
      </c>
      <c r="F31">
        <v>1.4499685589051321</v>
      </c>
      <c r="G31">
        <v>1.4460531320419969</v>
      </c>
      <c r="H31">
        <v>1.468500298783199</v>
      </c>
      <c r="I31">
        <v>1.4981913734978001</v>
      </c>
      <c r="J31">
        <v>1.477132260251623</v>
      </c>
      <c r="K31">
        <v>1.5347786885360051</v>
      </c>
      <c r="L31">
        <v>1.470279435414348</v>
      </c>
      <c r="M31">
        <v>1.4593080829969349</v>
      </c>
      <c r="N31">
        <v>1.471475203778178</v>
      </c>
      <c r="O31">
        <v>1.4810892967900291</v>
      </c>
      <c r="P31">
        <v>1.5309625553113351</v>
      </c>
      <c r="Q31">
        <v>1.474793241247407</v>
      </c>
      <c r="R31">
        <v>1.4316728373354051</v>
      </c>
      <c r="S31">
        <v>1.43597902181659</v>
      </c>
      <c r="T31">
        <v>1.446511997987002</v>
      </c>
      <c r="U31">
        <v>1.4436429995405571</v>
      </c>
      <c r="V31">
        <v>1.4474963901899851</v>
      </c>
      <c r="W31">
        <v>1.472440392326916</v>
      </c>
      <c r="X31">
        <v>1.48070438321911</v>
      </c>
      <c r="Y31">
        <v>1.4756699834559379</v>
      </c>
      <c r="Z31">
        <v>1.509616081531624</v>
      </c>
      <c r="AA31">
        <v>1.5184291813083139</v>
      </c>
      <c r="AB31">
        <v>1.4710979828027371</v>
      </c>
      <c r="AC31">
        <v>1.484523420413882</v>
      </c>
      <c r="AD31">
        <v>1.4816215354461699</v>
      </c>
      <c r="AE31">
        <v>1.4883256170135859</v>
      </c>
      <c r="AF31">
        <v>1.491976371339427</v>
      </c>
      <c r="AG31">
        <v>1.511276774987623</v>
      </c>
      <c r="AH31">
        <v>1.481560894432365</v>
      </c>
      <c r="AI31">
        <v>1.4723381995254881</v>
      </c>
      <c r="AJ31">
        <v>1.530574715709778</v>
      </c>
      <c r="AK31">
        <v>1.450046177592629</v>
      </c>
      <c r="AL31">
        <v>1.464960378256537</v>
      </c>
    </row>
    <row r="32" spans="1:38" x14ac:dyDescent="0.35">
      <c r="A32" t="s">
        <v>89</v>
      </c>
      <c r="B32">
        <v>0.23891475491289579</v>
      </c>
      <c r="C32">
        <v>0.23879589743059421</v>
      </c>
      <c r="D32">
        <v>0.23779540370049049</v>
      </c>
      <c r="E32">
        <v>0.24097739991816039</v>
      </c>
      <c r="F32">
        <v>0.23702818040932069</v>
      </c>
      <c r="G32">
        <v>0.24305108932562081</v>
      </c>
      <c r="H32">
        <v>0.23962154455822771</v>
      </c>
      <c r="I32">
        <v>0.24216824580934629</v>
      </c>
      <c r="J32">
        <v>0.24126209666499851</v>
      </c>
      <c r="K32">
        <v>0.24012074244118059</v>
      </c>
      <c r="L32">
        <v>0.23854750192280971</v>
      </c>
      <c r="M32">
        <v>0.2375530727550296</v>
      </c>
      <c r="N32">
        <v>0.24052176791386731</v>
      </c>
      <c r="O32">
        <v>0.23998931288059361</v>
      </c>
      <c r="P32">
        <v>0.23885256774704661</v>
      </c>
      <c r="Q32">
        <v>0.23872821075331349</v>
      </c>
      <c r="R32">
        <v>0.23203384028137741</v>
      </c>
      <c r="S32">
        <v>0.23501632140403009</v>
      </c>
      <c r="T32">
        <v>0.23513352997782119</v>
      </c>
      <c r="U32">
        <v>0.23913819286999791</v>
      </c>
      <c r="V32">
        <v>0.23421150306007241</v>
      </c>
      <c r="W32">
        <v>0.234496920146916</v>
      </c>
      <c r="X32">
        <v>0.2354559752962683</v>
      </c>
      <c r="Y32">
        <v>0.23247856459559221</v>
      </c>
      <c r="Z32">
        <v>0.23825091947469551</v>
      </c>
      <c r="AA32">
        <v>0.2359942408810258</v>
      </c>
      <c r="AB32">
        <v>0.23470197218697189</v>
      </c>
      <c r="AC32">
        <v>0.23588907659111899</v>
      </c>
      <c r="AD32">
        <v>0.23688148723709529</v>
      </c>
      <c r="AE32">
        <v>0.23496265920927981</v>
      </c>
      <c r="AF32">
        <v>0.23468343064029701</v>
      </c>
      <c r="AG32">
        <v>0.2421099650895274</v>
      </c>
      <c r="AH32">
        <v>0.23872789944950781</v>
      </c>
      <c r="AI32">
        <v>0.23925053582103201</v>
      </c>
      <c r="AJ32">
        <v>0.23788622214094279</v>
      </c>
      <c r="AK32">
        <v>0.23437017047716149</v>
      </c>
      <c r="AL32">
        <v>0.2514163586311331</v>
      </c>
    </row>
    <row r="34" spans="1:38" x14ac:dyDescent="0.35">
      <c r="A34" t="s">
        <v>92</v>
      </c>
      <c r="B34" t="s">
        <v>153</v>
      </c>
      <c r="C34" t="s">
        <v>154</v>
      </c>
      <c r="D34" t="s">
        <v>155</v>
      </c>
      <c r="E34" t="s">
        <v>156</v>
      </c>
      <c r="F34" t="s">
        <v>157</v>
      </c>
      <c r="G34" t="s">
        <v>158</v>
      </c>
      <c r="H34" t="s">
        <v>159</v>
      </c>
      <c r="I34" t="s">
        <v>160</v>
      </c>
      <c r="J34" t="s">
        <v>161</v>
      </c>
      <c r="K34" t="s">
        <v>162</v>
      </c>
      <c r="L34" t="s">
        <v>163</v>
      </c>
      <c r="M34" t="s">
        <v>129</v>
      </c>
      <c r="N34" t="s">
        <v>130</v>
      </c>
      <c r="O34" t="s">
        <v>131</v>
      </c>
      <c r="P34" t="s">
        <v>132</v>
      </c>
      <c r="Q34" t="s">
        <v>133</v>
      </c>
      <c r="R34" t="s">
        <v>134</v>
      </c>
      <c r="S34" t="s">
        <v>135</v>
      </c>
      <c r="T34" t="s">
        <v>136</v>
      </c>
      <c r="U34" t="s">
        <v>137</v>
      </c>
      <c r="V34" t="s">
        <v>138</v>
      </c>
      <c r="W34" t="s">
        <v>139</v>
      </c>
      <c r="X34" t="s">
        <v>140</v>
      </c>
      <c r="Y34" t="s">
        <v>141</v>
      </c>
      <c r="Z34" t="s">
        <v>142</v>
      </c>
      <c r="AA34" t="s">
        <v>143</v>
      </c>
      <c r="AB34" t="s">
        <v>144</v>
      </c>
      <c r="AC34" t="s">
        <v>145</v>
      </c>
      <c r="AD34" t="s">
        <v>146</v>
      </c>
      <c r="AE34" t="s">
        <v>147</v>
      </c>
      <c r="AF34" t="s">
        <v>148</v>
      </c>
      <c r="AG34" t="s">
        <v>149</v>
      </c>
      <c r="AH34" t="s">
        <v>150</v>
      </c>
      <c r="AI34" t="s">
        <v>151</v>
      </c>
      <c r="AJ34" t="s">
        <v>152</v>
      </c>
      <c r="AK34" t="s">
        <v>164</v>
      </c>
      <c r="AL34" t="s">
        <v>165</v>
      </c>
    </row>
    <row r="35" spans="1:38" x14ac:dyDescent="0.35">
      <c r="A35" t="s">
        <v>81</v>
      </c>
      <c r="B35">
        <v>141.15016984666661</v>
      </c>
      <c r="C35">
        <v>140.62125219032239</v>
      </c>
      <c r="D35">
        <v>141.59249195283849</v>
      </c>
      <c r="E35">
        <v>141.53382131861721</v>
      </c>
      <c r="F35">
        <v>140.66080470743421</v>
      </c>
      <c r="G35">
        <v>141.00487558325301</v>
      </c>
      <c r="H35">
        <v>140.80773671463569</v>
      </c>
      <c r="I35">
        <v>140.3392945143888</v>
      </c>
      <c r="J35">
        <v>140.99229629267529</v>
      </c>
      <c r="K35">
        <v>140.7674079096565</v>
      </c>
      <c r="L35">
        <v>141.5914538060004</v>
      </c>
      <c r="M35">
        <v>141.68274484467679</v>
      </c>
      <c r="N35">
        <v>141.37710839526031</v>
      </c>
      <c r="O35">
        <v>141.19289017093459</v>
      </c>
      <c r="P35">
        <v>141.79870456047101</v>
      </c>
      <c r="Q35">
        <v>141.44515973219541</v>
      </c>
      <c r="R35">
        <v>141.17233093572551</v>
      </c>
      <c r="S35">
        <v>141.89494607442151</v>
      </c>
      <c r="T35">
        <v>141.335634415155</v>
      </c>
      <c r="U35">
        <v>141.92278875954571</v>
      </c>
      <c r="V35">
        <v>142.16540391650759</v>
      </c>
      <c r="W35">
        <v>142.2250894834844</v>
      </c>
      <c r="X35">
        <v>142.36344024327229</v>
      </c>
      <c r="Y35">
        <v>142.0960083156271</v>
      </c>
      <c r="Z35">
        <v>142.9113732569792</v>
      </c>
      <c r="AA35">
        <v>141.94351119905539</v>
      </c>
      <c r="AB35">
        <v>142.98549060453951</v>
      </c>
      <c r="AC35">
        <v>141.55385274557409</v>
      </c>
      <c r="AD35">
        <v>141.26404248640361</v>
      </c>
      <c r="AE35">
        <v>142.37761349355929</v>
      </c>
      <c r="AF35">
        <v>143.06881391105341</v>
      </c>
      <c r="AG35">
        <v>143.26984255651629</v>
      </c>
      <c r="AH35">
        <v>142.58914486883381</v>
      </c>
      <c r="AI35">
        <v>142.86401534784349</v>
      </c>
      <c r="AJ35">
        <v>143.31628167715539</v>
      </c>
      <c r="AK35">
        <v>143.8710301315121</v>
      </c>
      <c r="AL35">
        <v>140.86110591135969</v>
      </c>
    </row>
    <row r="36" spans="1:38" x14ac:dyDescent="0.35">
      <c r="A36" t="s">
        <v>82</v>
      </c>
      <c r="B36">
        <v>2.6502497435965888</v>
      </c>
      <c r="C36">
        <v>2.7832269092844801</v>
      </c>
      <c r="D36">
        <v>2.2113631186088871</v>
      </c>
      <c r="E36">
        <v>2.206002809534851</v>
      </c>
      <c r="F36">
        <v>2.78969485421274</v>
      </c>
      <c r="G36">
        <v>2.6462725765967718</v>
      </c>
      <c r="H36">
        <v>2.6390871161711398</v>
      </c>
      <c r="I36">
        <v>2.7558401143167832</v>
      </c>
      <c r="J36">
        <v>1.352318156733531</v>
      </c>
      <c r="K36">
        <v>1.835569423248955</v>
      </c>
      <c r="L36">
        <v>2.2589279294022901</v>
      </c>
      <c r="M36">
        <v>2.656858341472883</v>
      </c>
      <c r="N36">
        <v>1.8158355218290301</v>
      </c>
      <c r="O36">
        <v>2.6544341462564489</v>
      </c>
      <c r="P36">
        <v>2.5062758044364841</v>
      </c>
      <c r="Q36">
        <v>2.3363807149768259</v>
      </c>
      <c r="R36">
        <v>2.2871276945421641</v>
      </c>
      <c r="S36">
        <v>2.596385397611471</v>
      </c>
      <c r="T36">
        <v>2.4951803853295189</v>
      </c>
      <c r="U36">
        <v>2.3909107415013011</v>
      </c>
      <c r="V36">
        <v>2.2640641425223289</v>
      </c>
      <c r="W36">
        <v>2.195561993576149</v>
      </c>
      <c r="X36">
        <v>2.4716608994902738</v>
      </c>
      <c r="Y36">
        <v>3.2171924103132881</v>
      </c>
      <c r="Z36">
        <v>2.5384982993741119</v>
      </c>
      <c r="AA36">
        <v>2.674799159071199</v>
      </c>
      <c r="AB36">
        <v>1.9471161484540289</v>
      </c>
      <c r="AC36">
        <v>2.668861608968399</v>
      </c>
      <c r="AD36">
        <v>2.0570013540245209</v>
      </c>
      <c r="AE36">
        <v>2.4033383465513509</v>
      </c>
      <c r="AF36">
        <v>3.0657041042386202</v>
      </c>
      <c r="AG36">
        <v>3.8196902515824149</v>
      </c>
      <c r="AH36">
        <v>1.9865925456816169</v>
      </c>
      <c r="AI36">
        <v>3.2010436249580319</v>
      </c>
      <c r="AJ36">
        <v>3.242032191787473</v>
      </c>
      <c r="AK36">
        <v>4.1691474494273848</v>
      </c>
      <c r="AL36">
        <v>5.7295278514788777</v>
      </c>
    </row>
    <row r="37" spans="1:38" x14ac:dyDescent="0.35">
      <c r="A37" t="s">
        <v>83</v>
      </c>
      <c r="B37">
        <v>1.0705460464322309</v>
      </c>
      <c r="C37">
        <v>2.365397028878482</v>
      </c>
      <c r="D37">
        <v>0.80305411698287099</v>
      </c>
      <c r="E37">
        <v>2.1865966761193918</v>
      </c>
      <c r="F37">
        <v>1.4796682509896979</v>
      </c>
      <c r="G37">
        <v>1.6757651533393101</v>
      </c>
      <c r="H37">
        <v>1.181378514986364</v>
      </c>
      <c r="I37">
        <v>1.1252533770985429</v>
      </c>
      <c r="J37">
        <v>0.93626032219372468</v>
      </c>
      <c r="K37">
        <v>0.67722604741888759</v>
      </c>
      <c r="L37">
        <v>1.233284691516817</v>
      </c>
      <c r="M37">
        <v>0.51850268266713739</v>
      </c>
      <c r="N37">
        <v>0.41202551615578459</v>
      </c>
      <c r="O37">
        <v>0.4734486155762756</v>
      </c>
      <c r="P37">
        <v>0.22931786329212719</v>
      </c>
      <c r="Q37">
        <v>0.38748951585599278</v>
      </c>
      <c r="R37">
        <v>0.64537616147734533</v>
      </c>
      <c r="S37">
        <v>0.45951703848635839</v>
      </c>
      <c r="T37">
        <v>1.145472224649178</v>
      </c>
      <c r="U37">
        <v>-0.2594121057578096</v>
      </c>
      <c r="V37">
        <v>0.98022300285189135</v>
      </c>
      <c r="W37">
        <v>1.037435266413161</v>
      </c>
      <c r="X37">
        <v>0.16396925599533529</v>
      </c>
      <c r="Y37">
        <v>-0.32618019717584379</v>
      </c>
      <c r="Z37">
        <v>-0.24103587731306639</v>
      </c>
      <c r="AA37">
        <v>-0.28199560228252041</v>
      </c>
      <c r="AB37">
        <v>-1.627158862630375</v>
      </c>
      <c r="AC37">
        <v>0.27825765010760012</v>
      </c>
      <c r="AD37">
        <v>-0.2808235360686947</v>
      </c>
      <c r="AE37">
        <v>1.314668763266845</v>
      </c>
      <c r="AF37">
        <v>-6.0618463320278509E-2</v>
      </c>
      <c r="AG37">
        <v>0.62434753466857951</v>
      </c>
      <c r="AH37">
        <v>-0.59376545600272768</v>
      </c>
      <c r="AI37">
        <v>0.88688039838241117</v>
      </c>
      <c r="AJ37">
        <v>-1.9780007839688669</v>
      </c>
      <c r="AK37">
        <v>0.57503883457809168</v>
      </c>
      <c r="AL37">
        <v>-3.6458847662993019</v>
      </c>
    </row>
    <row r="38" spans="1:38" x14ac:dyDescent="0.35">
      <c r="A38" t="s">
        <v>84</v>
      </c>
      <c r="B38">
        <v>-6.8012777946696579E-3</v>
      </c>
      <c r="C38">
        <v>-0.73094665646596602</v>
      </c>
      <c r="D38">
        <v>3.6101592585491282E-2</v>
      </c>
      <c r="E38">
        <v>-0.78595349764572064</v>
      </c>
      <c r="F38">
        <v>-0.42701120862114461</v>
      </c>
      <c r="G38">
        <v>-0.39195883929835879</v>
      </c>
      <c r="H38">
        <v>-0.22108273089204811</v>
      </c>
      <c r="I38">
        <v>0.36101764972045691</v>
      </c>
      <c r="J38">
        <v>0.520622840621906</v>
      </c>
      <c r="K38">
        <v>-0.41515494374085682</v>
      </c>
      <c r="L38">
        <v>-0.55255143292295938</v>
      </c>
      <c r="M38">
        <v>-0.52088626855909126</v>
      </c>
      <c r="N38">
        <v>-0.2417753959578873</v>
      </c>
      <c r="O38">
        <v>-0.71006328144222419</v>
      </c>
      <c r="P38">
        <v>-0.30156828914682449</v>
      </c>
      <c r="Q38">
        <v>-0.41931288159070429</v>
      </c>
      <c r="R38">
        <v>-0.60341370562235874</v>
      </c>
      <c r="S38">
        <v>-0.46345175746701212</v>
      </c>
      <c r="T38">
        <v>-0.114698540325644</v>
      </c>
      <c r="U38">
        <v>-0.46603675158054658</v>
      </c>
      <c r="V38">
        <v>-4.0176727353541386E-3</v>
      </c>
      <c r="W38">
        <v>-0.18092552994561259</v>
      </c>
      <c r="X38">
        <v>5.3421837889909403E-2</v>
      </c>
      <c r="Y38">
        <v>-0.51182564653875351</v>
      </c>
      <c r="Z38">
        <v>-1.108590073301988</v>
      </c>
      <c r="AA38">
        <v>1.444071663252444E-3</v>
      </c>
      <c r="AB38">
        <v>-0.70378868601642697</v>
      </c>
      <c r="AC38">
        <v>-0.23052362178196931</v>
      </c>
      <c r="AD38">
        <v>-1.6461374150905079</v>
      </c>
      <c r="AE38">
        <v>-1.0224332714712689</v>
      </c>
      <c r="AF38">
        <v>7.7271021296881459E-2</v>
      </c>
      <c r="AG38">
        <v>-0.98698770155788429</v>
      </c>
      <c r="AH38">
        <v>-0.2610230392201357</v>
      </c>
      <c r="AI38">
        <v>-0.74635701226988116</v>
      </c>
      <c r="AJ38">
        <v>-1.1634772215465721</v>
      </c>
      <c r="AK38">
        <v>6.7935652717802331E-2</v>
      </c>
      <c r="AL38">
        <v>-2.3475328583979471</v>
      </c>
    </row>
    <row r="39" spans="1:38" x14ac:dyDescent="0.35">
      <c r="A39" t="s">
        <v>85</v>
      </c>
      <c r="B39">
        <v>-0.5947336648268553</v>
      </c>
      <c r="C39">
        <v>-0.4853083109884323</v>
      </c>
      <c r="D39">
        <v>-0.44864837352714232</v>
      </c>
      <c r="E39">
        <v>-0.42109534766812062</v>
      </c>
      <c r="F39">
        <v>-0.48842210498492739</v>
      </c>
      <c r="G39">
        <v>-0.2439383787617313</v>
      </c>
      <c r="H39">
        <v>-0.52205152003392097</v>
      </c>
      <c r="I39">
        <v>-0.43228870705553618</v>
      </c>
      <c r="J39">
        <v>-0.54943795375986892</v>
      </c>
      <c r="K39">
        <v>-0.34952239649779371</v>
      </c>
      <c r="L39">
        <v>-3.112551145260711E-2</v>
      </c>
      <c r="M39">
        <v>-0.20395501043035949</v>
      </c>
      <c r="N39">
        <v>-0.25139941418877898</v>
      </c>
      <c r="O39">
        <v>-5.4496071137450093E-2</v>
      </c>
      <c r="P39">
        <v>-0.39323779847738111</v>
      </c>
      <c r="Q39">
        <v>-0.2648207413351511</v>
      </c>
      <c r="R39">
        <v>-0.36304140254338152</v>
      </c>
      <c r="S39">
        <v>-0.33205218958302168</v>
      </c>
      <c r="T39">
        <v>-0.37916285219704671</v>
      </c>
      <c r="U39">
        <v>-0.29336716676178431</v>
      </c>
      <c r="V39">
        <v>-0.5360435736477811</v>
      </c>
      <c r="W39">
        <v>-0.31040580313211752</v>
      </c>
      <c r="X39">
        <v>-0.43126950159568828</v>
      </c>
      <c r="Y39">
        <v>-0.13779383016922911</v>
      </c>
      <c r="Z39">
        <v>-0.23534778942270321</v>
      </c>
      <c r="AA39">
        <v>-0.51724064896947419</v>
      </c>
      <c r="AB39">
        <v>-0.41898762626698782</v>
      </c>
      <c r="AC39">
        <v>-0.49025323104460972</v>
      </c>
      <c r="AD39">
        <v>-0.88530604213432185</v>
      </c>
      <c r="AE39">
        <v>-0.25526288948236692</v>
      </c>
      <c r="AF39">
        <v>-0.4613923333078026</v>
      </c>
      <c r="AG39">
        <v>-0.50474847574651116</v>
      </c>
      <c r="AH39">
        <v>-1.122673561327127</v>
      </c>
      <c r="AI39">
        <v>-0.78615972677212942</v>
      </c>
      <c r="AJ39">
        <v>-0.62988884478910878</v>
      </c>
      <c r="AK39">
        <v>-1.104769054061868</v>
      </c>
      <c r="AL39">
        <v>-2.0064446870298358</v>
      </c>
    </row>
    <row r="40" spans="1:38" x14ac:dyDescent="0.35">
      <c r="A40" t="s">
        <v>86</v>
      </c>
      <c r="B40">
        <v>144.26943069407389</v>
      </c>
      <c r="C40">
        <v>144.55362116103089</v>
      </c>
      <c r="D40">
        <v>144.1943624074886</v>
      </c>
      <c r="E40">
        <v>144.71937195895771</v>
      </c>
      <c r="F40">
        <v>144.01473449903051</v>
      </c>
      <c r="G40">
        <v>144.69101609512899</v>
      </c>
      <c r="H40">
        <v>143.88506809486731</v>
      </c>
      <c r="I40">
        <v>144.14911694846899</v>
      </c>
      <c r="J40">
        <v>143.25205965846459</v>
      </c>
      <c r="K40">
        <v>142.51552604008569</v>
      </c>
      <c r="L40">
        <v>144.4999894825439</v>
      </c>
      <c r="M40">
        <v>144.13326458982729</v>
      </c>
      <c r="N40">
        <v>143.1117946230984</v>
      </c>
      <c r="O40">
        <v>143.55621358018769</v>
      </c>
      <c r="P40">
        <v>143.8394921405754</v>
      </c>
      <c r="Q40">
        <v>143.48489634010241</v>
      </c>
      <c r="R40">
        <v>143.13837968357919</v>
      </c>
      <c r="S40">
        <v>144.1553445634693</v>
      </c>
      <c r="T40">
        <v>144.48242563261101</v>
      </c>
      <c r="U40">
        <v>143.29488347694689</v>
      </c>
      <c r="V40">
        <v>144.86962981549871</v>
      </c>
      <c r="W40">
        <v>144.96675541039599</v>
      </c>
      <c r="X40">
        <v>144.6212227350521</v>
      </c>
      <c r="Y40">
        <v>144.33740105205649</v>
      </c>
      <c r="Z40">
        <v>143.86489781631559</v>
      </c>
      <c r="AA40">
        <v>143.82051817853781</v>
      </c>
      <c r="AB40">
        <v>142.18267157807969</v>
      </c>
      <c r="AC40">
        <v>143.78019515182359</v>
      </c>
      <c r="AD40">
        <v>140.50877684713461</v>
      </c>
      <c r="AE40">
        <v>144.8179244424239</v>
      </c>
      <c r="AF40">
        <v>145.68977823996079</v>
      </c>
      <c r="AG40">
        <v>146.22214416546291</v>
      </c>
      <c r="AH40">
        <v>142.59827535796541</v>
      </c>
      <c r="AI40">
        <v>145.41942263214199</v>
      </c>
      <c r="AJ40">
        <v>142.78694701863839</v>
      </c>
      <c r="AK40">
        <v>147.57838301417351</v>
      </c>
      <c r="AL40">
        <v>138.59077145111141</v>
      </c>
    </row>
    <row r="41" spans="1:38" x14ac:dyDescent="0.35">
      <c r="A41" t="s">
        <v>87</v>
      </c>
      <c r="B41">
        <v>2263344.39</v>
      </c>
      <c r="C41">
        <v>3193308.5</v>
      </c>
      <c r="D41">
        <v>3269306.32</v>
      </c>
      <c r="E41">
        <v>2892138.9</v>
      </c>
      <c r="F41">
        <v>3852715.8599999989</v>
      </c>
      <c r="G41">
        <v>4615486.7699999996</v>
      </c>
      <c r="H41">
        <v>4945680.75</v>
      </c>
      <c r="I41">
        <v>5626664.8800000008</v>
      </c>
      <c r="J41">
        <v>9252943.5099999979</v>
      </c>
      <c r="K41">
        <v>7203684.9900000002</v>
      </c>
      <c r="L41">
        <v>6728778.3900000006</v>
      </c>
      <c r="M41">
        <v>5637510.25</v>
      </c>
      <c r="N41">
        <v>5501427.5199999996</v>
      </c>
      <c r="O41">
        <v>5157687.43</v>
      </c>
      <c r="P41">
        <v>4945302.2699999996</v>
      </c>
      <c r="Q41">
        <v>4075216.73</v>
      </c>
      <c r="R41">
        <v>3931628.27</v>
      </c>
      <c r="S41">
        <v>4231325.0500000007</v>
      </c>
      <c r="T41">
        <v>4910248.4000000004</v>
      </c>
      <c r="U41">
        <v>3369808.95</v>
      </c>
      <c r="V41">
        <v>4370529.4300000006</v>
      </c>
      <c r="W41">
        <v>3647371.38</v>
      </c>
      <c r="X41">
        <v>3119614.85</v>
      </c>
      <c r="Y41">
        <v>3082216.14</v>
      </c>
      <c r="Z41">
        <v>3255072.11</v>
      </c>
      <c r="AA41">
        <v>3754735.63</v>
      </c>
      <c r="AB41">
        <v>3090961.31</v>
      </c>
      <c r="AC41">
        <v>3235010.27</v>
      </c>
      <c r="AD41">
        <v>2773875.44</v>
      </c>
      <c r="AE41">
        <v>3684093.64</v>
      </c>
      <c r="AF41">
        <v>2493803</v>
      </c>
      <c r="AG41">
        <v>2005785.14</v>
      </c>
      <c r="AH41">
        <v>2182549.83</v>
      </c>
      <c r="AI41">
        <v>1837386.47</v>
      </c>
      <c r="AJ41">
        <v>2168667.7400000002</v>
      </c>
      <c r="AK41">
        <v>1358591.29</v>
      </c>
      <c r="AL41">
        <v>95677.65</v>
      </c>
    </row>
    <row r="42" spans="1:38" x14ac:dyDescent="0.35">
      <c r="A42" t="s">
        <v>88</v>
      </c>
      <c r="B42">
        <v>1.450580341168457</v>
      </c>
      <c r="C42">
        <v>1.515146547220394</v>
      </c>
      <c r="D42">
        <v>1.4469272718312649</v>
      </c>
      <c r="E42">
        <v>1.520286746212355</v>
      </c>
      <c r="F42">
        <v>1.487359963268831</v>
      </c>
      <c r="G42">
        <v>1.4842207916926069</v>
      </c>
      <c r="H42">
        <v>1.4691055212116499</v>
      </c>
      <c r="I42">
        <v>1.4198476435738721</v>
      </c>
      <c r="J42">
        <v>1.406913454175184</v>
      </c>
      <c r="K42">
        <v>1.4862966712310079</v>
      </c>
      <c r="L42">
        <v>1.498712696955445</v>
      </c>
      <c r="M42">
        <v>1.495832870730764</v>
      </c>
      <c r="N42">
        <v>1.4709195384607969</v>
      </c>
      <c r="O42">
        <v>1.5132041594684831</v>
      </c>
      <c r="P42">
        <v>1.476186532174677</v>
      </c>
      <c r="Q42">
        <v>1.486669389752338</v>
      </c>
      <c r="R42">
        <v>1.5033617094097469</v>
      </c>
      <c r="S42">
        <v>1.4906375646520189</v>
      </c>
      <c r="T42">
        <v>1.459849565544884</v>
      </c>
      <c r="U42">
        <v>1.4908706176274089</v>
      </c>
      <c r="V42">
        <v>1.45034276485784</v>
      </c>
      <c r="W42">
        <v>1.4655978867260639</v>
      </c>
      <c r="X42">
        <v>1.4454577054577831</v>
      </c>
      <c r="Y42">
        <v>1.495010876981987</v>
      </c>
      <c r="Z42">
        <v>1.5511524851289189</v>
      </c>
      <c r="AA42">
        <v>1.4498768396435679</v>
      </c>
      <c r="AB42">
        <v>1.5126215244182639</v>
      </c>
      <c r="AC42">
        <v>1.469932599208525</v>
      </c>
      <c r="AD42">
        <v>1.605459203746372</v>
      </c>
      <c r="AE42">
        <v>1.542788111533042</v>
      </c>
      <c r="AF42">
        <v>1.4434390582230181</v>
      </c>
      <c r="AG42">
        <v>1.5393730761324751</v>
      </c>
      <c r="AH42">
        <v>1.4726109043435569</v>
      </c>
      <c r="AI42">
        <v>1.516583083472935</v>
      </c>
      <c r="AJ42">
        <v>1.556528560268158</v>
      </c>
      <c r="AK42">
        <v>1.444228552389397</v>
      </c>
      <c r="AL42">
        <v>1.682310546188664</v>
      </c>
    </row>
    <row r="43" spans="1:38" x14ac:dyDescent="0.35">
      <c r="A43" t="s">
        <v>89</v>
      </c>
      <c r="B43">
        <v>0.24349619521181221</v>
      </c>
      <c r="C43">
        <v>0.24193297587126331</v>
      </c>
      <c r="D43">
        <v>0.24140926247895919</v>
      </c>
      <c r="E43">
        <v>0.24101564782383031</v>
      </c>
      <c r="F43">
        <v>0.24197745864264181</v>
      </c>
      <c r="G43">
        <v>0.23848483398231041</v>
      </c>
      <c r="H43">
        <v>0.2424578788576274</v>
      </c>
      <c r="I43">
        <v>0.24117555295793619</v>
      </c>
      <c r="J43">
        <v>0.242849113625141</v>
      </c>
      <c r="K43">
        <v>0.23999317709282561</v>
      </c>
      <c r="L43">
        <v>0.23544465016360869</v>
      </c>
      <c r="M43">
        <v>0.23791364300614801</v>
      </c>
      <c r="N43">
        <v>0.2385914202026968</v>
      </c>
      <c r="O43">
        <v>0.23577851530196359</v>
      </c>
      <c r="P43">
        <v>0.24061768283539109</v>
      </c>
      <c r="Q43">
        <v>0.238783153447645</v>
      </c>
      <c r="R43">
        <v>0.24018630575061969</v>
      </c>
      <c r="S43">
        <v>0.2397436027083289</v>
      </c>
      <c r="T43">
        <v>0.24041661217424351</v>
      </c>
      <c r="U43">
        <v>0.23919095952516831</v>
      </c>
      <c r="V43">
        <v>0.2426577653378254</v>
      </c>
      <c r="W43">
        <v>0.23943436861617309</v>
      </c>
      <c r="X43">
        <v>0.24116099287993839</v>
      </c>
      <c r="Y43">
        <v>0.2369684832881318</v>
      </c>
      <c r="Z43">
        <v>0.2383621112774672</v>
      </c>
      <c r="AA43">
        <v>0.2423891521281353</v>
      </c>
      <c r="AB43">
        <v>0.24098553751809981</v>
      </c>
      <c r="AC43">
        <v>0.24200361758635161</v>
      </c>
      <c r="AD43">
        <v>0.24764722917334739</v>
      </c>
      <c r="AE43">
        <v>0.23864661270689089</v>
      </c>
      <c r="AF43">
        <v>0.24159131904725431</v>
      </c>
      <c r="AG43">
        <v>0.2422106925106644</v>
      </c>
      <c r="AH43">
        <v>0.25103819373324471</v>
      </c>
      <c r="AI43">
        <v>0.24623085323960181</v>
      </c>
      <c r="AJ43">
        <v>0.2439984120684158</v>
      </c>
      <c r="AK43">
        <v>0.25078241505802668</v>
      </c>
      <c r="AL43">
        <v>0.26366349552899759</v>
      </c>
    </row>
    <row r="45" spans="1:38" x14ac:dyDescent="0.35">
      <c r="A45" t="s">
        <v>93</v>
      </c>
      <c r="B45" t="s">
        <v>153</v>
      </c>
      <c r="C45" t="s">
        <v>154</v>
      </c>
      <c r="D45" t="s">
        <v>155</v>
      </c>
      <c r="E45" t="s">
        <v>156</v>
      </c>
      <c r="F45" t="s">
        <v>157</v>
      </c>
      <c r="G45" t="s">
        <v>158</v>
      </c>
      <c r="H45" t="s">
        <v>159</v>
      </c>
      <c r="I45" t="s">
        <v>160</v>
      </c>
      <c r="J45" t="s">
        <v>161</v>
      </c>
      <c r="K45" t="s">
        <v>162</v>
      </c>
      <c r="L45" t="s">
        <v>163</v>
      </c>
      <c r="M45" t="s">
        <v>129</v>
      </c>
      <c r="N45" t="s">
        <v>130</v>
      </c>
      <c r="O45" t="s">
        <v>131</v>
      </c>
      <c r="P45" t="s">
        <v>132</v>
      </c>
      <c r="Q45" t="s">
        <v>133</v>
      </c>
      <c r="R45" t="s">
        <v>134</v>
      </c>
      <c r="S45" t="s">
        <v>135</v>
      </c>
      <c r="T45" t="s">
        <v>136</v>
      </c>
      <c r="U45" t="s">
        <v>137</v>
      </c>
      <c r="V45" t="s">
        <v>138</v>
      </c>
      <c r="W45" t="s">
        <v>139</v>
      </c>
      <c r="X45" t="s">
        <v>140</v>
      </c>
      <c r="Y45" t="s">
        <v>141</v>
      </c>
      <c r="Z45" t="s">
        <v>142</v>
      </c>
      <c r="AA45" t="s">
        <v>143</v>
      </c>
      <c r="AB45" t="s">
        <v>144</v>
      </c>
      <c r="AC45" t="s">
        <v>145</v>
      </c>
      <c r="AD45" t="s">
        <v>146</v>
      </c>
      <c r="AE45" t="s">
        <v>147</v>
      </c>
      <c r="AF45" t="s">
        <v>148</v>
      </c>
      <c r="AG45" t="s">
        <v>149</v>
      </c>
      <c r="AH45" t="s">
        <v>150</v>
      </c>
      <c r="AI45" t="s">
        <v>151</v>
      </c>
      <c r="AJ45" t="s">
        <v>152</v>
      </c>
      <c r="AK45" t="s">
        <v>164</v>
      </c>
      <c r="AL45" t="s">
        <v>165</v>
      </c>
    </row>
    <row r="46" spans="1:38" x14ac:dyDescent="0.35">
      <c r="A46" t="s">
        <v>81</v>
      </c>
      <c r="B46">
        <v>139.62567265059411</v>
      </c>
      <c r="C46">
        <v>139.45864363399801</v>
      </c>
      <c r="D46">
        <v>139.68526586509279</v>
      </c>
      <c r="E46">
        <v>139.23023614448391</v>
      </c>
      <c r="F46">
        <v>139.366690477525</v>
      </c>
      <c r="G46">
        <v>139.98681139808949</v>
      </c>
      <c r="H46">
        <v>139.22247153017261</v>
      </c>
      <c r="I46">
        <v>140.20384771438361</v>
      </c>
      <c r="J46">
        <v>139.82880314198479</v>
      </c>
      <c r="K46">
        <v>140.28535357861509</v>
      </c>
      <c r="L46">
        <v>140.49080929608201</v>
      </c>
      <c r="M46">
        <v>140.24914710177899</v>
      </c>
      <c r="N46">
        <v>140.06684645217069</v>
      </c>
      <c r="O46">
        <v>140.64005130853641</v>
      </c>
      <c r="P46">
        <v>140.63705875772311</v>
      </c>
      <c r="Q46">
        <v>140.63340872876199</v>
      </c>
      <c r="R46">
        <v>141.19162430442299</v>
      </c>
      <c r="S46">
        <v>140.57679096975281</v>
      </c>
      <c r="T46">
        <v>141.17797738142389</v>
      </c>
      <c r="U46">
        <v>144.0581190445204</v>
      </c>
      <c r="V46">
        <v>144.05143082678379</v>
      </c>
      <c r="W46">
        <v>144.52458523436979</v>
      </c>
      <c r="X46">
        <v>143.67618373871801</v>
      </c>
      <c r="Y46">
        <v>143.41470914737371</v>
      </c>
      <c r="Z46">
        <v>144.37062867536079</v>
      </c>
      <c r="AA46">
        <v>144.17676605074871</v>
      </c>
      <c r="AB46">
        <v>144.9570945509146</v>
      </c>
      <c r="AC46">
        <v>145.31827926850781</v>
      </c>
      <c r="AD46">
        <v>144.93361719713511</v>
      </c>
      <c r="AE46">
        <v>145.1098218578729</v>
      </c>
      <c r="AF46">
        <v>145.38399446757231</v>
      </c>
      <c r="AG46">
        <v>145.24355558187369</v>
      </c>
      <c r="AH46">
        <v>145.92213140002471</v>
      </c>
      <c r="AI46">
        <v>145.861031973358</v>
      </c>
      <c r="AJ46">
        <v>145.7806482857944</v>
      </c>
      <c r="AK46">
        <v>145.09164593704301</v>
      </c>
    </row>
    <row r="47" spans="1:38" x14ac:dyDescent="0.35">
      <c r="A47" t="s">
        <v>82</v>
      </c>
      <c r="B47">
        <v>1.624391076802169</v>
      </c>
      <c r="C47">
        <v>1.441276915603765</v>
      </c>
      <c r="D47">
        <v>1.306969135167094</v>
      </c>
      <c r="E47">
        <v>1.621911503509722</v>
      </c>
      <c r="F47">
        <v>1.096398820034153</v>
      </c>
      <c r="G47">
        <v>1.4553539516698211</v>
      </c>
      <c r="H47">
        <v>1.4627809946019279</v>
      </c>
      <c r="I47">
        <v>0.94517326594601059</v>
      </c>
      <c r="J47">
        <v>0.30125894384846669</v>
      </c>
      <c r="K47">
        <v>0.75627710103117352</v>
      </c>
      <c r="L47">
        <v>0.46238886753243952</v>
      </c>
      <c r="M47">
        <v>0.69433688946631378</v>
      </c>
      <c r="N47">
        <v>0.87938996852679452</v>
      </c>
      <c r="O47">
        <v>0.51447949309928731</v>
      </c>
      <c r="P47">
        <v>0.71167874605328052</v>
      </c>
      <c r="Q47">
        <v>0.55076052780671603</v>
      </c>
      <c r="R47">
        <v>0.37687435068309583</v>
      </c>
      <c r="S47">
        <v>0.12881605745528191</v>
      </c>
      <c r="T47">
        <v>0.39792606021626398</v>
      </c>
      <c r="U47">
        <v>0.57622303606018477</v>
      </c>
      <c r="V47">
        <v>0.68772018509591248</v>
      </c>
      <c r="W47">
        <v>1.092397990244677</v>
      </c>
      <c r="X47">
        <v>0.1872266365834605</v>
      </c>
      <c r="Y47">
        <v>0.30378640553644232</v>
      </c>
      <c r="Z47">
        <v>0.11675959960894031</v>
      </c>
      <c r="AA47">
        <v>0.12739799152387829</v>
      </c>
      <c r="AB47">
        <v>0.82598265409305327</v>
      </c>
      <c r="AC47">
        <v>0.2807677954435519</v>
      </c>
      <c r="AD47">
        <v>0.89474629794591465</v>
      </c>
      <c r="AE47">
        <v>0.26276830234269261</v>
      </c>
      <c r="AF47">
        <v>0.38936265536881359</v>
      </c>
      <c r="AG47">
        <v>0.13973317173798699</v>
      </c>
      <c r="AH47">
        <v>0.290443704976866</v>
      </c>
      <c r="AI47">
        <v>0.40586121908901868</v>
      </c>
      <c r="AJ47">
        <v>0.50826774905760885</v>
      </c>
      <c r="AK47">
        <v>2.3278157247184201</v>
      </c>
    </row>
    <row r="48" spans="1:38" x14ac:dyDescent="0.35">
      <c r="A48" t="s">
        <v>83</v>
      </c>
      <c r="B48">
        <v>3.063259535876544</v>
      </c>
      <c r="C48">
        <v>3.08024922730388</v>
      </c>
      <c r="D48">
        <v>2.930720627710754</v>
      </c>
      <c r="E48">
        <v>3.2221764282629142</v>
      </c>
      <c r="F48">
        <v>3.1871161580268219</v>
      </c>
      <c r="G48">
        <v>2.8038515833662521</v>
      </c>
      <c r="H48">
        <v>3.2282480979367398</v>
      </c>
      <c r="I48">
        <v>2.8667433569613219</v>
      </c>
      <c r="J48">
        <v>2.9453783188617142</v>
      </c>
      <c r="K48">
        <v>2.9675252393775011</v>
      </c>
      <c r="L48">
        <v>2.5847464164628171</v>
      </c>
      <c r="M48">
        <v>2.4880382574606732</v>
      </c>
      <c r="N48">
        <v>2.9408584893033258</v>
      </c>
      <c r="O48">
        <v>1.8316278909876831</v>
      </c>
      <c r="P48">
        <v>1.935766309571173</v>
      </c>
      <c r="Q48">
        <v>1.947491628862525</v>
      </c>
      <c r="R48">
        <v>1.934787348031942</v>
      </c>
      <c r="S48">
        <v>1.8272549921633889</v>
      </c>
      <c r="T48">
        <v>1.278754170005818</v>
      </c>
      <c r="U48">
        <v>0.5817038121893392</v>
      </c>
      <c r="V48">
        <v>0.7896251245041348</v>
      </c>
      <c r="W48">
        <v>0.52824735143427726</v>
      </c>
      <c r="X48">
        <v>0.24574989787129381</v>
      </c>
      <c r="Y48">
        <v>0.39251032565724292</v>
      </c>
      <c r="Z48">
        <v>0.32775903923893901</v>
      </c>
      <c r="AA48">
        <v>0.25162856368980552</v>
      </c>
      <c r="AB48">
        <v>0.46837168540031748</v>
      </c>
      <c r="AC48">
        <v>-1.348405474210596</v>
      </c>
      <c r="AD48">
        <v>-0.66739842174650577</v>
      </c>
      <c r="AE48">
        <v>-0.1063270715899039</v>
      </c>
      <c r="AF48">
        <v>-0.89088391156662472</v>
      </c>
      <c r="AG48">
        <v>-1.5631523101502081</v>
      </c>
      <c r="AH48">
        <v>-1.8459143767167421</v>
      </c>
      <c r="AI48">
        <v>-1.4786970517092479</v>
      </c>
      <c r="AJ48">
        <v>-1.196381962829729</v>
      </c>
      <c r="AK48">
        <v>-0.71488823635831256</v>
      </c>
    </row>
    <row r="49" spans="1:38" x14ac:dyDescent="0.35">
      <c r="A49" t="s">
        <v>84</v>
      </c>
      <c r="B49">
        <v>1.067671486983182</v>
      </c>
      <c r="C49">
        <v>1.5632842614083231</v>
      </c>
      <c r="D49">
        <v>1.1408668944185181</v>
      </c>
      <c r="E49">
        <v>1.2990185553808611</v>
      </c>
      <c r="F49">
        <v>1.0810140109888631</v>
      </c>
      <c r="G49">
        <v>1.015290492788953</v>
      </c>
      <c r="H49">
        <v>1.6242717114219221</v>
      </c>
      <c r="I49">
        <v>1.661600411738883</v>
      </c>
      <c r="J49">
        <v>2.0138938215069602</v>
      </c>
      <c r="K49">
        <v>1.479546515261662</v>
      </c>
      <c r="L49">
        <v>1.6217612673341351</v>
      </c>
      <c r="M49">
        <v>1.8210972118585069</v>
      </c>
      <c r="N49">
        <v>1.641559754288769</v>
      </c>
      <c r="O49">
        <v>1.6332963977834041</v>
      </c>
      <c r="P49">
        <v>2.1614206189475711</v>
      </c>
      <c r="Q49">
        <v>2.1064161616891108</v>
      </c>
      <c r="R49">
        <v>1.748780566289281</v>
      </c>
      <c r="S49">
        <v>2.4551682005300668</v>
      </c>
      <c r="T49">
        <v>1.937853158600825</v>
      </c>
      <c r="U49">
        <v>2.0807134037101171</v>
      </c>
      <c r="V49">
        <v>1.3551742698022839</v>
      </c>
      <c r="W49">
        <v>1.9169941850675489</v>
      </c>
      <c r="X49">
        <v>1.3077940103676791</v>
      </c>
      <c r="Y49">
        <v>1.3189298793073361</v>
      </c>
      <c r="Z49">
        <v>1.1263841403169721</v>
      </c>
      <c r="AA49">
        <v>1.3224896170082521</v>
      </c>
      <c r="AB49">
        <v>1.39657674119985</v>
      </c>
      <c r="AC49">
        <v>1.3040285965553029</v>
      </c>
      <c r="AD49">
        <v>1.342614691306343</v>
      </c>
      <c r="AE49">
        <v>1.5369366865183589</v>
      </c>
      <c r="AF49">
        <v>1.433781795871589</v>
      </c>
      <c r="AG49">
        <v>1.8601558492765411</v>
      </c>
      <c r="AH49">
        <v>1.5322887154357629</v>
      </c>
      <c r="AI49">
        <v>1.8275797551489319</v>
      </c>
      <c r="AJ49">
        <v>1.779973240712081</v>
      </c>
      <c r="AK49">
        <v>1.344374413069656</v>
      </c>
    </row>
    <row r="50" spans="1:38" x14ac:dyDescent="0.35">
      <c r="A50" t="s">
        <v>85</v>
      </c>
      <c r="B50">
        <v>-4.3391980052847612E-2</v>
      </c>
      <c r="C50">
        <v>-9.3141168417781584E-2</v>
      </c>
      <c r="D50">
        <v>-0.20862193033030579</v>
      </c>
      <c r="E50">
        <v>-0.27708259580294992</v>
      </c>
      <c r="F50">
        <v>-0.2668780107402996</v>
      </c>
      <c r="G50">
        <v>-2.305349921404742E-2</v>
      </c>
      <c r="H50">
        <v>-0.24589056044680621</v>
      </c>
      <c r="I50">
        <v>-0.1135992290177376</v>
      </c>
      <c r="J50">
        <v>-0.1869130586285597</v>
      </c>
      <c r="K50">
        <v>-0.12893496842399491</v>
      </c>
      <c r="L50">
        <v>-0.18341723200656021</v>
      </c>
      <c r="M50">
        <v>-0.25140431780566691</v>
      </c>
      <c r="N50">
        <v>-0.1281027054867673</v>
      </c>
      <c r="O50">
        <v>-0.15185566068323719</v>
      </c>
      <c r="P50">
        <v>-5.5412440307015517E-2</v>
      </c>
      <c r="Q50">
        <v>-6.3529978414216537E-2</v>
      </c>
      <c r="R50">
        <v>-6.4314663886791412E-3</v>
      </c>
      <c r="S50">
        <v>-0.16873681832726439</v>
      </c>
      <c r="T50">
        <v>-5.814557020915323E-3</v>
      </c>
      <c r="U50">
        <v>-4.3622448373247247E-2</v>
      </c>
      <c r="V50">
        <v>-0.1178464591067324</v>
      </c>
      <c r="W50">
        <v>0.1619487111453996</v>
      </c>
      <c r="X50">
        <v>-0.22339581538812819</v>
      </c>
      <c r="Y50">
        <v>-0.35619662450507772</v>
      </c>
      <c r="Z50">
        <v>-0.14629724500773569</v>
      </c>
      <c r="AA50">
        <v>-0.46610189756412168</v>
      </c>
      <c r="AB50">
        <v>-0.1948602252344955</v>
      </c>
      <c r="AC50">
        <v>-0.43996716630299992</v>
      </c>
      <c r="AD50">
        <v>-0.46041752022750948</v>
      </c>
      <c r="AE50">
        <v>-0.38413927793677749</v>
      </c>
      <c r="AF50">
        <v>-0.28917009238500629</v>
      </c>
      <c r="AG50">
        <v>-0.45886792176367092</v>
      </c>
      <c r="AH50">
        <v>-0.33649160946344508</v>
      </c>
      <c r="AI50">
        <v>-0.35953115016468329</v>
      </c>
      <c r="AJ50">
        <v>-0.27609329223093249</v>
      </c>
      <c r="AK50">
        <v>-0.45527710528550502</v>
      </c>
    </row>
    <row r="51" spans="1:38" x14ac:dyDescent="0.35">
      <c r="A51" t="s">
        <v>86</v>
      </c>
      <c r="B51">
        <v>145.3376027702032</v>
      </c>
      <c r="C51">
        <v>145.45031286989621</v>
      </c>
      <c r="D51">
        <v>144.85520059205879</v>
      </c>
      <c r="E51">
        <v>145.09626003583449</v>
      </c>
      <c r="F51">
        <v>144.46434145583461</v>
      </c>
      <c r="G51">
        <v>145.23825392670039</v>
      </c>
      <c r="H51">
        <v>145.29188177368641</v>
      </c>
      <c r="I51">
        <v>145.563765520012</v>
      </c>
      <c r="J51">
        <v>144.90242116757341</v>
      </c>
      <c r="K51">
        <v>145.35976746586149</v>
      </c>
      <c r="L51">
        <v>144.97628861540491</v>
      </c>
      <c r="M51">
        <v>145.00121514275881</v>
      </c>
      <c r="N51">
        <v>145.40055195880291</v>
      </c>
      <c r="O51">
        <v>144.46759942972349</v>
      </c>
      <c r="P51">
        <v>145.39051199198809</v>
      </c>
      <c r="Q51">
        <v>145.17454706870609</v>
      </c>
      <c r="R51">
        <v>145.24563510303861</v>
      </c>
      <c r="S51">
        <v>144.8192934015743</v>
      </c>
      <c r="T51">
        <v>144.78669621322589</v>
      </c>
      <c r="U51">
        <v>147.25313684810681</v>
      </c>
      <c r="V51">
        <v>146.76610394707939</v>
      </c>
      <c r="W51">
        <v>148.2241734722617</v>
      </c>
      <c r="X51">
        <v>145.1935584681523</v>
      </c>
      <c r="Y51">
        <v>145.0737391333696</v>
      </c>
      <c r="Z51">
        <v>145.7952342095179</v>
      </c>
      <c r="AA51">
        <v>145.41218032540641</v>
      </c>
      <c r="AB51">
        <v>147.45316540637339</v>
      </c>
      <c r="AC51">
        <v>145.1147030199931</v>
      </c>
      <c r="AD51">
        <v>146.0431622444134</v>
      </c>
      <c r="AE51">
        <v>146.41906049720731</v>
      </c>
      <c r="AF51">
        <v>146.02708491486101</v>
      </c>
      <c r="AG51">
        <v>145.22142437097429</v>
      </c>
      <c r="AH51">
        <v>145.56245783425709</v>
      </c>
      <c r="AI51">
        <v>146.256244745722</v>
      </c>
      <c r="AJ51">
        <v>146.5964140205034</v>
      </c>
      <c r="AK51">
        <v>147.59367073318731</v>
      </c>
    </row>
    <row r="52" spans="1:38" x14ac:dyDescent="0.35">
      <c r="A52" t="s">
        <v>87</v>
      </c>
      <c r="B52">
        <v>5709026.4000000004</v>
      </c>
      <c r="C52">
        <v>6654662.6699999999</v>
      </c>
      <c r="D52">
        <v>6789123.3700000001</v>
      </c>
      <c r="E52">
        <v>5641593.5600000015</v>
      </c>
      <c r="F52">
        <v>5981023.1799999997</v>
      </c>
      <c r="G52">
        <v>5667100.4500000002</v>
      </c>
      <c r="H52">
        <v>6673091.4800000004</v>
      </c>
      <c r="I52">
        <v>8608999.5599999987</v>
      </c>
      <c r="J52">
        <v>16421084.65</v>
      </c>
      <c r="K52">
        <v>9206955.7100000009</v>
      </c>
      <c r="L52">
        <v>7781252.6100000003</v>
      </c>
      <c r="M52">
        <v>7305405.6699999999</v>
      </c>
      <c r="N52">
        <v>7395275.5</v>
      </c>
      <c r="O52">
        <v>6783978.3499999996</v>
      </c>
      <c r="P52">
        <v>5165787.3000000007</v>
      </c>
      <c r="Q52">
        <v>4941117.43</v>
      </c>
      <c r="R52">
        <v>4574279.67</v>
      </c>
      <c r="S52">
        <v>4882686.84</v>
      </c>
      <c r="T52">
        <v>4753382.33</v>
      </c>
      <c r="U52">
        <v>3664297.68</v>
      </c>
      <c r="V52">
        <v>3422584.1</v>
      </c>
      <c r="W52">
        <v>3709767.97</v>
      </c>
      <c r="X52">
        <v>3243960.59</v>
      </c>
      <c r="Y52">
        <v>3727649.51</v>
      </c>
      <c r="Z52">
        <v>4023499.5</v>
      </c>
      <c r="AA52">
        <v>3853838.15</v>
      </c>
      <c r="AB52">
        <v>3792944.8</v>
      </c>
      <c r="AC52">
        <v>3260649.57</v>
      </c>
      <c r="AD52">
        <v>3267858.25</v>
      </c>
      <c r="AE52">
        <v>3406842.11</v>
      </c>
      <c r="AF52">
        <v>3046532.33</v>
      </c>
      <c r="AG52">
        <v>2788790.5699999989</v>
      </c>
      <c r="AH52">
        <v>3694118.94</v>
      </c>
      <c r="AI52">
        <v>3061619.93</v>
      </c>
      <c r="AJ52">
        <v>2827948.13</v>
      </c>
      <c r="AK52">
        <v>1514869.12</v>
      </c>
    </row>
    <row r="53" spans="1:38" x14ac:dyDescent="0.35">
      <c r="A53" t="s">
        <v>88</v>
      </c>
      <c r="B53">
        <v>1.364315264297286</v>
      </c>
      <c r="C53">
        <v>1.3278900248942209</v>
      </c>
      <c r="D53">
        <v>1.35881047711034</v>
      </c>
      <c r="E53">
        <v>1.347066779860258</v>
      </c>
      <c r="F53">
        <v>1.3633084950334531</v>
      </c>
      <c r="G53">
        <v>1.3682821273332639</v>
      </c>
      <c r="H53">
        <v>1.3235416869956109</v>
      </c>
      <c r="I53">
        <v>1.3208942135795689</v>
      </c>
      <c r="J53">
        <v>1.2964204087496241</v>
      </c>
      <c r="K53">
        <v>1.3339071919130889</v>
      </c>
      <c r="L53">
        <v>1.3237201168098129</v>
      </c>
      <c r="M53">
        <v>1.309700477210697</v>
      </c>
      <c r="N53">
        <v>1.3223142443501219</v>
      </c>
      <c r="O53">
        <v>1.3229006544935511</v>
      </c>
      <c r="P53">
        <v>1.2864390636895211</v>
      </c>
      <c r="Q53">
        <v>1.2901425254949961</v>
      </c>
      <c r="R53">
        <v>1.3147521734998191</v>
      </c>
      <c r="S53">
        <v>1.26701551720989</v>
      </c>
      <c r="T53">
        <v>1.3016258914651551</v>
      </c>
      <c r="U53">
        <v>1.2918804175952341</v>
      </c>
      <c r="V53">
        <v>1.342945571514071</v>
      </c>
      <c r="W53">
        <v>1.3030611395682461</v>
      </c>
      <c r="X53">
        <v>1.3464210918060771</v>
      </c>
      <c r="Y53">
        <v>1.345602617751384</v>
      </c>
      <c r="Z53">
        <v>1.3598961496779221</v>
      </c>
      <c r="AA53">
        <v>1.3453411908127431</v>
      </c>
      <c r="AB53">
        <v>1.339923201298389</v>
      </c>
      <c r="AC53">
        <v>1.3466980708628791</v>
      </c>
      <c r="AD53">
        <v>1.3438651149164189</v>
      </c>
      <c r="AE53">
        <v>1.3297774285396129</v>
      </c>
      <c r="AF53">
        <v>1.3372188231890969</v>
      </c>
      <c r="AG53">
        <v>1.306988139281233</v>
      </c>
      <c r="AH53">
        <v>1.3301109419620001</v>
      </c>
      <c r="AI53">
        <v>1.3092495328964819</v>
      </c>
      <c r="AJ53">
        <v>1.312568430425801</v>
      </c>
      <c r="AK53">
        <v>1.3437362018972869</v>
      </c>
    </row>
    <row r="54" spans="1:38" x14ac:dyDescent="0.35">
      <c r="A54" t="s">
        <v>89</v>
      </c>
      <c r="B54">
        <v>0.23561988542932641</v>
      </c>
      <c r="C54">
        <v>0.23633058812025401</v>
      </c>
      <c r="D54">
        <v>0.2379803132904329</v>
      </c>
      <c r="E54">
        <v>0.23895832279718501</v>
      </c>
      <c r="F54">
        <v>0.2388125430105757</v>
      </c>
      <c r="G54">
        <v>0.23532933570305781</v>
      </c>
      <c r="H54">
        <v>0.23851272229209719</v>
      </c>
      <c r="I54">
        <v>0.23662284612882481</v>
      </c>
      <c r="J54">
        <v>0.23767018655183661</v>
      </c>
      <c r="K54">
        <v>0.2368419281203428</v>
      </c>
      <c r="L54">
        <v>0.2376202461715223</v>
      </c>
      <c r="M54">
        <v>0.23859149025436671</v>
      </c>
      <c r="N54">
        <v>0.23683003864981089</v>
      </c>
      <c r="O54">
        <v>0.23716936658118909</v>
      </c>
      <c r="P54">
        <v>0.23579160629010021</v>
      </c>
      <c r="Q54">
        <v>0.23590757112020311</v>
      </c>
      <c r="R54">
        <v>0.2350918780912668</v>
      </c>
      <c r="S54">
        <v>0.23741052597610379</v>
      </c>
      <c r="T54">
        <v>0.2350830651002988</v>
      </c>
      <c r="U54">
        <v>0.23562317783390349</v>
      </c>
      <c r="V54">
        <v>0.23668352084438191</v>
      </c>
      <c r="W54">
        <v>0.23268644698363711</v>
      </c>
      <c r="X54">
        <v>0.23819136879125899</v>
      </c>
      <c r="Y54">
        <v>0.24008852320721541</v>
      </c>
      <c r="Z54">
        <v>0.23708996064296761</v>
      </c>
      <c r="AA54">
        <v>0.2416585985366303</v>
      </c>
      <c r="AB54">
        <v>0.2377837175033499</v>
      </c>
      <c r="AC54">
        <v>0.24128524523289999</v>
      </c>
      <c r="AD54">
        <v>0.24157739314610729</v>
      </c>
      <c r="AE54">
        <v>0.24048770397052541</v>
      </c>
      <c r="AF54">
        <v>0.23913100131978579</v>
      </c>
      <c r="AG54">
        <v>0.24155525602519529</v>
      </c>
      <c r="AH54">
        <v>0.23980702299233489</v>
      </c>
      <c r="AI54">
        <v>0.24013615928806689</v>
      </c>
      <c r="AJ54">
        <v>0.23894418988901331</v>
      </c>
      <c r="AK54">
        <v>0.2415039586469358</v>
      </c>
    </row>
    <row r="56" spans="1:38" x14ac:dyDescent="0.35">
      <c r="A56" t="s">
        <v>94</v>
      </c>
      <c r="B56" t="s">
        <v>153</v>
      </c>
      <c r="C56" t="s">
        <v>154</v>
      </c>
      <c r="D56" t="s">
        <v>155</v>
      </c>
      <c r="E56" t="s">
        <v>156</v>
      </c>
      <c r="F56" t="s">
        <v>157</v>
      </c>
      <c r="G56" t="s">
        <v>158</v>
      </c>
      <c r="H56" t="s">
        <v>159</v>
      </c>
      <c r="I56" t="s">
        <v>160</v>
      </c>
      <c r="J56" t="s">
        <v>161</v>
      </c>
      <c r="K56" t="s">
        <v>162</v>
      </c>
      <c r="L56" t="s">
        <v>163</v>
      </c>
      <c r="M56" t="s">
        <v>129</v>
      </c>
      <c r="N56" t="s">
        <v>130</v>
      </c>
      <c r="O56" t="s">
        <v>131</v>
      </c>
      <c r="P56" t="s">
        <v>132</v>
      </c>
      <c r="Q56" t="s">
        <v>133</v>
      </c>
      <c r="R56" t="s">
        <v>134</v>
      </c>
      <c r="S56" t="s">
        <v>135</v>
      </c>
      <c r="T56" t="s">
        <v>136</v>
      </c>
      <c r="U56" t="s">
        <v>137</v>
      </c>
      <c r="V56" t="s">
        <v>138</v>
      </c>
      <c r="W56" t="s">
        <v>139</v>
      </c>
      <c r="X56" t="s">
        <v>140</v>
      </c>
      <c r="Y56" t="s">
        <v>141</v>
      </c>
      <c r="Z56" t="s">
        <v>142</v>
      </c>
      <c r="AA56" t="s">
        <v>143</v>
      </c>
      <c r="AB56" t="s">
        <v>144</v>
      </c>
      <c r="AC56" t="s">
        <v>145</v>
      </c>
      <c r="AD56" t="s">
        <v>146</v>
      </c>
      <c r="AE56" t="s">
        <v>147</v>
      </c>
      <c r="AF56" t="s">
        <v>148</v>
      </c>
      <c r="AG56" t="s">
        <v>149</v>
      </c>
      <c r="AH56" t="s">
        <v>150</v>
      </c>
      <c r="AI56" t="s">
        <v>151</v>
      </c>
      <c r="AJ56" t="s">
        <v>152</v>
      </c>
      <c r="AK56" t="s">
        <v>164</v>
      </c>
      <c r="AL56" t="s">
        <v>165</v>
      </c>
    </row>
    <row r="57" spans="1:38" x14ac:dyDescent="0.35">
      <c r="A57" t="s">
        <v>81</v>
      </c>
      <c r="B57">
        <v>142.1519998660871</v>
      </c>
      <c r="C57">
        <v>141.77471882444209</v>
      </c>
      <c r="D57">
        <v>141.4968101710634</v>
      </c>
      <c r="E57">
        <v>141.8991476685469</v>
      </c>
      <c r="F57">
        <v>141.600976628979</v>
      </c>
      <c r="G57">
        <v>142.16146861724101</v>
      </c>
      <c r="H57">
        <v>142.38054300902181</v>
      </c>
      <c r="I57">
        <v>142.07171350093051</v>
      </c>
      <c r="J57">
        <v>142.06199804730321</v>
      </c>
      <c r="K57">
        <v>142.38665363359399</v>
      </c>
      <c r="L57">
        <v>142.47979714902789</v>
      </c>
      <c r="M57">
        <v>142.59662935751339</v>
      </c>
      <c r="N57">
        <v>142.6816113097864</v>
      </c>
      <c r="O57">
        <v>143.0540666186732</v>
      </c>
      <c r="P57">
        <v>142.94131519342889</v>
      </c>
      <c r="Q57">
        <v>142.7319357966621</v>
      </c>
      <c r="R57">
        <v>142.77686736301041</v>
      </c>
      <c r="S57">
        <v>142.87868947940299</v>
      </c>
      <c r="T57">
        <v>142.95898846836019</v>
      </c>
      <c r="U57">
        <v>143.4130698984313</v>
      </c>
      <c r="V57">
        <v>142.97828308418511</v>
      </c>
      <c r="W57">
        <v>142.6068793913964</v>
      </c>
      <c r="X57">
        <v>143.29396671560889</v>
      </c>
      <c r="Y57">
        <v>142.9831834457751</v>
      </c>
      <c r="Z57">
        <v>142.78622423850831</v>
      </c>
      <c r="AA57">
        <v>142.7294050560235</v>
      </c>
      <c r="AB57">
        <v>142.59631082697501</v>
      </c>
      <c r="AC57">
        <v>143.01324958254631</v>
      </c>
      <c r="AD57">
        <v>143.67644352546901</v>
      </c>
      <c r="AE57">
        <v>143.66837794255599</v>
      </c>
      <c r="AF57">
        <v>143.8530631799886</v>
      </c>
      <c r="AG57">
        <v>144.4028015776758</v>
      </c>
      <c r="AH57">
        <v>143.595500117331</v>
      </c>
      <c r="AI57">
        <v>143.86898993962899</v>
      </c>
      <c r="AJ57">
        <v>144.0401385370175</v>
      </c>
      <c r="AK57">
        <v>144.02056481575389</v>
      </c>
      <c r="AL57">
        <v>144.6532833609914</v>
      </c>
    </row>
    <row r="58" spans="1:38" x14ac:dyDescent="0.35">
      <c r="A58" t="s">
        <v>82</v>
      </c>
      <c r="B58">
        <v>1.0223744389200251</v>
      </c>
      <c r="C58">
        <v>0.64734174767042418</v>
      </c>
      <c r="D58">
        <v>0.58797574802221675</v>
      </c>
      <c r="E58">
        <v>0.7831201437648474</v>
      </c>
      <c r="F58">
        <v>0.74292119937868506</v>
      </c>
      <c r="G58">
        <v>0.73216448911207976</v>
      </c>
      <c r="H58">
        <v>0.78824066307745966</v>
      </c>
      <c r="I58">
        <v>5.4964429957067303E-2</v>
      </c>
      <c r="J58">
        <v>-0.29998375180190351</v>
      </c>
      <c r="K58">
        <v>9.372988251718084E-2</v>
      </c>
      <c r="L58">
        <v>0.1259093959039603</v>
      </c>
      <c r="M58">
        <v>0.36562288679419908</v>
      </c>
      <c r="N58">
        <v>0.19794470400580619</v>
      </c>
      <c r="O58">
        <v>0.33450326632882371</v>
      </c>
      <c r="P58">
        <v>0.50556579550172387</v>
      </c>
      <c r="Q58">
        <v>0.5026373290516517</v>
      </c>
      <c r="R58">
        <v>0.42228892098137288</v>
      </c>
      <c r="S58">
        <v>0.43649416447001949</v>
      </c>
      <c r="T58">
        <v>0.37745934879725951</v>
      </c>
      <c r="U58">
        <v>0.32062363333241711</v>
      </c>
      <c r="V58">
        <v>0.36492338183416001</v>
      </c>
      <c r="W58">
        <v>0.229385671483783</v>
      </c>
      <c r="X58">
        <v>0.26887787111533612</v>
      </c>
      <c r="Y58">
        <v>0.29282498271396662</v>
      </c>
      <c r="Z58">
        <v>0.17465669486244911</v>
      </c>
      <c r="AA58">
        <v>3.2678113687438781E-2</v>
      </c>
      <c r="AB58">
        <v>0.19519256327089349</v>
      </c>
      <c r="AC58">
        <v>0.35628764700607007</v>
      </c>
      <c r="AD58">
        <v>5.353055945079177E-2</v>
      </c>
      <c r="AE58">
        <v>0.33698615215968181</v>
      </c>
      <c r="AF58">
        <v>0.40293884118105439</v>
      </c>
      <c r="AG58">
        <v>0.3164321525083551</v>
      </c>
      <c r="AH58">
        <v>0.53700701928178773</v>
      </c>
      <c r="AI58">
        <v>0.54071609339399629</v>
      </c>
      <c r="AJ58">
        <v>0.56291021861855484</v>
      </c>
      <c r="AK58">
        <v>3.4659321594536721</v>
      </c>
      <c r="AL58">
        <v>3.7580598602233688</v>
      </c>
    </row>
    <row r="59" spans="1:38" x14ac:dyDescent="0.35">
      <c r="A59" t="s">
        <v>83</v>
      </c>
      <c r="B59">
        <v>1.6379725142864809</v>
      </c>
      <c r="C59">
        <v>0.79191053319595228</v>
      </c>
      <c r="D59">
        <v>1.0173085204327219</v>
      </c>
      <c r="E59">
        <v>0.93598904487664136</v>
      </c>
      <c r="F59">
        <v>0.81237936263324484</v>
      </c>
      <c r="G59">
        <v>1.026164384052014</v>
      </c>
      <c r="H59">
        <v>0.5266347712304823</v>
      </c>
      <c r="I59">
        <v>0.67469144052798047</v>
      </c>
      <c r="J59">
        <v>0.37683254493427298</v>
      </c>
      <c r="K59">
        <v>0.41595748846290831</v>
      </c>
      <c r="L59">
        <v>0.96711529189389511</v>
      </c>
      <c r="M59">
        <v>1.132997695346843</v>
      </c>
      <c r="N59">
        <v>1.2003329793547151</v>
      </c>
      <c r="O59">
        <v>1.056242540257341</v>
      </c>
      <c r="P59">
        <v>1.0165319871556571</v>
      </c>
      <c r="Q59">
        <v>1.3234985901215539</v>
      </c>
      <c r="R59">
        <v>1.482246034265327</v>
      </c>
      <c r="S59">
        <v>0.99103914642912194</v>
      </c>
      <c r="T59">
        <v>1.391070917582264</v>
      </c>
      <c r="U59">
        <v>1.056165074788102</v>
      </c>
      <c r="V59">
        <v>1.1896236850632349</v>
      </c>
      <c r="W59">
        <v>0.62428705606068036</v>
      </c>
      <c r="X59">
        <v>0.5700579616785264</v>
      </c>
      <c r="Y59">
        <v>0.62174109110266429</v>
      </c>
      <c r="Z59">
        <v>0.50057592796089745</v>
      </c>
      <c r="AA59">
        <v>0.52405004192986004</v>
      </c>
      <c r="AB59">
        <v>0.45199065781074033</v>
      </c>
      <c r="AC59">
        <v>0.95156066743584833</v>
      </c>
      <c r="AD59">
        <v>0.69277968267593293</v>
      </c>
      <c r="AE59">
        <v>0.7524024338114873</v>
      </c>
      <c r="AF59">
        <v>1.1233405976267761</v>
      </c>
      <c r="AG59">
        <v>0.6069229668448618</v>
      </c>
      <c r="AH59">
        <v>1.094274914047455</v>
      </c>
      <c r="AI59">
        <v>0.86825695163328598</v>
      </c>
      <c r="AJ59">
        <v>0.74623247201554388</v>
      </c>
      <c r="AK59">
        <v>0.66831895089794813</v>
      </c>
      <c r="AL59">
        <v>0.18650500808946099</v>
      </c>
    </row>
    <row r="60" spans="1:38" x14ac:dyDescent="0.35">
      <c r="A60" t="s">
        <v>84</v>
      </c>
      <c r="B60">
        <v>0.61555479536644175</v>
      </c>
      <c r="C60">
        <v>0.54514672321946078</v>
      </c>
      <c r="D60">
        <v>0.54433677343037168</v>
      </c>
      <c r="E60">
        <v>2.4190719627445501E-2</v>
      </c>
      <c r="F60">
        <v>0.65009081458879303</v>
      </c>
      <c r="G60">
        <v>0.39562903846583958</v>
      </c>
      <c r="H60">
        <v>0.60095794664686786</v>
      </c>
      <c r="I60">
        <v>0.82822406996751752</v>
      </c>
      <c r="J60">
        <v>0.51201548740126668</v>
      </c>
      <c r="K60">
        <v>0.34633347805895109</v>
      </c>
      <c r="L60">
        <v>0.24690762159445501</v>
      </c>
      <c r="M60">
        <v>0.5394062849647816</v>
      </c>
      <c r="N60">
        <v>0.54619864134554397</v>
      </c>
      <c r="O60">
        <v>0.52391293971173869</v>
      </c>
      <c r="P60">
        <v>0.19509272842708369</v>
      </c>
      <c r="Q60">
        <v>0.60446641710066096</v>
      </c>
      <c r="R60">
        <v>0.67273356583156574</v>
      </c>
      <c r="S60">
        <v>0.6211142981778599</v>
      </c>
      <c r="T60">
        <v>1.133836756095135</v>
      </c>
      <c r="U60">
        <v>1.5480086150001751</v>
      </c>
      <c r="V60">
        <v>1.3940511504151289</v>
      </c>
      <c r="W60">
        <v>1.357638264616315</v>
      </c>
      <c r="X60">
        <v>1.3459069027965409</v>
      </c>
      <c r="Y60">
        <v>1.3782933721962589</v>
      </c>
      <c r="Z60">
        <v>1.373295917771798</v>
      </c>
      <c r="AA60">
        <v>2.132254478612202</v>
      </c>
      <c r="AB60">
        <v>1.7124389866484391</v>
      </c>
      <c r="AC60">
        <v>1.506415818241315</v>
      </c>
      <c r="AD60">
        <v>1.276071567092347</v>
      </c>
      <c r="AE60">
        <v>1.723943816631462</v>
      </c>
      <c r="AF60">
        <v>1.0761013121900691</v>
      </c>
      <c r="AG60">
        <v>0.45131273233780927</v>
      </c>
      <c r="AH60">
        <v>1.53993950228862</v>
      </c>
      <c r="AI60">
        <v>1.1745478390244111</v>
      </c>
      <c r="AJ60">
        <v>1.022721767783749</v>
      </c>
      <c r="AK60">
        <v>0.61873279138986437</v>
      </c>
      <c r="AL60">
        <v>5.1372148886419389E-2</v>
      </c>
    </row>
    <row r="61" spans="1:38" x14ac:dyDescent="0.35">
      <c r="A61" t="s">
        <v>85</v>
      </c>
      <c r="B61">
        <v>0.87491829881941208</v>
      </c>
      <c r="C61">
        <v>9.6849633950529382E-2</v>
      </c>
      <c r="D61">
        <v>0.104489120622742</v>
      </c>
      <c r="E61">
        <v>0.17399487943532541</v>
      </c>
      <c r="F61">
        <v>0.37182720181436801</v>
      </c>
      <c r="G61">
        <v>0.41151061466593558</v>
      </c>
      <c r="H61">
        <v>0.69020573880805414</v>
      </c>
      <c r="I61">
        <v>0.65904565456957109</v>
      </c>
      <c r="J61">
        <v>0.17825128855340661</v>
      </c>
      <c r="K61">
        <v>0.53721968941512566</v>
      </c>
      <c r="L61">
        <v>0.8121434156090982</v>
      </c>
      <c r="M61">
        <v>0.84070346111904581</v>
      </c>
      <c r="N61">
        <v>0.55745409245790667</v>
      </c>
      <c r="O61">
        <v>0.70197250434511682</v>
      </c>
      <c r="P61">
        <v>0.60950574408621694</v>
      </c>
      <c r="Q61">
        <v>0.60293096370756993</v>
      </c>
      <c r="R61">
        <v>0.65547400838634529</v>
      </c>
      <c r="S61">
        <v>0.71555910985391757</v>
      </c>
      <c r="T61">
        <v>0.70565066048700864</v>
      </c>
      <c r="U61">
        <v>0.89526751311901176</v>
      </c>
      <c r="V61">
        <v>0.61429315179056598</v>
      </c>
      <c r="W61">
        <v>0.59131509298345331</v>
      </c>
      <c r="X61">
        <v>0.86328540983108648</v>
      </c>
      <c r="Y61">
        <v>0.75309512166521742</v>
      </c>
      <c r="Z61">
        <v>0.67897306891877218</v>
      </c>
      <c r="AA61">
        <v>0.64414779127602628</v>
      </c>
      <c r="AB61">
        <v>0.70132713416162484</v>
      </c>
      <c r="AC61">
        <v>0.92401025497609945</v>
      </c>
      <c r="AD61">
        <v>1.036088421951038</v>
      </c>
      <c r="AE61">
        <v>1.005293244388231</v>
      </c>
      <c r="AF61">
        <v>0.98880044884969664</v>
      </c>
      <c r="AG61">
        <v>1.0532047487142511</v>
      </c>
      <c r="AH61">
        <v>1.157714145039431</v>
      </c>
      <c r="AI61">
        <v>1.1427498846196411</v>
      </c>
      <c r="AJ61">
        <v>0.94349924411623975</v>
      </c>
      <c r="AK61">
        <v>0.95493826980960583</v>
      </c>
      <c r="AL61">
        <v>1.248443136244715</v>
      </c>
    </row>
    <row r="62" spans="1:38" x14ac:dyDescent="0.35">
      <c r="A62" t="s">
        <v>86</v>
      </c>
      <c r="B62">
        <v>146.30281991347951</v>
      </c>
      <c r="C62">
        <v>143.8559674624785</v>
      </c>
      <c r="D62">
        <v>143.7509203335714</v>
      </c>
      <c r="E62">
        <v>143.8164424562512</v>
      </c>
      <c r="F62">
        <v>144.17819520739411</v>
      </c>
      <c r="G62">
        <v>144.72693714353679</v>
      </c>
      <c r="H62">
        <v>144.9865821287847</v>
      </c>
      <c r="I62">
        <v>144.28863909595259</v>
      </c>
      <c r="J62">
        <v>142.82911361639029</v>
      </c>
      <c r="K62">
        <v>143.77989417204819</v>
      </c>
      <c r="L62">
        <v>144.63187287402931</v>
      </c>
      <c r="M62">
        <v>145.4753596857382</v>
      </c>
      <c r="N62">
        <v>145.1835417269503</v>
      </c>
      <c r="O62">
        <v>145.67069786931631</v>
      </c>
      <c r="P62">
        <v>145.26801144859951</v>
      </c>
      <c r="Q62">
        <v>145.76546909664361</v>
      </c>
      <c r="R62">
        <v>146.009609892475</v>
      </c>
      <c r="S62">
        <v>145.64289619833389</v>
      </c>
      <c r="T62">
        <v>146.56700615132181</v>
      </c>
      <c r="U62">
        <v>147.23313473467101</v>
      </c>
      <c r="V62">
        <v>146.54117445328819</v>
      </c>
      <c r="W62">
        <v>145.4095054765406</v>
      </c>
      <c r="X62">
        <v>146.3420948610304</v>
      </c>
      <c r="Y62">
        <v>146.02913801345309</v>
      </c>
      <c r="Z62">
        <v>145.5137258480222</v>
      </c>
      <c r="AA62">
        <v>146.06253548152901</v>
      </c>
      <c r="AB62">
        <v>145.65726016886671</v>
      </c>
      <c r="AC62">
        <v>146.7515239702056</v>
      </c>
      <c r="AD62">
        <v>146.73491375663909</v>
      </c>
      <c r="AE62">
        <v>147.4870035895469</v>
      </c>
      <c r="AF62">
        <v>147.44424437983619</v>
      </c>
      <c r="AG62">
        <v>146.83067417808101</v>
      </c>
      <c r="AH62">
        <v>147.92443569798829</v>
      </c>
      <c r="AI62">
        <v>147.5952607083004</v>
      </c>
      <c r="AJ62">
        <v>147.31550223955159</v>
      </c>
      <c r="AK62">
        <v>149.72848698730499</v>
      </c>
      <c r="AL62">
        <v>149.89766351443529</v>
      </c>
    </row>
    <row r="63" spans="1:38" x14ac:dyDescent="0.35">
      <c r="A63" t="s">
        <v>87</v>
      </c>
      <c r="B63">
        <v>22143632.329999998</v>
      </c>
      <c r="C63">
        <v>32529838.640000001</v>
      </c>
      <c r="D63">
        <v>33342496.18</v>
      </c>
      <c r="E63">
        <v>31862679.73</v>
      </c>
      <c r="F63">
        <v>28073454.879999999</v>
      </c>
      <c r="G63">
        <v>35420986.649999999</v>
      </c>
      <c r="H63">
        <v>35777213.390000001</v>
      </c>
      <c r="I63">
        <v>47769758.840000004</v>
      </c>
      <c r="J63">
        <v>77720589.050000012</v>
      </c>
      <c r="K63">
        <v>61218559.289999999</v>
      </c>
      <c r="L63">
        <v>59243462.770000003</v>
      </c>
      <c r="M63">
        <v>46717376</v>
      </c>
      <c r="N63">
        <v>44763846.619999997</v>
      </c>
      <c r="O63">
        <v>42042106.829999998</v>
      </c>
      <c r="P63">
        <v>33985215.959999993</v>
      </c>
      <c r="Q63">
        <v>36228403.680000007</v>
      </c>
      <c r="R63">
        <v>36891940.060000002</v>
      </c>
      <c r="S63">
        <v>37575020.150000013</v>
      </c>
      <c r="T63">
        <v>37552927.950000003</v>
      </c>
      <c r="U63">
        <v>34155455.840000004</v>
      </c>
      <c r="V63">
        <v>37830271.920000002</v>
      </c>
      <c r="W63">
        <v>37542139.369999997</v>
      </c>
      <c r="X63">
        <v>35548297.239999987</v>
      </c>
      <c r="Y63">
        <v>38274707.210000001</v>
      </c>
      <c r="Z63">
        <v>40258177.939999998</v>
      </c>
      <c r="AA63">
        <v>38057732.900000013</v>
      </c>
      <c r="AB63">
        <v>38605527.079999998</v>
      </c>
      <c r="AC63">
        <v>36904430.460000001</v>
      </c>
      <c r="AD63">
        <v>36386863.520000003</v>
      </c>
      <c r="AE63">
        <v>36238429.130000003</v>
      </c>
      <c r="AF63">
        <v>36425109.32</v>
      </c>
      <c r="AG63">
        <v>36026638.829999998</v>
      </c>
      <c r="AH63">
        <v>38294540.630000003</v>
      </c>
      <c r="AI63">
        <v>36839115.380000003</v>
      </c>
      <c r="AJ63">
        <v>36159895.93</v>
      </c>
      <c r="AK63">
        <v>30486998.02</v>
      </c>
      <c r="AL63">
        <v>4110336.31</v>
      </c>
    </row>
    <row r="64" spans="1:38" x14ac:dyDescent="0.35">
      <c r="A64" t="s">
        <v>88</v>
      </c>
      <c r="B64">
        <v>1.553438400190968</v>
      </c>
      <c r="C64">
        <v>1.5575349817908859</v>
      </c>
      <c r="D64">
        <v>1.5575822331387941</v>
      </c>
      <c r="E64">
        <v>1.5885307055531499</v>
      </c>
      <c r="F64">
        <v>1.551436844280994</v>
      </c>
      <c r="G64">
        <v>1.5663064931941539</v>
      </c>
      <c r="H64">
        <v>1.554285922947539</v>
      </c>
      <c r="I64">
        <v>1.541194394635957</v>
      </c>
      <c r="J64">
        <v>1.559470154914899</v>
      </c>
      <c r="K64">
        <v>1.5692201321740951</v>
      </c>
      <c r="L64">
        <v>1.5751298519097441</v>
      </c>
      <c r="M64">
        <v>1.5578699328581249</v>
      </c>
      <c r="N64">
        <v>1.5574736186249469</v>
      </c>
      <c r="O64">
        <v>1.5587746796415589</v>
      </c>
      <c r="P64">
        <v>1.5782273271198879</v>
      </c>
      <c r="Q64">
        <v>1.554082129594615</v>
      </c>
      <c r="R64">
        <v>1.550127366930508</v>
      </c>
      <c r="S64">
        <v>1.553115847141125</v>
      </c>
      <c r="T64">
        <v>1.523933546203204</v>
      </c>
      <c r="U64">
        <v>1.501149137182745</v>
      </c>
      <c r="V64">
        <v>1.5095386382968261</v>
      </c>
      <c r="W64">
        <v>1.511536591486452</v>
      </c>
      <c r="X64">
        <v>1.512181411191633</v>
      </c>
      <c r="Y64">
        <v>1.510402609476857</v>
      </c>
      <c r="Z64">
        <v>1.5106768176813929</v>
      </c>
      <c r="AA64">
        <v>1.470143089885531</v>
      </c>
      <c r="AB64">
        <v>1.4922913181630251</v>
      </c>
      <c r="AC64">
        <v>1.503406418441708</v>
      </c>
      <c r="AD64">
        <v>1.5160313569906181</v>
      </c>
      <c r="AE64">
        <v>1.4916754674116279</v>
      </c>
      <c r="AF64">
        <v>1.5271647305410221</v>
      </c>
      <c r="AG64">
        <v>1.563028266905417</v>
      </c>
      <c r="AH64">
        <v>1.501586525618374</v>
      </c>
      <c r="AI64">
        <v>1.521663343827083</v>
      </c>
      <c r="AJ64">
        <v>1.5301643498374971</v>
      </c>
      <c r="AK64">
        <v>1.553254001778378</v>
      </c>
      <c r="AL64">
        <v>1.586882998043146</v>
      </c>
    </row>
    <row r="65" spans="1:38" x14ac:dyDescent="0.35">
      <c r="A65" t="s">
        <v>89</v>
      </c>
      <c r="B65">
        <v>0.24187575865381969</v>
      </c>
      <c r="C65">
        <v>0.2491006819704594</v>
      </c>
      <c r="D65">
        <v>0.24902974387993171</v>
      </c>
      <c r="E65">
        <v>0.24838433326238629</v>
      </c>
      <c r="F65">
        <v>0.24654731884029521</v>
      </c>
      <c r="G65">
        <v>0.24617883000667351</v>
      </c>
      <c r="H65">
        <v>0.2435909467110681</v>
      </c>
      <c r="I65">
        <v>0.24388029035042541</v>
      </c>
      <c r="J65">
        <v>0.24834480946343271</v>
      </c>
      <c r="K65">
        <v>0.245011531455431</v>
      </c>
      <c r="L65">
        <v>0.2424586682836298</v>
      </c>
      <c r="M65">
        <v>0.2421934678610374</v>
      </c>
      <c r="N65">
        <v>0.2448236405700337</v>
      </c>
      <c r="O65">
        <v>0.24348168388822389</v>
      </c>
      <c r="P65">
        <v>0.2443403038049137</v>
      </c>
      <c r="Q65">
        <v>0.24440135533700111</v>
      </c>
      <c r="R65">
        <v>0.24391345563641251</v>
      </c>
      <c r="S65">
        <v>0.24335552255135651</v>
      </c>
      <c r="T65">
        <v>0.24344752958119209</v>
      </c>
      <c r="U65">
        <v>0.24168680166389489</v>
      </c>
      <c r="V65">
        <v>0.24429584930480189</v>
      </c>
      <c r="W65">
        <v>0.2445092169937251</v>
      </c>
      <c r="X65">
        <v>0.2419837783372828</v>
      </c>
      <c r="Y65">
        <v>0.24300697387025161</v>
      </c>
      <c r="Z65">
        <v>0.24369525007432569</v>
      </c>
      <c r="AA65">
        <v>0.2440186276524369</v>
      </c>
      <c r="AB65">
        <v>0.24348767661135631</v>
      </c>
      <c r="AC65">
        <v>0.24141990477522191</v>
      </c>
      <c r="AD65">
        <v>0.24037917893902611</v>
      </c>
      <c r="AE65">
        <v>0.24066513415925209</v>
      </c>
      <c r="AF65">
        <v>0.2408182815463957</v>
      </c>
      <c r="AG65">
        <v>0.24022024161908201</v>
      </c>
      <c r="AH65">
        <v>0.23924979722463391</v>
      </c>
      <c r="AI65">
        <v>0.23938875107138899</v>
      </c>
      <c r="AJ65">
        <v>0.2412389355903492</v>
      </c>
      <c r="AK65">
        <v>0.24113271606605369</v>
      </c>
      <c r="AL65">
        <v>0.23840731373487051</v>
      </c>
    </row>
    <row r="67" spans="1:38" x14ac:dyDescent="0.35">
      <c r="A67" t="s">
        <v>95</v>
      </c>
      <c r="B67" t="s">
        <v>153</v>
      </c>
      <c r="C67" t="s">
        <v>154</v>
      </c>
      <c r="D67" t="s">
        <v>155</v>
      </c>
      <c r="E67" t="s">
        <v>156</v>
      </c>
      <c r="F67" t="s">
        <v>157</v>
      </c>
      <c r="G67" t="s">
        <v>158</v>
      </c>
      <c r="H67" t="s">
        <v>159</v>
      </c>
      <c r="I67" t="s">
        <v>160</v>
      </c>
      <c r="J67" t="s">
        <v>161</v>
      </c>
      <c r="K67" t="s">
        <v>162</v>
      </c>
      <c r="L67" t="s">
        <v>163</v>
      </c>
      <c r="M67" t="s">
        <v>129</v>
      </c>
      <c r="N67" t="s">
        <v>130</v>
      </c>
      <c r="O67" t="s">
        <v>131</v>
      </c>
      <c r="P67" t="s">
        <v>132</v>
      </c>
      <c r="Q67" t="s">
        <v>133</v>
      </c>
      <c r="R67" t="s">
        <v>134</v>
      </c>
      <c r="S67" t="s">
        <v>135</v>
      </c>
      <c r="T67" t="s">
        <v>136</v>
      </c>
      <c r="U67" t="s">
        <v>137</v>
      </c>
      <c r="V67" t="s">
        <v>138</v>
      </c>
      <c r="W67" t="s">
        <v>139</v>
      </c>
      <c r="X67" t="s">
        <v>140</v>
      </c>
      <c r="Y67" t="s">
        <v>141</v>
      </c>
      <c r="Z67" t="s">
        <v>142</v>
      </c>
      <c r="AA67" t="s">
        <v>143</v>
      </c>
      <c r="AB67" t="s">
        <v>144</v>
      </c>
      <c r="AC67" t="s">
        <v>145</v>
      </c>
      <c r="AD67" t="s">
        <v>146</v>
      </c>
      <c r="AE67" t="s">
        <v>147</v>
      </c>
      <c r="AF67" t="s">
        <v>148</v>
      </c>
      <c r="AG67" t="s">
        <v>149</v>
      </c>
      <c r="AH67" t="s">
        <v>150</v>
      </c>
      <c r="AI67" t="s">
        <v>151</v>
      </c>
      <c r="AJ67" t="s">
        <v>152</v>
      </c>
      <c r="AK67" t="s">
        <v>164</v>
      </c>
      <c r="AL67" t="s">
        <v>165</v>
      </c>
    </row>
    <row r="68" spans="1:38" x14ac:dyDescent="0.35">
      <c r="A68" t="s">
        <v>81</v>
      </c>
      <c r="B68">
        <v>141.8499076975105</v>
      </c>
      <c r="C68">
        <v>141.71912698506969</v>
      </c>
      <c r="D68">
        <v>142.03766384774201</v>
      </c>
      <c r="E68">
        <v>141.9678470646783</v>
      </c>
      <c r="F68">
        <v>141.46482601044741</v>
      </c>
      <c r="G68">
        <v>141.42181478328899</v>
      </c>
      <c r="H68">
        <v>141.76867534344569</v>
      </c>
      <c r="I68">
        <v>141.47677957292021</v>
      </c>
      <c r="J68">
        <v>141.40443497989219</v>
      </c>
      <c r="K68">
        <v>141.50256153569649</v>
      </c>
      <c r="L68">
        <v>141.7505055740894</v>
      </c>
      <c r="M68">
        <v>141.79077758279291</v>
      </c>
      <c r="N68">
        <v>141.87015642271379</v>
      </c>
      <c r="O68">
        <v>141.97337106331881</v>
      </c>
      <c r="P68">
        <v>141.9524355882173</v>
      </c>
      <c r="Q68">
        <v>141.85457393869891</v>
      </c>
      <c r="R68">
        <v>141.91005718470419</v>
      </c>
      <c r="S68">
        <v>142.1469890355917</v>
      </c>
      <c r="T68">
        <v>141.7445434967338</v>
      </c>
      <c r="U68">
        <v>141.91584398743231</v>
      </c>
      <c r="V68">
        <v>142.04662280001429</v>
      </c>
      <c r="W68">
        <v>141.8213674741358</v>
      </c>
      <c r="X68">
        <v>142.4361235108521</v>
      </c>
      <c r="Y68">
        <v>142.44000700908731</v>
      </c>
      <c r="Z68">
        <v>142.38777835806511</v>
      </c>
      <c r="AA68">
        <v>142.05009039131659</v>
      </c>
      <c r="AB68">
        <v>142.49189872496819</v>
      </c>
      <c r="AC68">
        <v>142.0038455043304</v>
      </c>
      <c r="AD68">
        <v>142.11379949209541</v>
      </c>
      <c r="AE68">
        <v>142.310495974481</v>
      </c>
      <c r="AF68">
        <v>142.18847981538619</v>
      </c>
      <c r="AG68">
        <v>142.56791565984699</v>
      </c>
      <c r="AH68">
        <v>142.70075008308069</v>
      </c>
      <c r="AI68">
        <v>142.3284305936545</v>
      </c>
      <c r="AJ68">
        <v>142.9491565106724</v>
      </c>
      <c r="AK68">
        <v>142.86754160683969</v>
      </c>
      <c r="AL68">
        <v>142.49418507653209</v>
      </c>
    </row>
    <row r="69" spans="1:38" x14ac:dyDescent="0.35">
      <c r="A69" t="s">
        <v>82</v>
      </c>
      <c r="B69">
        <v>2.941968399824535</v>
      </c>
      <c r="C69">
        <v>3.0724427897245929</v>
      </c>
      <c r="D69">
        <v>2.92356158240898</v>
      </c>
      <c r="E69">
        <v>3.0825585362034338</v>
      </c>
      <c r="F69">
        <v>2.7768566917719779</v>
      </c>
      <c r="G69">
        <v>2.6880856795849768</v>
      </c>
      <c r="H69">
        <v>2.9989068046882008</v>
      </c>
      <c r="I69">
        <v>2.863186489972287</v>
      </c>
      <c r="J69">
        <v>2.2051707929810029</v>
      </c>
      <c r="K69">
        <v>2.6788333215922</v>
      </c>
      <c r="L69">
        <v>2.7152871314690898</v>
      </c>
      <c r="M69">
        <v>2.5563821383099521</v>
      </c>
      <c r="N69">
        <v>2.801952225628324</v>
      </c>
      <c r="O69">
        <v>2.934828821585532</v>
      </c>
      <c r="P69">
        <v>2.905770742201462</v>
      </c>
      <c r="Q69">
        <v>3.0461856688354612</v>
      </c>
      <c r="R69">
        <v>3.116020032633124</v>
      </c>
      <c r="S69">
        <v>3.1193706329423239</v>
      </c>
      <c r="T69">
        <v>3.2098830801481122</v>
      </c>
      <c r="U69">
        <v>2.854583093954199</v>
      </c>
      <c r="V69">
        <v>2.8929492206392919</v>
      </c>
      <c r="W69">
        <v>3.136967905408361</v>
      </c>
      <c r="X69">
        <v>2.8396186845346332</v>
      </c>
      <c r="Y69">
        <v>3.149960735300402</v>
      </c>
      <c r="Z69">
        <v>3.1149907512425359</v>
      </c>
      <c r="AA69">
        <v>3.1028549198207851</v>
      </c>
      <c r="AB69">
        <v>3.261973779195297</v>
      </c>
      <c r="AC69">
        <v>3.1572418087619378</v>
      </c>
      <c r="AD69">
        <v>2.8786958960333568</v>
      </c>
      <c r="AE69">
        <v>3.024739352982893</v>
      </c>
      <c r="AF69">
        <v>2.9773235451247539</v>
      </c>
      <c r="AG69">
        <v>3.10388229166406</v>
      </c>
      <c r="AH69">
        <v>3.305171179730106</v>
      </c>
      <c r="AI69">
        <v>3.1695837644568678</v>
      </c>
      <c r="AJ69">
        <v>2.97924885982659</v>
      </c>
      <c r="AK69">
        <v>4.2001690246156151</v>
      </c>
      <c r="AL69">
        <v>4.9558582270755576</v>
      </c>
    </row>
    <row r="70" spans="1:38" x14ac:dyDescent="0.35">
      <c r="A70" t="s">
        <v>83</v>
      </c>
      <c r="B70">
        <v>4.4023319706063084</v>
      </c>
      <c r="C70">
        <v>3.706149094756841</v>
      </c>
      <c r="D70">
        <v>2.6399217280176601</v>
      </c>
      <c r="E70">
        <v>2.7891330080484442</v>
      </c>
      <c r="F70">
        <v>2.9697021104071371</v>
      </c>
      <c r="G70">
        <v>2.4140859767610818</v>
      </c>
      <c r="H70">
        <v>2.423795178733799</v>
      </c>
      <c r="I70">
        <v>2.2418649253017051</v>
      </c>
      <c r="J70">
        <v>1.895712409974361</v>
      </c>
      <c r="K70">
        <v>1.909453306189584</v>
      </c>
      <c r="L70">
        <v>2.405312606705841</v>
      </c>
      <c r="M70">
        <v>2.3129117629293909</v>
      </c>
      <c r="N70">
        <v>2.4740773527937252</v>
      </c>
      <c r="O70">
        <v>2.4846361585551371</v>
      </c>
      <c r="P70">
        <v>2.0479829340572921</v>
      </c>
      <c r="Q70">
        <v>3.3377344735471328</v>
      </c>
      <c r="R70">
        <v>3.0649696657196741</v>
      </c>
      <c r="S70">
        <v>3.143374911116656</v>
      </c>
      <c r="T70">
        <v>3.534642192165022</v>
      </c>
      <c r="U70">
        <v>3.4438661448890469</v>
      </c>
      <c r="V70">
        <v>3.2149136425612208</v>
      </c>
      <c r="W70">
        <v>3.6834141528566779</v>
      </c>
      <c r="X70">
        <v>2.7587432213056799</v>
      </c>
      <c r="Y70">
        <v>3.2133807609361269</v>
      </c>
      <c r="Z70">
        <v>2.9695261142694069</v>
      </c>
      <c r="AA70">
        <v>2.2870567675339881</v>
      </c>
      <c r="AB70">
        <v>2.721102047744687</v>
      </c>
      <c r="AC70">
        <v>3.3105863114342209</v>
      </c>
      <c r="AD70">
        <v>2.967431455219848</v>
      </c>
      <c r="AE70">
        <v>2.8331818071931121</v>
      </c>
      <c r="AF70">
        <v>3.029723542391852</v>
      </c>
      <c r="AG70">
        <v>3.236116716027833</v>
      </c>
      <c r="AH70">
        <v>2.983476692374595</v>
      </c>
      <c r="AI70">
        <v>3.3107470190378829</v>
      </c>
      <c r="AJ70">
        <v>3.1476888762392141</v>
      </c>
      <c r="AK70">
        <v>4.7975319376421712</v>
      </c>
      <c r="AL70">
        <v>2.5373316910308121</v>
      </c>
    </row>
    <row r="71" spans="1:38" x14ac:dyDescent="0.35">
      <c r="A71" t="s">
        <v>84</v>
      </c>
      <c r="B71">
        <v>4.5224086803773593</v>
      </c>
      <c r="C71">
        <v>4.4858861293752366</v>
      </c>
      <c r="D71">
        <v>4.1209068229331773</v>
      </c>
      <c r="E71">
        <v>4.0554620807827391</v>
      </c>
      <c r="F71">
        <v>4.1820156487741409</v>
      </c>
      <c r="G71">
        <v>4.0746238751228772</v>
      </c>
      <c r="H71">
        <v>3.9201902385765148</v>
      </c>
      <c r="I71">
        <v>4.1660984843782582</v>
      </c>
      <c r="J71">
        <v>4.4062980063701769</v>
      </c>
      <c r="K71">
        <v>3.9040390799622449</v>
      </c>
      <c r="L71">
        <v>4.1117265296241063</v>
      </c>
      <c r="M71">
        <v>4.0343303233604244</v>
      </c>
      <c r="N71">
        <v>4.1407186308428292</v>
      </c>
      <c r="O71">
        <v>4.0202434682836987</v>
      </c>
      <c r="P71">
        <v>3.8540170571372481</v>
      </c>
      <c r="Q71">
        <v>4.3796902991777271</v>
      </c>
      <c r="R71">
        <v>4.4912342840809396</v>
      </c>
      <c r="S71">
        <v>4.6583017111342091</v>
      </c>
      <c r="T71">
        <v>4.4024009996164306</v>
      </c>
      <c r="U71">
        <v>4.6440159567804482</v>
      </c>
      <c r="V71">
        <v>4.3259007881358738</v>
      </c>
      <c r="W71">
        <v>4.3924237457902722</v>
      </c>
      <c r="X71">
        <v>4.5038166343151529</v>
      </c>
      <c r="Y71">
        <v>4.1931260379064561</v>
      </c>
      <c r="Z71">
        <v>4.0647400760927566</v>
      </c>
      <c r="AA71">
        <v>4.0513851241761394</v>
      </c>
      <c r="AB71">
        <v>4.3758135622931924</v>
      </c>
      <c r="AC71">
        <v>4.241600114836694</v>
      </c>
      <c r="AD71">
        <v>4.0187668316106873</v>
      </c>
      <c r="AE71">
        <v>3.9821783812901268</v>
      </c>
      <c r="AF71">
        <v>4.1024095796988469</v>
      </c>
      <c r="AG71">
        <v>4.2931173757079408</v>
      </c>
      <c r="AH71">
        <v>4.2172308090196848</v>
      </c>
      <c r="AI71">
        <v>4.5309025685826754</v>
      </c>
      <c r="AJ71">
        <v>3.9891804321063731</v>
      </c>
      <c r="AK71">
        <v>4.7186584581722864</v>
      </c>
      <c r="AL71">
        <v>3.9263243060711921</v>
      </c>
    </row>
    <row r="72" spans="1:38" x14ac:dyDescent="0.35">
      <c r="A72" t="s">
        <v>85</v>
      </c>
      <c r="B72">
        <v>0.16552974940101409</v>
      </c>
      <c r="C72">
        <v>3.4825341332517107E-2</v>
      </c>
      <c r="D72">
        <v>-3.3757832898774591E-3</v>
      </c>
      <c r="E72">
        <v>1.9970234244527769E-2</v>
      </c>
      <c r="F72">
        <v>9.6886462961740222E-2</v>
      </c>
      <c r="G72">
        <v>-0.15849131727913279</v>
      </c>
      <c r="H72">
        <v>-2.2224897061793151E-2</v>
      </c>
      <c r="I72">
        <v>0.12555554496749641</v>
      </c>
      <c r="J72">
        <v>-1.0735761309174989E-2</v>
      </c>
      <c r="K72">
        <v>3.6311922628490201E-2</v>
      </c>
      <c r="L72">
        <v>0.15027068415653849</v>
      </c>
      <c r="M72">
        <v>0.16020264797512559</v>
      </c>
      <c r="N72">
        <v>7.3496005310223309E-2</v>
      </c>
      <c r="O72">
        <v>0.17186094819371231</v>
      </c>
      <c r="P72">
        <v>0.1847344374066508</v>
      </c>
      <c r="Q72">
        <v>0.2414584558201345</v>
      </c>
      <c r="R72">
        <v>0.34774301610556457</v>
      </c>
      <c r="S72">
        <v>0.40001241280905242</v>
      </c>
      <c r="T72">
        <v>0.36395159289009782</v>
      </c>
      <c r="U72">
        <v>0.30954177119943482</v>
      </c>
      <c r="V72">
        <v>0.3671200637613059</v>
      </c>
      <c r="W72">
        <v>0.30039959199326821</v>
      </c>
      <c r="X72">
        <v>0.29394136333890258</v>
      </c>
      <c r="Y72">
        <v>0.61383746424371688</v>
      </c>
      <c r="Z72">
        <v>0.41612440281377461</v>
      </c>
      <c r="AA72">
        <v>0.35133695950962762</v>
      </c>
      <c r="AB72">
        <v>0.46734503489383322</v>
      </c>
      <c r="AC72">
        <v>0.55102020856038036</v>
      </c>
      <c r="AD72">
        <v>0.3344805380915824</v>
      </c>
      <c r="AE72">
        <v>0.47231896986540461</v>
      </c>
      <c r="AF72">
        <v>0.37225160380572458</v>
      </c>
      <c r="AG72">
        <v>0.1056883105299458</v>
      </c>
      <c r="AH72">
        <v>9.2088302029647406E-2</v>
      </c>
      <c r="AI72">
        <v>0.35025372028625751</v>
      </c>
      <c r="AJ72">
        <v>0.22608326063673759</v>
      </c>
      <c r="AK72">
        <v>0.43985885596340729</v>
      </c>
      <c r="AL72">
        <v>3.4926225032691563E-2</v>
      </c>
    </row>
    <row r="73" spans="1:38" x14ac:dyDescent="0.35">
      <c r="A73" t="s">
        <v>86</v>
      </c>
      <c r="B73">
        <v>153.88214649771959</v>
      </c>
      <c r="C73">
        <v>153.0184303402589</v>
      </c>
      <c r="D73">
        <v>151.7186781978119</v>
      </c>
      <c r="E73">
        <v>151.9149709239575</v>
      </c>
      <c r="F73">
        <v>151.49028692436241</v>
      </c>
      <c r="G73">
        <v>150.44011899747881</v>
      </c>
      <c r="H73">
        <v>151.08934266838239</v>
      </c>
      <c r="I73">
        <v>150.87348501753999</v>
      </c>
      <c r="J73">
        <v>149.90088042790859</v>
      </c>
      <c r="K73">
        <v>150.03119916606909</v>
      </c>
      <c r="L73">
        <v>151.13310252604501</v>
      </c>
      <c r="M73">
        <v>150.85460445536779</v>
      </c>
      <c r="N73">
        <v>151.3604006372889</v>
      </c>
      <c r="O73">
        <v>151.58494045993689</v>
      </c>
      <c r="P73">
        <v>150.94494075902</v>
      </c>
      <c r="Q73">
        <v>152.8596428360793</v>
      </c>
      <c r="R73">
        <v>152.93002418324349</v>
      </c>
      <c r="S73">
        <v>153.46804870359401</v>
      </c>
      <c r="T73">
        <v>153.2554213615534</v>
      </c>
      <c r="U73">
        <v>153.16785095425541</v>
      </c>
      <c r="V73">
        <v>152.84750651511189</v>
      </c>
      <c r="W73">
        <v>153.33457287018439</v>
      </c>
      <c r="X73">
        <v>152.83224341434649</v>
      </c>
      <c r="Y73">
        <v>153.61031200747391</v>
      </c>
      <c r="Z73">
        <v>152.95315970248359</v>
      </c>
      <c r="AA73">
        <v>151.8427241623572</v>
      </c>
      <c r="AB73">
        <v>153.31813314909519</v>
      </c>
      <c r="AC73">
        <v>153.26429394792359</v>
      </c>
      <c r="AD73">
        <v>152.3131742130509</v>
      </c>
      <c r="AE73">
        <v>152.62291448581249</v>
      </c>
      <c r="AF73">
        <v>152.67018808640739</v>
      </c>
      <c r="AG73">
        <v>153.30672035377671</v>
      </c>
      <c r="AH73">
        <v>153.2987170662347</v>
      </c>
      <c r="AI73">
        <v>153.6899176660182</v>
      </c>
      <c r="AJ73">
        <v>153.29135793948129</v>
      </c>
      <c r="AK73">
        <v>157.0237598832332</v>
      </c>
      <c r="AL73">
        <v>153.94862552574239</v>
      </c>
    </row>
    <row r="74" spans="1:38" x14ac:dyDescent="0.35">
      <c r="A74" t="s">
        <v>87</v>
      </c>
      <c r="B74">
        <v>17536399.800000001</v>
      </c>
      <c r="C74">
        <v>20222135.899999999</v>
      </c>
      <c r="D74">
        <v>19333967.43</v>
      </c>
      <c r="E74">
        <v>20695514.030000001</v>
      </c>
      <c r="F74">
        <v>23884081.16</v>
      </c>
      <c r="G74">
        <v>25176186.559999999</v>
      </c>
      <c r="H74">
        <v>27660444.34</v>
      </c>
      <c r="I74">
        <v>35653788.619999997</v>
      </c>
      <c r="J74">
        <v>56757431.560000002</v>
      </c>
      <c r="K74">
        <v>42213475.450000003</v>
      </c>
      <c r="L74">
        <v>40202645.359999999</v>
      </c>
      <c r="M74">
        <v>34236443.200000003</v>
      </c>
      <c r="N74">
        <v>36095003.509999998</v>
      </c>
      <c r="O74">
        <v>35738652.18</v>
      </c>
      <c r="P74">
        <v>31618259.010000009</v>
      </c>
      <c r="Q74">
        <v>33396056.84</v>
      </c>
      <c r="R74">
        <v>33772457.060000002</v>
      </c>
      <c r="S74">
        <v>34310799.290000007</v>
      </c>
      <c r="T74">
        <v>34165168.780000001</v>
      </c>
      <c r="U74">
        <v>29364414.960000001</v>
      </c>
      <c r="V74">
        <v>30875007.91</v>
      </c>
      <c r="W74">
        <v>31731981.379999999</v>
      </c>
      <c r="X74">
        <v>28074967.25</v>
      </c>
      <c r="Y74">
        <v>27458738.57</v>
      </c>
      <c r="Z74">
        <v>28117085.57</v>
      </c>
      <c r="AA74">
        <v>28258155.75</v>
      </c>
      <c r="AB74">
        <v>27679729.27</v>
      </c>
      <c r="AC74">
        <v>27959891.719999999</v>
      </c>
      <c r="AD74">
        <v>27092076.670000002</v>
      </c>
      <c r="AE74">
        <v>27818238.969999999</v>
      </c>
      <c r="AF74">
        <v>26497670.100000001</v>
      </c>
      <c r="AG74">
        <v>23688253.5</v>
      </c>
      <c r="AH74">
        <v>22530347.920000002</v>
      </c>
      <c r="AI74">
        <v>21831270.34</v>
      </c>
      <c r="AJ74">
        <v>20173857.850000001</v>
      </c>
      <c r="AK74">
        <v>11162702.57</v>
      </c>
      <c r="AL74">
        <v>1111147.8999999999</v>
      </c>
    </row>
    <row r="75" spans="1:38" x14ac:dyDescent="0.35">
      <c r="A75" t="s">
        <v>88</v>
      </c>
      <c r="B75">
        <v>1.4833640630330669</v>
      </c>
      <c r="C75">
        <v>1.4778488476680871</v>
      </c>
      <c r="D75">
        <v>1.493210067355849</v>
      </c>
      <c r="E75">
        <v>1.513177505429012</v>
      </c>
      <c r="F75">
        <v>1.493979150168375</v>
      </c>
      <c r="G75">
        <v>1.4929589057018671</v>
      </c>
      <c r="H75">
        <v>1.504378264333353</v>
      </c>
      <c r="I75">
        <v>1.4935893856532969</v>
      </c>
      <c r="J75">
        <v>1.4748771102961511</v>
      </c>
      <c r="K75">
        <v>1.5091383439352299</v>
      </c>
      <c r="L75">
        <v>1.497124773641334</v>
      </c>
      <c r="M75">
        <v>1.5033295749836799</v>
      </c>
      <c r="N75">
        <v>1.499681085589015</v>
      </c>
      <c r="O75">
        <v>1.5126674531009741</v>
      </c>
      <c r="P75">
        <v>1.5190176206361741</v>
      </c>
      <c r="Q75">
        <v>1.49494058364397</v>
      </c>
      <c r="R75">
        <v>1.49196639289804</v>
      </c>
      <c r="S75">
        <v>1.4762559831140749</v>
      </c>
      <c r="T75">
        <v>1.484921375844162</v>
      </c>
      <c r="U75">
        <v>1.480507145192085</v>
      </c>
      <c r="V75">
        <v>1.490548827900378</v>
      </c>
      <c r="W75">
        <v>1.4968285897411271</v>
      </c>
      <c r="X75">
        <v>1.4895624121920039</v>
      </c>
      <c r="Y75">
        <v>1.5122899715468809</v>
      </c>
      <c r="Z75">
        <v>1.5212770910566391</v>
      </c>
      <c r="AA75">
        <v>1.512417275028854</v>
      </c>
      <c r="AB75">
        <v>1.500157049979753</v>
      </c>
      <c r="AC75">
        <v>1.506467283967502</v>
      </c>
      <c r="AD75">
        <v>1.5314672009212229</v>
      </c>
      <c r="AE75">
        <v>1.5205435138605989</v>
      </c>
      <c r="AF75">
        <v>1.525212737140784</v>
      </c>
      <c r="AG75">
        <v>1.51653562406201</v>
      </c>
      <c r="AH75">
        <v>1.516399021898355</v>
      </c>
      <c r="AI75">
        <v>1.5003676559953321</v>
      </c>
      <c r="AJ75">
        <v>1.529448336050055</v>
      </c>
      <c r="AK75">
        <v>1.4714174341451931</v>
      </c>
      <c r="AL75">
        <v>1.553632367472686</v>
      </c>
    </row>
    <row r="76" spans="1:38" x14ac:dyDescent="0.35">
      <c r="A76" t="s">
        <v>89</v>
      </c>
      <c r="B76">
        <v>0.24569930663892589</v>
      </c>
      <c r="C76">
        <v>0.2471338221143593</v>
      </c>
      <c r="D76">
        <v>0.2475117779007224</v>
      </c>
      <c r="E76">
        <v>0.24761850383684331</v>
      </c>
      <c r="F76">
        <v>0.246196273543584</v>
      </c>
      <c r="G76">
        <v>0.24951424951596321</v>
      </c>
      <c r="H76">
        <v>0.24763550216171251</v>
      </c>
      <c r="I76">
        <v>0.24583914024837231</v>
      </c>
      <c r="J76">
        <v>0.24770797630813371</v>
      </c>
      <c r="K76">
        <v>0.24692152409460039</v>
      </c>
      <c r="L76">
        <v>0.24534270294359059</v>
      </c>
      <c r="M76">
        <v>0.24524143049483019</v>
      </c>
      <c r="N76">
        <v>0.24666382892527811</v>
      </c>
      <c r="O76">
        <v>0.2453800918024435</v>
      </c>
      <c r="P76">
        <v>0.2450148386140695</v>
      </c>
      <c r="Q76">
        <v>0.24472019023909591</v>
      </c>
      <c r="R76">
        <v>0.24328601421539561</v>
      </c>
      <c r="S76">
        <v>0.24243568568670321</v>
      </c>
      <c r="T76">
        <v>0.24264487820826741</v>
      </c>
      <c r="U76">
        <v>0.24385660090786021</v>
      </c>
      <c r="V76">
        <v>0.24263209406850639</v>
      </c>
      <c r="W76">
        <v>0.2439844311963667</v>
      </c>
      <c r="X76">
        <v>0.2441340780107944</v>
      </c>
      <c r="Y76">
        <v>0.23954715826182979</v>
      </c>
      <c r="Z76">
        <v>0.24231883855329461</v>
      </c>
      <c r="AA76">
        <v>0.24298781104533521</v>
      </c>
      <c r="AB76">
        <v>0.24164861081489911</v>
      </c>
      <c r="AC76">
        <v>0.24039275548260239</v>
      </c>
      <c r="AD76">
        <v>0.24368590216011671</v>
      </c>
      <c r="AE76">
        <v>0.2412660691456415</v>
      </c>
      <c r="AF76">
        <v>0.24327040922318671</v>
      </c>
      <c r="AG76">
        <v>0.24722005321641799</v>
      </c>
      <c r="AH76">
        <v>0.24723137950827531</v>
      </c>
      <c r="AI76">
        <v>0.24373392955574569</v>
      </c>
      <c r="AJ76">
        <v>0.24515775547585711</v>
      </c>
      <c r="AK76">
        <v>0.24189068059886509</v>
      </c>
      <c r="AL76">
        <v>0.24820944841816289</v>
      </c>
    </row>
    <row r="78" spans="1:38" x14ac:dyDescent="0.35">
      <c r="A78" t="s">
        <v>96</v>
      </c>
      <c r="B78" t="s">
        <v>153</v>
      </c>
      <c r="C78" t="s">
        <v>154</v>
      </c>
      <c r="D78" t="s">
        <v>155</v>
      </c>
      <c r="E78" t="s">
        <v>156</v>
      </c>
      <c r="F78" t="s">
        <v>157</v>
      </c>
      <c r="G78" t="s">
        <v>158</v>
      </c>
      <c r="H78" t="s">
        <v>159</v>
      </c>
      <c r="I78" t="s">
        <v>160</v>
      </c>
      <c r="J78" t="s">
        <v>161</v>
      </c>
      <c r="K78" t="s">
        <v>162</v>
      </c>
      <c r="L78" t="s">
        <v>163</v>
      </c>
      <c r="M78" t="s">
        <v>129</v>
      </c>
      <c r="N78" t="s">
        <v>130</v>
      </c>
      <c r="O78" t="s">
        <v>131</v>
      </c>
      <c r="P78" t="s">
        <v>132</v>
      </c>
      <c r="Q78" t="s">
        <v>133</v>
      </c>
      <c r="R78" t="s">
        <v>134</v>
      </c>
      <c r="S78" t="s">
        <v>135</v>
      </c>
      <c r="T78" t="s">
        <v>136</v>
      </c>
      <c r="U78" t="s">
        <v>137</v>
      </c>
      <c r="V78" t="s">
        <v>138</v>
      </c>
      <c r="W78" t="s">
        <v>139</v>
      </c>
      <c r="X78" t="s">
        <v>140</v>
      </c>
      <c r="Y78" t="s">
        <v>141</v>
      </c>
      <c r="Z78" t="s">
        <v>142</v>
      </c>
      <c r="AA78" t="s">
        <v>143</v>
      </c>
      <c r="AB78" t="s">
        <v>144</v>
      </c>
      <c r="AC78" t="s">
        <v>145</v>
      </c>
      <c r="AD78" t="s">
        <v>146</v>
      </c>
      <c r="AE78" t="s">
        <v>147</v>
      </c>
      <c r="AF78" t="s">
        <v>148</v>
      </c>
      <c r="AG78" t="s">
        <v>149</v>
      </c>
      <c r="AH78" t="s">
        <v>150</v>
      </c>
      <c r="AI78" t="s">
        <v>151</v>
      </c>
      <c r="AJ78" t="s">
        <v>152</v>
      </c>
      <c r="AK78" t="s">
        <v>164</v>
      </c>
      <c r="AL78" t="s">
        <v>165</v>
      </c>
    </row>
    <row r="79" spans="1:38" x14ac:dyDescent="0.35">
      <c r="A79" t="s">
        <v>81</v>
      </c>
      <c r="B79">
        <v>141.3036403805167</v>
      </c>
      <c r="C79">
        <v>141.15943405388401</v>
      </c>
      <c r="D79">
        <v>141.42629973919071</v>
      </c>
      <c r="E79">
        <v>141.38143156387301</v>
      </c>
      <c r="F79">
        <v>141.04463671144731</v>
      </c>
      <c r="G79">
        <v>141.1581493598411</v>
      </c>
      <c r="H79">
        <v>141.2737932823095</v>
      </c>
      <c r="I79">
        <v>141.2291975686984</v>
      </c>
      <c r="J79">
        <v>141.05086695026361</v>
      </c>
      <c r="K79">
        <v>141.28461743258629</v>
      </c>
      <c r="L79">
        <v>141.5462284026687</v>
      </c>
      <c r="M79">
        <v>141.5196717855452</v>
      </c>
      <c r="N79">
        <v>141.56351378100999</v>
      </c>
      <c r="O79">
        <v>141.7606558047064</v>
      </c>
      <c r="P79">
        <v>141.76770993654711</v>
      </c>
      <c r="Q79">
        <v>141.69718308194891</v>
      </c>
      <c r="R79">
        <v>141.82435724779251</v>
      </c>
      <c r="S79">
        <v>141.9513752693951</v>
      </c>
      <c r="T79">
        <v>141.67534499667451</v>
      </c>
      <c r="U79">
        <v>142.15351396891691</v>
      </c>
      <c r="V79">
        <v>142.2466841942362</v>
      </c>
      <c r="W79">
        <v>142.1043193838685</v>
      </c>
      <c r="X79">
        <v>142.56456681290169</v>
      </c>
      <c r="Y79">
        <v>142.55651129739601</v>
      </c>
      <c r="Z79">
        <v>142.63600026326191</v>
      </c>
      <c r="AA79">
        <v>142.30531788714009</v>
      </c>
      <c r="AB79">
        <v>142.78899301280049</v>
      </c>
      <c r="AC79">
        <v>142.3500024440059</v>
      </c>
      <c r="AD79">
        <v>142.41731676165449</v>
      </c>
      <c r="AE79">
        <v>142.61591908210141</v>
      </c>
      <c r="AF79">
        <v>142.51799416670241</v>
      </c>
      <c r="AG79">
        <v>142.8497371261532</v>
      </c>
      <c r="AH79">
        <v>143.15453111891321</v>
      </c>
      <c r="AI79">
        <v>142.76291139003999</v>
      </c>
      <c r="AJ79">
        <v>143.29727317062199</v>
      </c>
      <c r="AK79">
        <v>143.13330440841321</v>
      </c>
      <c r="AL79">
        <v>142.49418507653209</v>
      </c>
    </row>
    <row r="80" spans="1:38" x14ac:dyDescent="0.35">
      <c r="A80" t="s">
        <v>82</v>
      </c>
      <c r="B80">
        <v>2.6183742589188279</v>
      </c>
      <c r="C80">
        <v>2.6685681011965459</v>
      </c>
      <c r="D80">
        <v>2.503425785792778</v>
      </c>
      <c r="E80">
        <v>2.7696776754286252</v>
      </c>
      <c r="F80">
        <v>2.4403148411407809</v>
      </c>
      <c r="G80">
        <v>2.4615853546445039</v>
      </c>
      <c r="H80">
        <v>2.7003442532156101</v>
      </c>
      <c r="I80">
        <v>2.4901378032386892</v>
      </c>
      <c r="J80">
        <v>1.777937511138769</v>
      </c>
      <c r="K80">
        <v>2.3345948628050261</v>
      </c>
      <c r="L80">
        <v>2.3499485233534738</v>
      </c>
      <c r="M80">
        <v>2.2289293096872358</v>
      </c>
      <c r="N80">
        <v>2.475031408360207</v>
      </c>
      <c r="O80">
        <v>2.5486909641850222</v>
      </c>
      <c r="P80">
        <v>2.597642254290859</v>
      </c>
      <c r="Q80">
        <v>2.724560799648216</v>
      </c>
      <c r="R80">
        <v>2.7892746698051591</v>
      </c>
      <c r="S80">
        <v>2.7468102176325062</v>
      </c>
      <c r="T80">
        <v>2.8664400065998512</v>
      </c>
      <c r="U80">
        <v>2.6018154621865901</v>
      </c>
      <c r="V80">
        <v>2.672887653876574</v>
      </c>
      <c r="W80">
        <v>2.922958153553382</v>
      </c>
      <c r="X80">
        <v>2.5648884856996088</v>
      </c>
      <c r="Y80">
        <v>2.8097629439273399</v>
      </c>
      <c r="Z80">
        <v>2.739659016826097</v>
      </c>
      <c r="AA80">
        <v>2.745763128521197</v>
      </c>
      <c r="AB80">
        <v>2.9683991102538378</v>
      </c>
      <c r="AC80">
        <v>2.8568250521297611</v>
      </c>
      <c r="AD80">
        <v>2.6651491253048301</v>
      </c>
      <c r="AE80">
        <v>2.7233918798469809</v>
      </c>
      <c r="AF80">
        <v>2.7104587841586198</v>
      </c>
      <c r="AG80">
        <v>2.7916725490708552</v>
      </c>
      <c r="AH80">
        <v>2.8805005115758888</v>
      </c>
      <c r="AI80">
        <v>2.8296687150547499</v>
      </c>
      <c r="AJ80">
        <v>2.6754550439175122</v>
      </c>
      <c r="AK80">
        <v>3.9764376772329242</v>
      </c>
      <c r="AL80">
        <v>4.9558582270755576</v>
      </c>
    </row>
    <row r="81" spans="1:38" x14ac:dyDescent="0.35">
      <c r="A81" t="s">
        <v>83</v>
      </c>
      <c r="B81">
        <v>4.0734586767544414</v>
      </c>
      <c r="C81">
        <v>3.5511770480583049</v>
      </c>
      <c r="D81">
        <v>2.7154973794974868</v>
      </c>
      <c r="E81">
        <v>2.8818939523675509</v>
      </c>
      <c r="F81">
        <v>3.013243175714226</v>
      </c>
      <c r="G81">
        <v>2.4857009393255631</v>
      </c>
      <c r="H81">
        <v>2.5801492446050811</v>
      </c>
      <c r="I81">
        <v>2.3634021886420622</v>
      </c>
      <c r="J81">
        <v>2.1312549385300712</v>
      </c>
      <c r="K81">
        <v>2.0989037096010832</v>
      </c>
      <c r="L81">
        <v>2.4344102802913978</v>
      </c>
      <c r="M81">
        <v>2.3437089017404169</v>
      </c>
      <c r="N81">
        <v>2.5534508399561751</v>
      </c>
      <c r="O81">
        <v>2.3804564807145749</v>
      </c>
      <c r="P81">
        <v>2.0322237321268162</v>
      </c>
      <c r="Q81">
        <v>3.158551910340345</v>
      </c>
      <c r="R81">
        <v>2.9301532396025598</v>
      </c>
      <c r="S81">
        <v>2.9794139563085</v>
      </c>
      <c r="T81">
        <v>3.2591155356694528</v>
      </c>
      <c r="U81">
        <v>3.1263298573016982</v>
      </c>
      <c r="V81">
        <v>2.972892164278008</v>
      </c>
      <c r="W81">
        <v>3.353155715996416</v>
      </c>
      <c r="X81">
        <v>2.498451702202571</v>
      </c>
      <c r="Y81">
        <v>2.8762074958287038</v>
      </c>
      <c r="Z81">
        <v>2.638818117437614</v>
      </c>
      <c r="AA81">
        <v>2.0427800998194781</v>
      </c>
      <c r="AB81">
        <v>2.4496131397906962</v>
      </c>
      <c r="AC81">
        <v>2.8240047553558791</v>
      </c>
      <c r="AD81">
        <v>2.5761885611856412</v>
      </c>
      <c r="AE81">
        <v>2.512463900799228</v>
      </c>
      <c r="AF81">
        <v>2.6254392368661441</v>
      </c>
      <c r="AG81">
        <v>2.7306163222635829</v>
      </c>
      <c r="AH81">
        <v>2.3031827854578859</v>
      </c>
      <c r="AI81">
        <v>2.72168495105088</v>
      </c>
      <c r="AJ81">
        <v>2.6136087689374592</v>
      </c>
      <c r="AK81">
        <v>4.1388415115690718</v>
      </c>
      <c r="AL81">
        <v>2.5373316910308121</v>
      </c>
    </row>
    <row r="82" spans="1:38" x14ac:dyDescent="0.35">
      <c r="A82" t="s">
        <v>84</v>
      </c>
      <c r="B82">
        <v>3.6739326975128561</v>
      </c>
      <c r="C82">
        <v>3.7622534578955071</v>
      </c>
      <c r="D82">
        <v>3.3464250099996171</v>
      </c>
      <c r="E82">
        <v>3.4650125035742141</v>
      </c>
      <c r="F82">
        <v>3.5609844122627559</v>
      </c>
      <c r="G82">
        <v>3.5125064334214331</v>
      </c>
      <c r="H82">
        <v>3.4739538112346868</v>
      </c>
      <c r="I82">
        <v>3.678979988415195</v>
      </c>
      <c r="J82">
        <v>3.8694482084880399</v>
      </c>
      <c r="K82">
        <v>3.469927674070592</v>
      </c>
      <c r="L82">
        <v>3.7079442294008809</v>
      </c>
      <c r="M82">
        <v>3.64511881348287</v>
      </c>
      <c r="N82">
        <v>3.715750825827413</v>
      </c>
      <c r="O82">
        <v>3.6394345426118582</v>
      </c>
      <c r="P82">
        <v>3.6163163672583192</v>
      </c>
      <c r="Q82">
        <v>4.0866975401181991</v>
      </c>
      <c r="R82">
        <v>4.1640943145044389</v>
      </c>
      <c r="S82">
        <v>4.3838374554334143</v>
      </c>
      <c r="T82">
        <v>4.1013893271671682</v>
      </c>
      <c r="U82">
        <v>4.3596360083177128</v>
      </c>
      <c r="V82">
        <v>4.0294496161663558</v>
      </c>
      <c r="W82">
        <v>4.1333149414907924</v>
      </c>
      <c r="X82">
        <v>4.172778116975091</v>
      </c>
      <c r="Y82">
        <v>3.8495788507566622</v>
      </c>
      <c r="Z82">
        <v>3.6969037839821008</v>
      </c>
      <c r="AA82">
        <v>3.7238837660967459</v>
      </c>
      <c r="AB82">
        <v>4.016769371024238</v>
      </c>
      <c r="AC82">
        <v>3.9348023812882231</v>
      </c>
      <c r="AD82">
        <v>3.7307133205279732</v>
      </c>
      <c r="AE82">
        <v>3.71538796516493</v>
      </c>
      <c r="AF82">
        <v>3.8272266283421881</v>
      </c>
      <c r="AG82">
        <v>4.0368568904307143</v>
      </c>
      <c r="AH82">
        <v>3.839015476991706</v>
      </c>
      <c r="AI82">
        <v>4.1984161874087302</v>
      </c>
      <c r="AJ82">
        <v>3.7175703093569581</v>
      </c>
      <c r="AK82">
        <v>4.3154583164553468</v>
      </c>
      <c r="AL82">
        <v>3.9263243060711921</v>
      </c>
    </row>
    <row r="83" spans="1:38" x14ac:dyDescent="0.35">
      <c r="A83" t="s">
        <v>85</v>
      </c>
      <c r="B83">
        <v>0.1142190244986781</v>
      </c>
      <c r="C83">
        <v>3.140989000612735E-3</v>
      </c>
      <c r="D83">
        <v>-5.6717151818697513E-2</v>
      </c>
      <c r="E83">
        <v>-4.3660569831009077E-2</v>
      </c>
      <c r="F83">
        <v>2.4036098050796779E-2</v>
      </c>
      <c r="G83">
        <v>-0.1336061706520949</v>
      </c>
      <c r="H83">
        <v>-6.5696721243491379E-2</v>
      </c>
      <c r="I83">
        <v>7.9040550574507012E-2</v>
      </c>
      <c r="J83">
        <v>-5.0269526989634321E-2</v>
      </c>
      <c r="K83">
        <v>6.7240570113901226E-3</v>
      </c>
      <c r="L83">
        <v>9.6158574085928233E-2</v>
      </c>
      <c r="M83">
        <v>8.7818872495214015E-2</v>
      </c>
      <c r="N83">
        <v>3.9215286935301803E-2</v>
      </c>
      <c r="O83">
        <v>0.1202158256134597</v>
      </c>
      <c r="P83">
        <v>0.15100928165371619</v>
      </c>
      <c r="Q83">
        <v>0.2021497770497479</v>
      </c>
      <c r="R83">
        <v>0.30549448929314532</v>
      </c>
      <c r="S83">
        <v>0.3291581801205295</v>
      </c>
      <c r="T83">
        <v>0.31878958574724919</v>
      </c>
      <c r="U83">
        <v>0.2703607457521412</v>
      </c>
      <c r="V83">
        <v>0.31872486710387049</v>
      </c>
      <c r="W83">
        <v>0.28590762552413251</v>
      </c>
      <c r="X83">
        <v>0.24035646962523979</v>
      </c>
      <c r="Y83">
        <v>0.49789113899656001</v>
      </c>
      <c r="Z83">
        <v>0.34571799254244401</v>
      </c>
      <c r="AA83">
        <v>0.25323414277101292</v>
      </c>
      <c r="AB83">
        <v>0.38753904216661927</v>
      </c>
      <c r="AC83">
        <v>0.44752224138199942</v>
      </c>
      <c r="AD83">
        <v>0.2489199403949183</v>
      </c>
      <c r="AE83">
        <v>0.37887427979098293</v>
      </c>
      <c r="AF83">
        <v>0.30404727214428268</v>
      </c>
      <c r="AG83">
        <v>4.6224380466880877E-2</v>
      </c>
      <c r="AH83">
        <v>3.1716238917659442E-2</v>
      </c>
      <c r="AI83">
        <v>0.26295604284443791</v>
      </c>
      <c r="AJ83">
        <v>0.1643433587852581</v>
      </c>
      <c r="AK83">
        <v>0.33289721858871107</v>
      </c>
      <c r="AL83">
        <v>3.4926225032691563E-2</v>
      </c>
    </row>
    <row r="84" spans="1:38" x14ac:dyDescent="0.35">
      <c r="A84" t="s">
        <v>86</v>
      </c>
      <c r="B84">
        <v>151.78362503820151</v>
      </c>
      <c r="C84">
        <v>151.14457365003491</v>
      </c>
      <c r="D84">
        <v>149.93493076266191</v>
      </c>
      <c r="E84">
        <v>150.45435512541241</v>
      </c>
      <c r="F84">
        <v>150.08321523861579</v>
      </c>
      <c r="G84">
        <v>149.48433591658051</v>
      </c>
      <c r="H84">
        <v>149.96254387012129</v>
      </c>
      <c r="I84">
        <v>149.8407580995688</v>
      </c>
      <c r="J84">
        <v>148.77923808143089</v>
      </c>
      <c r="K84">
        <v>149.1947677360744</v>
      </c>
      <c r="L84">
        <v>150.13469000980041</v>
      </c>
      <c r="M84">
        <v>149.82524768295099</v>
      </c>
      <c r="N84">
        <v>150.3469621420891</v>
      </c>
      <c r="O84">
        <v>150.4494536178313</v>
      </c>
      <c r="P84">
        <v>150.1649015718769</v>
      </c>
      <c r="Q84">
        <v>151.86914310910541</v>
      </c>
      <c r="R84">
        <v>152.0133739609978</v>
      </c>
      <c r="S84">
        <v>152.39059507888999</v>
      </c>
      <c r="T84">
        <v>152.22107945185829</v>
      </c>
      <c r="U84">
        <v>152.51165604247501</v>
      </c>
      <c r="V84">
        <v>152.2406384956609</v>
      </c>
      <c r="W84">
        <v>152.7996558204332</v>
      </c>
      <c r="X84">
        <v>152.04104158740421</v>
      </c>
      <c r="Y84">
        <v>152.58995172690521</v>
      </c>
      <c r="Z84">
        <v>152.05709917405011</v>
      </c>
      <c r="AA84">
        <v>151.0709790243485</v>
      </c>
      <c r="AB84">
        <v>152.61131367603591</v>
      </c>
      <c r="AC84">
        <v>152.41315687416181</v>
      </c>
      <c r="AD84">
        <v>151.6382877090679</v>
      </c>
      <c r="AE84">
        <v>151.94603710770349</v>
      </c>
      <c r="AF84">
        <v>151.98516608821359</v>
      </c>
      <c r="AG84">
        <v>152.45510726838529</v>
      </c>
      <c r="AH84">
        <v>152.20894613185629</v>
      </c>
      <c r="AI84">
        <v>152.77563728639879</v>
      </c>
      <c r="AJ84">
        <v>152.4682506516192</v>
      </c>
      <c r="AK84">
        <v>155.89693913225921</v>
      </c>
      <c r="AL84">
        <v>153.94862552574239</v>
      </c>
    </row>
    <row r="85" spans="1:38" x14ac:dyDescent="0.35">
      <c r="A85" t="s">
        <v>87</v>
      </c>
      <c r="B85">
        <v>23245426.199999999</v>
      </c>
      <c r="C85">
        <v>26876798.57</v>
      </c>
      <c r="D85">
        <v>26123090.800000001</v>
      </c>
      <c r="E85">
        <v>26337107.59</v>
      </c>
      <c r="F85">
        <v>29865104.34</v>
      </c>
      <c r="G85">
        <v>30843287.010000002</v>
      </c>
      <c r="H85">
        <v>34333535.82</v>
      </c>
      <c r="I85">
        <v>44262788.180000007</v>
      </c>
      <c r="J85">
        <v>73178516.210000008</v>
      </c>
      <c r="K85">
        <v>51420431.159999996</v>
      </c>
      <c r="L85">
        <v>47983897.969999999</v>
      </c>
      <c r="M85">
        <v>41541848.869999997</v>
      </c>
      <c r="N85">
        <v>43490279.009999998</v>
      </c>
      <c r="O85">
        <v>42522630.530000001</v>
      </c>
      <c r="P85">
        <v>36784046.310000002</v>
      </c>
      <c r="Q85">
        <v>38337174.270000003</v>
      </c>
      <c r="R85">
        <v>38346736.729999997</v>
      </c>
      <c r="S85">
        <v>39193486.13000001</v>
      </c>
      <c r="T85">
        <v>38918551.109999999</v>
      </c>
      <c r="U85">
        <v>33028712.640000001</v>
      </c>
      <c r="V85">
        <v>34297592.009999998</v>
      </c>
      <c r="W85">
        <v>35441749.350000001</v>
      </c>
      <c r="X85">
        <v>31318927.84</v>
      </c>
      <c r="Y85">
        <v>31186388.079999998</v>
      </c>
      <c r="Z85">
        <v>32140585.07</v>
      </c>
      <c r="AA85">
        <v>32111993.899999999</v>
      </c>
      <c r="AB85">
        <v>31472674.07</v>
      </c>
      <c r="AC85">
        <v>31220541.289999999</v>
      </c>
      <c r="AD85">
        <v>30359934.920000002</v>
      </c>
      <c r="AE85">
        <v>31225081.079999998</v>
      </c>
      <c r="AF85">
        <v>29544202.43</v>
      </c>
      <c r="AG85">
        <v>26477044.07</v>
      </c>
      <c r="AH85">
        <v>26224466.859999999</v>
      </c>
      <c r="AI85">
        <v>24892890.27</v>
      </c>
      <c r="AJ85">
        <v>23001805.98</v>
      </c>
      <c r="AK85">
        <v>12677571.689999999</v>
      </c>
      <c r="AL85">
        <v>1111147.8999999999</v>
      </c>
    </row>
    <row r="86" spans="1:38" x14ac:dyDescent="0.35">
      <c r="A86" t="s">
        <v>88</v>
      </c>
      <c r="B86">
        <v>1.4541259355398031</v>
      </c>
      <c r="C86">
        <v>1.4407192253527159</v>
      </c>
      <c r="D86">
        <v>1.4582809923072639</v>
      </c>
      <c r="E86">
        <v>1.4775954204785959</v>
      </c>
      <c r="F86">
        <v>1.46781000612621</v>
      </c>
      <c r="G86">
        <v>1.470050976771718</v>
      </c>
      <c r="H86">
        <v>1.4692307330732051</v>
      </c>
      <c r="I86">
        <v>1.460000614553951</v>
      </c>
      <c r="J86">
        <v>1.4348318517390379</v>
      </c>
      <c r="K86">
        <v>1.477762771632851</v>
      </c>
      <c r="L86">
        <v>1.469004810577891</v>
      </c>
      <c r="M86">
        <v>1.469278632446809</v>
      </c>
      <c r="N86">
        <v>1.4695208593181111</v>
      </c>
      <c r="O86">
        <v>1.4823924245513329</v>
      </c>
      <c r="P86">
        <v>1.4863553260750471</v>
      </c>
      <c r="Q86">
        <v>1.468545021790004</v>
      </c>
      <c r="R86">
        <v>1.470826982607776</v>
      </c>
      <c r="S86">
        <v>1.4501890069365251</v>
      </c>
      <c r="T86">
        <v>1.4625342753029991</v>
      </c>
      <c r="U86">
        <v>1.4595803689094979</v>
      </c>
      <c r="V86">
        <v>1.475819381055576</v>
      </c>
      <c r="W86">
        <v>1.476546512996517</v>
      </c>
      <c r="X86">
        <v>1.474736080827638</v>
      </c>
      <c r="Y86">
        <v>1.492366149939035</v>
      </c>
      <c r="Z86">
        <v>1.501074716534438</v>
      </c>
      <c r="AA86">
        <v>1.4923660695724199</v>
      </c>
      <c r="AB86">
        <v>1.480846388871383</v>
      </c>
      <c r="AC86">
        <v>1.489781108953115</v>
      </c>
      <c r="AD86">
        <v>1.511274238515887</v>
      </c>
      <c r="AE86">
        <v>1.499729799046976</v>
      </c>
      <c r="AF86">
        <v>1.5058272235851531</v>
      </c>
      <c r="AG86">
        <v>1.494464276218993</v>
      </c>
      <c r="AH86">
        <v>1.4901574846322989</v>
      </c>
      <c r="AI86">
        <v>1.4768617051669211</v>
      </c>
      <c r="AJ86">
        <v>1.5027841200281491</v>
      </c>
      <c r="AK86">
        <v>1.456160541053555</v>
      </c>
      <c r="AL86">
        <v>1.553632367472686</v>
      </c>
    </row>
    <row r="87" spans="1:38" x14ac:dyDescent="0.35">
      <c r="A87" t="s">
        <v>89</v>
      </c>
      <c r="B87">
        <v>0.24322382258940889</v>
      </c>
      <c r="C87">
        <v>0.24445895450359811</v>
      </c>
      <c r="D87">
        <v>0.24503464800704061</v>
      </c>
      <c r="E87">
        <v>0.24576343218879629</v>
      </c>
      <c r="F87">
        <v>0.244717548976945</v>
      </c>
      <c r="G87">
        <v>0.24690793419599541</v>
      </c>
      <c r="H87">
        <v>0.24586239190179041</v>
      </c>
      <c r="I87">
        <v>0.24404659451678939</v>
      </c>
      <c r="J87">
        <v>0.24545552020730149</v>
      </c>
      <c r="K87">
        <v>0.24511674744033779</v>
      </c>
      <c r="L87">
        <v>0.24409039978658489</v>
      </c>
      <c r="M87">
        <v>0.2440719950349432</v>
      </c>
      <c r="N87">
        <v>0.2449916486139129</v>
      </c>
      <c r="O87">
        <v>0.24407016855817271</v>
      </c>
      <c r="P87">
        <v>0.243719569028919</v>
      </c>
      <c r="Q87">
        <v>0.2435843687613406</v>
      </c>
      <c r="R87">
        <v>0.24230855763154779</v>
      </c>
      <c r="S87">
        <v>0.2418096561187679</v>
      </c>
      <c r="T87">
        <v>0.24172130351740631</v>
      </c>
      <c r="U87">
        <v>0.24294316194349019</v>
      </c>
      <c r="V87">
        <v>0.24203848119537419</v>
      </c>
      <c r="W87">
        <v>0.2428018456658376</v>
      </c>
      <c r="X87">
        <v>0.243518542427824</v>
      </c>
      <c r="Y87">
        <v>0.23961186658163339</v>
      </c>
      <c r="Z87">
        <v>0.24166426466760019</v>
      </c>
      <c r="AA87">
        <v>0.24282828903335871</v>
      </c>
      <c r="AB87">
        <v>0.2411828312959427</v>
      </c>
      <c r="AC87">
        <v>0.24048596643283879</v>
      </c>
      <c r="AD87">
        <v>0.24345894816318669</v>
      </c>
      <c r="AE87">
        <v>0.24118114487438819</v>
      </c>
      <c r="AF87">
        <v>0.24284356270280269</v>
      </c>
      <c r="AG87">
        <v>0.2466233879336138</v>
      </c>
      <c r="AH87">
        <v>0.24618554486197861</v>
      </c>
      <c r="AI87">
        <v>0.24329143352432411</v>
      </c>
      <c r="AJ87">
        <v>0.24439383106065141</v>
      </c>
      <c r="AK87">
        <v>0.24184447039731161</v>
      </c>
      <c r="AL87">
        <v>0.24820944841816289</v>
      </c>
    </row>
    <row r="89" spans="1:38" x14ac:dyDescent="0.35">
      <c r="A89" t="s">
        <v>97</v>
      </c>
      <c r="B89" t="s">
        <v>153</v>
      </c>
      <c r="C89" t="s">
        <v>154</v>
      </c>
      <c r="D89" t="s">
        <v>155</v>
      </c>
      <c r="E89" t="s">
        <v>156</v>
      </c>
      <c r="F89" t="s">
        <v>157</v>
      </c>
      <c r="G89" t="s">
        <v>158</v>
      </c>
      <c r="H89" t="s">
        <v>159</v>
      </c>
      <c r="I89" t="s">
        <v>160</v>
      </c>
      <c r="J89" t="s">
        <v>161</v>
      </c>
      <c r="K89" t="s">
        <v>162</v>
      </c>
      <c r="L89" t="s">
        <v>163</v>
      </c>
      <c r="M89" t="s">
        <v>129</v>
      </c>
      <c r="N89" t="s">
        <v>130</v>
      </c>
      <c r="O89" t="s">
        <v>131</v>
      </c>
      <c r="P89" t="s">
        <v>132</v>
      </c>
      <c r="Q89" t="s">
        <v>133</v>
      </c>
      <c r="R89" t="s">
        <v>134</v>
      </c>
      <c r="S89" t="s">
        <v>135</v>
      </c>
      <c r="T89" t="s">
        <v>136</v>
      </c>
      <c r="U89" t="s">
        <v>137</v>
      </c>
      <c r="V89" t="s">
        <v>138</v>
      </c>
      <c r="W89" t="s">
        <v>139</v>
      </c>
      <c r="X89" t="s">
        <v>140</v>
      </c>
      <c r="Y89" t="s">
        <v>141</v>
      </c>
      <c r="Z89" t="s">
        <v>142</v>
      </c>
      <c r="AA89" t="s">
        <v>143</v>
      </c>
      <c r="AB89" t="s">
        <v>144</v>
      </c>
      <c r="AC89" t="s">
        <v>145</v>
      </c>
      <c r="AD89" t="s">
        <v>146</v>
      </c>
      <c r="AE89" t="s">
        <v>147</v>
      </c>
      <c r="AF89" t="s">
        <v>148</v>
      </c>
      <c r="AG89" t="s">
        <v>149</v>
      </c>
      <c r="AH89" t="s">
        <v>150</v>
      </c>
      <c r="AI89" t="s">
        <v>151</v>
      </c>
      <c r="AJ89" t="s">
        <v>152</v>
      </c>
      <c r="AK89" t="s">
        <v>164</v>
      </c>
      <c r="AL89" t="s">
        <v>165</v>
      </c>
    </row>
    <row r="90" spans="1:38" x14ac:dyDescent="0.35">
      <c r="A90" t="s">
        <v>81</v>
      </c>
      <c r="B90">
        <v>141.7175233985952</v>
      </c>
      <c r="C90">
        <v>141.49635119385189</v>
      </c>
      <c r="D90">
        <v>141.46583510619479</v>
      </c>
      <c r="E90">
        <v>141.6648659747857</v>
      </c>
      <c r="F90">
        <v>141.31420474667351</v>
      </c>
      <c r="G90">
        <v>141.694464874358</v>
      </c>
      <c r="H90">
        <v>141.8385629016343</v>
      </c>
      <c r="I90">
        <v>141.6665078921086</v>
      </c>
      <c r="J90">
        <v>141.5716500545324</v>
      </c>
      <c r="K90">
        <v>141.8835669459084</v>
      </c>
      <c r="L90">
        <v>142.0620281471227</v>
      </c>
      <c r="M90">
        <v>142.0897270052663</v>
      </c>
      <c r="N90">
        <v>142.13063000279641</v>
      </c>
      <c r="O90">
        <v>142.40368642613879</v>
      </c>
      <c r="P90">
        <v>142.33130530023399</v>
      </c>
      <c r="Q90">
        <v>142.19992764704489</v>
      </c>
      <c r="R90">
        <v>142.29140355397939</v>
      </c>
      <c r="S90">
        <v>142.40525736004491</v>
      </c>
      <c r="T90">
        <v>142.30570511783651</v>
      </c>
      <c r="U90">
        <v>142.793853916584</v>
      </c>
      <c r="V90">
        <v>142.63039977147821</v>
      </c>
      <c r="W90">
        <v>142.36283092902309</v>
      </c>
      <c r="X90">
        <v>142.95233413115429</v>
      </c>
      <c r="Y90">
        <v>142.79161774778649</v>
      </c>
      <c r="Z90">
        <v>142.71953405962651</v>
      </c>
      <c r="AA90">
        <v>142.53532870427901</v>
      </c>
      <c r="AB90">
        <v>142.68284591968671</v>
      </c>
      <c r="AC90">
        <v>142.7092944521095</v>
      </c>
      <c r="AD90">
        <v>143.10372681846769</v>
      </c>
      <c r="AE90">
        <v>143.181253671246</v>
      </c>
      <c r="AF90">
        <v>143.2551556357046</v>
      </c>
      <c r="AG90">
        <v>143.7449114499484</v>
      </c>
      <c r="AH90">
        <v>143.41626337245259</v>
      </c>
      <c r="AI90">
        <v>143.4229734579838</v>
      </c>
      <c r="AJ90">
        <v>143.75131579400229</v>
      </c>
      <c r="AK90">
        <v>143.75997360640491</v>
      </c>
      <c r="AL90">
        <v>144.19382060515741</v>
      </c>
    </row>
    <row r="91" spans="1:38" x14ac:dyDescent="0.35">
      <c r="A91" t="s">
        <v>82</v>
      </c>
      <c r="B91">
        <v>1.8397453479569319</v>
      </c>
      <c r="C91">
        <v>1.561786599616239</v>
      </c>
      <c r="D91">
        <v>1.429428389805991</v>
      </c>
      <c r="E91">
        <v>1.682095584301796</v>
      </c>
      <c r="F91">
        <v>1.6178624975354181</v>
      </c>
      <c r="G91">
        <v>1.537138590094314</v>
      </c>
      <c r="H91">
        <v>1.7246060256400819</v>
      </c>
      <c r="I91">
        <v>1.2261540437761509</v>
      </c>
      <c r="J91">
        <v>0.70770409738188622</v>
      </c>
      <c r="K91">
        <v>1.1166993089778561</v>
      </c>
      <c r="L91">
        <v>1.1211597297398399</v>
      </c>
      <c r="M91">
        <v>1.2426438886479489</v>
      </c>
      <c r="N91">
        <v>1.3200580941210309</v>
      </c>
      <c r="O91">
        <v>1.447887974179235</v>
      </c>
      <c r="P91">
        <v>1.5929734478601769</v>
      </c>
      <c r="Q91">
        <v>1.645017897254083</v>
      </c>
      <c r="R91">
        <v>1.628665524428915</v>
      </c>
      <c r="S91">
        <v>1.6160057190556589</v>
      </c>
      <c r="T91">
        <v>1.644173712547027</v>
      </c>
      <c r="U91">
        <v>1.442090655944595</v>
      </c>
      <c r="V91">
        <v>1.4623857585515641</v>
      </c>
      <c r="W91">
        <v>1.53741299696401</v>
      </c>
      <c r="X91">
        <v>1.3442715437555179</v>
      </c>
      <c r="Y91">
        <v>1.422870567281429</v>
      </c>
      <c r="Z91">
        <v>1.313359511130638</v>
      </c>
      <c r="AA91">
        <v>1.2742757857838769</v>
      </c>
      <c r="AB91">
        <v>1.440661544347676</v>
      </c>
      <c r="AC91">
        <v>1.5022423431833001</v>
      </c>
      <c r="AD91">
        <v>1.2414312760142441</v>
      </c>
      <c r="AE91">
        <v>1.441519730457939</v>
      </c>
      <c r="AF91">
        <v>1.436356266618894</v>
      </c>
      <c r="AG91">
        <v>1.364963151369377</v>
      </c>
      <c r="AH91">
        <v>1.48954596580569</v>
      </c>
      <c r="AI91">
        <v>1.463716178103377</v>
      </c>
      <c r="AJ91">
        <v>1.3842582296933701</v>
      </c>
      <c r="AK91">
        <v>3.6158692570146762</v>
      </c>
      <c r="AL91">
        <v>4.0129550368481093</v>
      </c>
    </row>
    <row r="92" spans="1:38" x14ac:dyDescent="0.35">
      <c r="A92" t="s">
        <v>83</v>
      </c>
      <c r="B92">
        <v>2.8852756239852879</v>
      </c>
      <c r="C92">
        <v>2.040260108324198</v>
      </c>
      <c r="D92">
        <v>1.763318843610352</v>
      </c>
      <c r="E92">
        <v>1.81656798284959</v>
      </c>
      <c r="F92">
        <v>1.9468402173847821</v>
      </c>
      <c r="G92">
        <v>1.705518467171814</v>
      </c>
      <c r="H92">
        <v>1.5322496522998039</v>
      </c>
      <c r="I92">
        <v>1.486872006657693</v>
      </c>
      <c r="J92">
        <v>1.227639627903568</v>
      </c>
      <c r="K92">
        <v>1.184233375562868</v>
      </c>
      <c r="L92">
        <v>1.623725065083004</v>
      </c>
      <c r="M92">
        <v>1.7028552035597091</v>
      </c>
      <c r="N92">
        <v>1.86712869990478</v>
      </c>
      <c r="O92">
        <v>1.722111812611673</v>
      </c>
      <c r="P92">
        <v>1.544462489541885</v>
      </c>
      <c r="Q92">
        <v>2.2669735938175442</v>
      </c>
      <c r="R92">
        <v>2.2201978268986129</v>
      </c>
      <c r="S92">
        <v>2.0061864289359299</v>
      </c>
      <c r="T92">
        <v>2.341772941898344</v>
      </c>
      <c r="U92">
        <v>2.0738881376171689</v>
      </c>
      <c r="V92">
        <v>2.037587445694756</v>
      </c>
      <c r="W92">
        <v>1.9494545793418749</v>
      </c>
      <c r="X92">
        <v>1.473269128798492</v>
      </c>
      <c r="Y92">
        <v>1.633943157850533</v>
      </c>
      <c r="Z92">
        <v>1.449823568858394</v>
      </c>
      <c r="AA92">
        <v>1.2190712794173919</v>
      </c>
      <c r="AB92">
        <v>1.349138704686079</v>
      </c>
      <c r="AC92">
        <v>1.8096706447089581</v>
      </c>
      <c r="AD92">
        <v>1.54945254662918</v>
      </c>
      <c r="AE92">
        <v>1.5670363276216801</v>
      </c>
      <c r="AF92">
        <v>1.796051970388906</v>
      </c>
      <c r="AG92">
        <v>1.506535916893724</v>
      </c>
      <c r="AH92">
        <v>1.585648939221505</v>
      </c>
      <c r="AI92">
        <v>1.6156355492837551</v>
      </c>
      <c r="AJ92">
        <v>1.47226005213471</v>
      </c>
      <c r="AK92">
        <v>1.687622487577882</v>
      </c>
      <c r="AL92">
        <v>0.68676815683395331</v>
      </c>
    </row>
    <row r="93" spans="1:38" x14ac:dyDescent="0.35">
      <c r="A93" t="s">
        <v>84</v>
      </c>
      <c r="B93">
        <v>2.1818639482444651</v>
      </c>
      <c r="C93">
        <v>2.0006327387033269</v>
      </c>
      <c r="D93">
        <v>1.775287465267136</v>
      </c>
      <c r="E93">
        <v>1.581263308631226</v>
      </c>
      <c r="F93">
        <v>2.1505447814724188</v>
      </c>
      <c r="G93">
        <v>1.846406942723283</v>
      </c>
      <c r="H93">
        <v>2.0078763940889979</v>
      </c>
      <c r="I93">
        <v>2.1992869108525972</v>
      </c>
      <c r="J93">
        <v>2.1402023767847669</v>
      </c>
      <c r="K93">
        <v>1.772274528188384</v>
      </c>
      <c r="L93">
        <v>1.795710336809158</v>
      </c>
      <c r="M93">
        <v>2.0012029490913652</v>
      </c>
      <c r="N93">
        <v>2.1081053267936212</v>
      </c>
      <c r="O93">
        <v>2.0905254328644651</v>
      </c>
      <c r="P93">
        <v>1.973356973820847</v>
      </c>
      <c r="Q93">
        <v>2.3948220353600531</v>
      </c>
      <c r="R93">
        <v>2.4521679893328669</v>
      </c>
      <c r="S93">
        <v>2.542139533930635</v>
      </c>
      <c r="T93">
        <v>2.6441102309714668</v>
      </c>
      <c r="U93">
        <v>2.9302454622461438</v>
      </c>
      <c r="V93">
        <v>2.647212084861168</v>
      </c>
      <c r="W93">
        <v>2.7055362566764209</v>
      </c>
      <c r="X93">
        <v>2.6699423396478288</v>
      </c>
      <c r="Y93">
        <v>2.4878420723583301</v>
      </c>
      <c r="Z93">
        <v>2.4048344853981272</v>
      </c>
      <c r="AA93">
        <v>2.8606368209924349</v>
      </c>
      <c r="AB93">
        <v>2.74733197686409</v>
      </c>
      <c r="AC93">
        <v>2.6193049837283771</v>
      </c>
      <c r="AD93">
        <v>2.3925710191703402</v>
      </c>
      <c r="AE93">
        <v>2.6456717968490082</v>
      </c>
      <c r="AF93">
        <v>2.3081863695379039</v>
      </c>
      <c r="AG93">
        <v>1.9701770021544109</v>
      </c>
      <c r="AH93">
        <v>2.4744244556811239</v>
      </c>
      <c r="AI93">
        <v>2.393896249863821</v>
      </c>
      <c r="AJ93">
        <v>2.0704668680354281</v>
      </c>
      <c r="AK93">
        <v>1.704472859624881</v>
      </c>
      <c r="AL93">
        <v>0.8759738864173523</v>
      </c>
    </row>
    <row r="94" spans="1:38" x14ac:dyDescent="0.35">
      <c r="A94" t="s">
        <v>85</v>
      </c>
      <c r="B94">
        <v>0.48533588811731071</v>
      </c>
      <c r="C94">
        <v>5.4453893459724428E-2</v>
      </c>
      <c r="D94">
        <v>3.3671588897483638E-2</v>
      </c>
      <c r="E94">
        <v>7.5499416670853581E-2</v>
      </c>
      <c r="F94">
        <v>0.19255423158080101</v>
      </c>
      <c r="G94">
        <v>0.15778122875580611</v>
      </c>
      <c r="H94">
        <v>0.32003704882771411</v>
      </c>
      <c r="I94">
        <v>0.38009387182826149</v>
      </c>
      <c r="J94">
        <v>6.7430126454894893E-2</v>
      </c>
      <c r="K94">
        <v>0.2950449856316637</v>
      </c>
      <c r="L94">
        <v>0.49174250909962403</v>
      </c>
      <c r="M94">
        <v>0.48633576931990358</v>
      </c>
      <c r="N94">
        <v>0.30207396053662</v>
      </c>
      <c r="O94">
        <v>0.40944130185636629</v>
      </c>
      <c r="P94">
        <v>0.37119104973850259</v>
      </c>
      <c r="Q94">
        <v>0.39687317378014242</v>
      </c>
      <c r="R94">
        <v>0.4771006896075296</v>
      </c>
      <c r="S94">
        <v>0.51828551142166412</v>
      </c>
      <c r="T94">
        <v>0.5087658519963062</v>
      </c>
      <c r="U94">
        <v>0.58805427355505169</v>
      </c>
      <c r="V94">
        <v>0.47374718401980231</v>
      </c>
      <c r="W94">
        <v>0.44300599215110281</v>
      </c>
      <c r="X94">
        <v>0.57152114857434311</v>
      </c>
      <c r="Y94">
        <v>0.63851457251265975</v>
      </c>
      <c r="Z94">
        <v>0.53102837087464583</v>
      </c>
      <c r="AA94">
        <v>0.46525274253230309</v>
      </c>
      <c r="AB94">
        <v>0.56040242170693044</v>
      </c>
      <c r="AC94">
        <v>0.70564372475284565</v>
      </c>
      <c r="AD94">
        <v>0.6780430260718372</v>
      </c>
      <c r="AE94">
        <v>0.71535898364916584</v>
      </c>
      <c r="AF94">
        <v>0.68213533547339533</v>
      </c>
      <c r="AG94">
        <v>0.62664006723193078</v>
      </c>
      <c r="AH94">
        <v>0.70003979569212393</v>
      </c>
      <c r="AI94">
        <v>0.78798072828117582</v>
      </c>
      <c r="AJ94">
        <v>0.64056690910967962</v>
      </c>
      <c r="AK94">
        <v>0.77224283061126486</v>
      </c>
      <c r="AL94">
        <v>0.99020300503349234</v>
      </c>
    </row>
    <row r="95" spans="1:38" x14ac:dyDescent="0.35">
      <c r="A95" t="s">
        <v>86</v>
      </c>
      <c r="B95">
        <v>149.10974420689919</v>
      </c>
      <c r="C95">
        <v>147.15348453395541</v>
      </c>
      <c r="D95">
        <v>146.46754139377569</v>
      </c>
      <c r="E95">
        <v>146.82029226723921</v>
      </c>
      <c r="F95">
        <v>147.2220064746468</v>
      </c>
      <c r="G95">
        <v>146.94131010310321</v>
      </c>
      <c r="H95">
        <v>147.42333202249091</v>
      </c>
      <c r="I95">
        <v>146.95891472522331</v>
      </c>
      <c r="J95">
        <v>145.71462628305761</v>
      </c>
      <c r="K95">
        <v>146.25181914426909</v>
      </c>
      <c r="L95">
        <v>147.09436578785429</v>
      </c>
      <c r="M95">
        <v>147.5227648158853</v>
      </c>
      <c r="N95">
        <v>147.72799608415241</v>
      </c>
      <c r="O95">
        <v>148.0736529476506</v>
      </c>
      <c r="P95">
        <v>147.81328926119551</v>
      </c>
      <c r="Q95">
        <v>148.90361434725671</v>
      </c>
      <c r="R95">
        <v>149.06953558424729</v>
      </c>
      <c r="S95">
        <v>149.08787455338879</v>
      </c>
      <c r="T95">
        <v>149.4445278552497</v>
      </c>
      <c r="U95">
        <v>149.82813244594689</v>
      </c>
      <c r="V95">
        <v>149.25133224460549</v>
      </c>
      <c r="W95">
        <v>148.99824075415651</v>
      </c>
      <c r="X95">
        <v>149.01133829193051</v>
      </c>
      <c r="Y95">
        <v>148.97478811778939</v>
      </c>
      <c r="Z95">
        <v>148.41857999588831</v>
      </c>
      <c r="AA95">
        <v>148.35456533300501</v>
      </c>
      <c r="AB95">
        <v>148.78038056729139</v>
      </c>
      <c r="AC95">
        <v>149.346156148483</v>
      </c>
      <c r="AD95">
        <v>148.96522468635331</v>
      </c>
      <c r="AE95">
        <v>149.55084050982379</v>
      </c>
      <c r="AF95">
        <v>149.47788557772361</v>
      </c>
      <c r="AG95">
        <v>149.2132275875978</v>
      </c>
      <c r="AH95">
        <v>149.665922528853</v>
      </c>
      <c r="AI95">
        <v>149.68420216351589</v>
      </c>
      <c r="AJ95">
        <v>149.3188678529755</v>
      </c>
      <c r="AK95">
        <v>151.54018104123361</v>
      </c>
      <c r="AL95">
        <v>150.75972069029021</v>
      </c>
    </row>
    <row r="96" spans="1:38" x14ac:dyDescent="0.35">
      <c r="A96" t="s">
        <v>87</v>
      </c>
      <c r="B96">
        <v>45389058.530000001</v>
      </c>
      <c r="C96">
        <v>59406637.210000001</v>
      </c>
      <c r="D96">
        <v>59465586.979999997</v>
      </c>
      <c r="E96">
        <v>58199787.320000008</v>
      </c>
      <c r="F96">
        <v>57938559.219999999</v>
      </c>
      <c r="G96">
        <v>66264273.659999996</v>
      </c>
      <c r="H96">
        <v>70110749.210000008</v>
      </c>
      <c r="I96">
        <v>92032547.020000011</v>
      </c>
      <c r="J96">
        <v>150899105.25999999</v>
      </c>
      <c r="K96">
        <v>112638990.45</v>
      </c>
      <c r="L96">
        <v>107227360.73999999</v>
      </c>
      <c r="M96">
        <v>88259224.870000005</v>
      </c>
      <c r="N96">
        <v>88254125.629999995</v>
      </c>
      <c r="O96">
        <v>84564737.359999999</v>
      </c>
      <c r="P96">
        <v>70769262.269999996</v>
      </c>
      <c r="Q96">
        <v>74565577.950000018</v>
      </c>
      <c r="R96">
        <v>75238676.790000007</v>
      </c>
      <c r="S96">
        <v>76768506.280000016</v>
      </c>
      <c r="T96">
        <v>76471479.060000002</v>
      </c>
      <c r="U96">
        <v>67184168.480000004</v>
      </c>
      <c r="V96">
        <v>72127863.930000007</v>
      </c>
      <c r="W96">
        <v>72983888.719999999</v>
      </c>
      <c r="X96">
        <v>66867225.079999998</v>
      </c>
      <c r="Y96">
        <v>69461095.289999992</v>
      </c>
      <c r="Z96">
        <v>72398763.00999999</v>
      </c>
      <c r="AA96">
        <v>70169726.800000012</v>
      </c>
      <c r="AB96">
        <v>70078201.150000006</v>
      </c>
      <c r="AC96">
        <v>68124971.75</v>
      </c>
      <c r="AD96">
        <v>66746798.439999998</v>
      </c>
      <c r="AE96">
        <v>67463510.209999993</v>
      </c>
      <c r="AF96">
        <v>65969311.75</v>
      </c>
      <c r="AG96">
        <v>62503682.899999999</v>
      </c>
      <c r="AH96">
        <v>64519007.489999987</v>
      </c>
      <c r="AI96">
        <v>61732005.649999991</v>
      </c>
      <c r="AJ96">
        <v>59161701.909999996</v>
      </c>
      <c r="AK96">
        <v>43164569.710000001</v>
      </c>
      <c r="AL96">
        <v>5221484.209999999</v>
      </c>
    </row>
    <row r="97" spans="1:38" x14ac:dyDescent="0.35">
      <c r="A97" t="s">
        <v>88</v>
      </c>
      <c r="B97">
        <v>1.502576790751263</v>
      </c>
      <c r="C97">
        <v>1.504685103342247</v>
      </c>
      <c r="D97">
        <v>1.5139594344322549</v>
      </c>
      <c r="E97">
        <v>1.538329241371307</v>
      </c>
      <c r="F97">
        <v>1.508330417736393</v>
      </c>
      <c r="G97">
        <v>1.5215035193541939</v>
      </c>
      <c r="H97">
        <v>1.5126340301759971</v>
      </c>
      <c r="I97">
        <v>1.502144480169042</v>
      </c>
      <c r="J97">
        <v>1.499026813825326</v>
      </c>
      <c r="K97">
        <v>1.527469252722863</v>
      </c>
      <c r="L97">
        <v>1.5276392383183379</v>
      </c>
      <c r="M97">
        <v>1.5161717826839709</v>
      </c>
      <c r="N97">
        <v>1.514131848315079</v>
      </c>
      <c r="O97">
        <v>1.520366537978173</v>
      </c>
      <c r="P97">
        <v>1.530474618774101</v>
      </c>
      <c r="Q97">
        <v>1.5101040488419111</v>
      </c>
      <c r="R97">
        <v>1.5097105083419511</v>
      </c>
      <c r="S97">
        <v>1.500567453542712</v>
      </c>
      <c r="T97">
        <v>1.492685678475008</v>
      </c>
      <c r="U97">
        <v>1.4807133271822901</v>
      </c>
      <c r="V97">
        <v>1.493504760891792</v>
      </c>
      <c r="W97">
        <v>1.49454503878453</v>
      </c>
      <c r="X97">
        <v>1.4946429594581889</v>
      </c>
      <c r="Y97">
        <v>1.502304665953403</v>
      </c>
      <c r="Z97">
        <v>1.5064140770497361</v>
      </c>
      <c r="AA97">
        <v>1.4803130623321841</v>
      </c>
      <c r="AB97">
        <v>1.48715130995164</v>
      </c>
      <c r="AC97">
        <v>1.4971621657609331</v>
      </c>
      <c r="AD97">
        <v>1.5138675707016109</v>
      </c>
      <c r="AE97">
        <v>1.495403366502204</v>
      </c>
      <c r="AF97">
        <v>1.517608777808868</v>
      </c>
      <c r="AG97">
        <v>1.533984029529454</v>
      </c>
      <c r="AH97">
        <v>1.496941065028681</v>
      </c>
      <c r="AI97">
        <v>1.503597475670998</v>
      </c>
      <c r="AJ97">
        <v>1.5195190385393109</v>
      </c>
      <c r="AK97">
        <v>1.524737342925087</v>
      </c>
      <c r="AL97">
        <v>1.579807161586285</v>
      </c>
    </row>
    <row r="98" spans="1:38" x14ac:dyDescent="0.35">
      <c r="A98" t="s">
        <v>89</v>
      </c>
      <c r="B98">
        <v>0.24256615236857171</v>
      </c>
      <c r="C98">
        <v>0.24700066789791281</v>
      </c>
      <c r="D98">
        <v>0.24727470777346319</v>
      </c>
      <c r="E98">
        <v>0.24719829879840521</v>
      </c>
      <c r="F98">
        <v>0.24560414267880931</v>
      </c>
      <c r="G98">
        <v>0.24651819794250621</v>
      </c>
      <c r="H98">
        <v>0.24470328320294099</v>
      </c>
      <c r="I98">
        <v>0.24396027385982039</v>
      </c>
      <c r="J98">
        <v>0.2469436487322218</v>
      </c>
      <c r="K98">
        <v>0.24505956323631981</v>
      </c>
      <c r="L98">
        <v>0.24318886286654121</v>
      </c>
      <c r="M98">
        <v>0.24307765296544459</v>
      </c>
      <c r="N98">
        <v>0.24490643235627679</v>
      </c>
      <c r="O98">
        <v>0.24377759820161279</v>
      </c>
      <c r="P98">
        <v>0.2440176617988504</v>
      </c>
      <c r="Q98">
        <v>0.24398130955195599</v>
      </c>
      <c r="R98">
        <v>0.24309549067614589</v>
      </c>
      <c r="S98">
        <v>0.24256629403148</v>
      </c>
      <c r="T98">
        <v>0.24256900312771329</v>
      </c>
      <c r="U98">
        <v>0.24230444661784581</v>
      </c>
      <c r="V98">
        <v>0.2432224459594779</v>
      </c>
      <c r="W98">
        <v>0.24368009939377749</v>
      </c>
      <c r="X98">
        <v>0.24270262326834691</v>
      </c>
      <c r="Y98">
        <v>0.2414826510383983</v>
      </c>
      <c r="Z98">
        <v>0.2427936178291481</v>
      </c>
      <c r="AA98">
        <v>0.24347388922722221</v>
      </c>
      <c r="AB98">
        <v>0.24245255236154131</v>
      </c>
      <c r="AC98">
        <v>0.2409918963690286</v>
      </c>
      <c r="AD98">
        <v>0.24178001906019209</v>
      </c>
      <c r="AE98">
        <v>0.24090396662391519</v>
      </c>
      <c r="AF98">
        <v>0.24172529898943509</v>
      </c>
      <c r="AG98">
        <v>0.24293266398030119</v>
      </c>
      <c r="AH98">
        <v>0.24206890884988719</v>
      </c>
      <c r="AI98">
        <v>0.2409624735681174</v>
      </c>
      <c r="AJ98">
        <v>0.242465544885759</v>
      </c>
      <c r="AK98">
        <v>0.24134176058151649</v>
      </c>
      <c r="AL98">
        <v>0.2404932381446386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 Tables (M) (2)</vt:lpstr>
      <vt:lpstr>Data Tables (Q)</vt:lpstr>
      <vt:lpstr>Data Tables (M)</vt:lpstr>
      <vt:lpstr>Sheet1</vt:lpstr>
      <vt:lpstr>Data Tables (W) pikls</vt:lpstr>
      <vt:lpstr>Sheet2</vt:lpstr>
      <vt:lpstr>Data Tables (W)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Ali</cp:lastModifiedBy>
  <dcterms:created xsi:type="dcterms:W3CDTF">2026-03-23T15:49:00Z</dcterms:created>
  <dcterms:modified xsi:type="dcterms:W3CDTF">2026-09-11T14:17:31Z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0x0101002F7055BF62EA51469C2F194260F7319E</vt:lpwstr>
  </property>
</Properties>
</file>