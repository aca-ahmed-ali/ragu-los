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all_lobs\output\"/>
    </mc:Choice>
  </mc:AlternateContent>
  <xr:revisionPtr revIDLastSave="0" documentId="13_ncr:1_{1B7283D3-60BE-4AE7-A146-726DD378F782}" xr6:coauthVersionLast="47" xr6:coauthVersionMax="47" xr10:uidLastSave="{00000000-0000-0000-0000-000000000000}"/>
  <bookViews>
    <workbookView xWindow="14685" yWindow="-21720" windowWidth="38640" windowHeight="21120" firstSheet="6" activeTab="10" xr2:uid="{00000000-000D-0000-FFFF-FFFF00000000}"/>
  </bookViews>
  <sheets>
    <sheet name="Sheet1" sheetId="1" r:id="rId1"/>
    <sheet name="cb_zip impact" sheetId="2" r:id="rId2"/>
    <sheet name="Data Tables (M) no_cb_zip" sheetId="3" r:id="rId3"/>
    <sheet name="Sheet2" sheetId="4" r:id="rId4"/>
    <sheet name="Data Tables (M) cb_zip" sheetId="5" r:id="rId5"/>
    <sheet name="Data Tables (M)" sheetId="6" r:id="rId6"/>
    <sheet name="Sheet3" sheetId="7" r:id="rId7"/>
    <sheet name="Data Tables (W) FRN" sheetId="8" r:id="rId8"/>
    <sheet name="Data Tables (W)" sheetId="9" r:id="rId9"/>
    <sheet name="Data Tables (Q) non-stu" sheetId="10" r:id="rId10"/>
    <sheet name="Data Tables (Q) st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8" i="7" l="1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A98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A97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A96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A95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A94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A93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A92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A91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90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A89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88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87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A86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A85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A84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A83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A82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A81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80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79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78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77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76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A75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A74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A73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72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71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A70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A69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A68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67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66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A65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64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A63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62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A61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A60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A59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A58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57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56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55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54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53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52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51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50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49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47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46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45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44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43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42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41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40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39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38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A37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36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35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34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33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32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31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30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29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28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27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26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25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24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23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22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21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19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18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17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7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6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5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I85" i="1"/>
  <c r="H85" i="1"/>
  <c r="G85" i="1"/>
  <c r="F85" i="1"/>
  <c r="E85" i="1"/>
  <c r="D85" i="1"/>
  <c r="I84" i="1"/>
  <c r="H84" i="1"/>
  <c r="E84" i="1"/>
  <c r="D84" i="1"/>
  <c r="F83" i="1"/>
  <c r="E83" i="1"/>
  <c r="D83" i="1"/>
  <c r="I82" i="1"/>
  <c r="H82" i="1"/>
  <c r="G82" i="1"/>
  <c r="F82" i="1"/>
  <c r="E82" i="1"/>
  <c r="D82" i="1"/>
  <c r="G81" i="1"/>
  <c r="F81" i="1"/>
  <c r="D81" i="1"/>
  <c r="H80" i="1"/>
  <c r="G80" i="1"/>
  <c r="F80" i="1"/>
  <c r="E80" i="1"/>
  <c r="D80" i="1"/>
  <c r="I79" i="1"/>
  <c r="H79" i="1"/>
  <c r="G79" i="1"/>
  <c r="F79" i="1"/>
  <c r="D79" i="1"/>
  <c r="H78" i="1"/>
  <c r="D78" i="1"/>
  <c r="I77" i="1"/>
  <c r="H77" i="1"/>
  <c r="G77" i="1"/>
  <c r="F77" i="1"/>
  <c r="E77" i="1"/>
  <c r="D77" i="1"/>
  <c r="I75" i="1"/>
  <c r="H75" i="1"/>
  <c r="E75" i="1"/>
  <c r="I74" i="1"/>
  <c r="I81" i="1" s="1"/>
  <c r="H74" i="1"/>
  <c r="H81" i="1" s="1"/>
  <c r="G74" i="1"/>
  <c r="G84" i="1" s="1"/>
  <c r="F74" i="1"/>
  <c r="F84" i="1" s="1"/>
  <c r="E74" i="1"/>
  <c r="E79" i="1" s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6" i="1"/>
  <c r="G16" i="1"/>
  <c r="F16" i="1"/>
  <c r="E16" i="1"/>
  <c r="E78" i="1" l="1"/>
  <c r="I80" i="1"/>
  <c r="G83" i="1"/>
  <c r="F78" i="1"/>
  <c r="H83" i="1"/>
  <c r="G78" i="1"/>
  <c r="E81" i="1"/>
  <c r="I83" i="1"/>
  <c r="F75" i="1"/>
  <c r="I78" i="1"/>
  <c r="G75" i="1"/>
</calcChain>
</file>

<file path=xl/sharedStrings.xml><?xml version="1.0" encoding="utf-8"?>
<sst xmlns="http://schemas.openxmlformats.org/spreadsheetml/2006/main" count="2165" uniqueCount="91">
  <si>
    <t>AN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</si>
  <si>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</si>
  <si>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</si>
  <si>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</si>
  <si>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</si>
  <si>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</si>
  <si>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</si>
  <si>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</si>
  <si>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</si>
  <si>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</si>
  <si>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</si>
  <si>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</si>
  <si>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</si>
  <si>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</si>
  <si>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</si>
  <si>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</si>
  <si>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</si>
  <si>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</si>
  <si>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</si>
  <si>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</si>
  <si>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</si>
  <si>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Model Score</t>
  </si>
  <si>
    <t>Expected 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</si>
  <si>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</si>
  <si>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</si>
  <si>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</si>
  <si>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</si>
  <si>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</si>
  <si>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</si>
  <si>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</si>
  <si>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FRA</t>
  </si>
  <si>
    <t>IND</t>
  </si>
  <si>
    <t>FRN</t>
  </si>
  <si>
    <t>STG</t>
  </si>
  <si>
    <t>FLD</t>
  </si>
  <si>
    <t>ENT</t>
  </si>
  <si>
    <t>KMX</t>
  </si>
  <si>
    <t>Franchise Independent</t>
  </si>
  <si>
    <t>nonKMX</t>
  </si>
  <si>
    <t>POS</t>
  </si>
  <si>
    <t>Vanilla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</si>
  <si>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</si>
  <si>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</si>
  <si>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</si>
  <si>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</si>
  <si>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</si>
  <si>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</si>
  <si>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</si>
  <si>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</si>
  <si>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</si>
  <si>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</si>
  <si>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</si>
  <si>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</si>
  <si>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</si>
  <si>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</si>
  <si>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</si>
  <si>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</si>
  <si>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</si>
  <si>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</si>
  <si>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</si>
  <si>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</si>
  <si>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</si>
  <si>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</si>
  <si>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</si>
  <si>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</si>
  <si>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2026 M06</t>
  </si>
  <si>
    <t>2026 M07</t>
  </si>
  <si>
    <t>Gross Loss Impact</t>
  </si>
  <si>
    <t>STE</t>
  </si>
  <si>
    <t>POS with STE</t>
  </si>
  <si>
    <t>2026 M08</t>
  </si>
  <si>
    <t>2026 M09</t>
  </si>
  <si>
    <t>2026-05-31/2026-06-06</t>
  </si>
  <si>
    <t>2026-06-07/2026-06-13</t>
  </si>
  <si>
    <t>2026-06-14/2026-06-20</t>
  </si>
  <si>
    <t>2026-06-21/2026-06-27</t>
  </si>
  <si>
    <t>2026-06-28/2026-07-04</t>
  </si>
  <si>
    <t>2026-07-05/2026-07-11</t>
  </si>
  <si>
    <t>2026-07-12/2026-07-18</t>
  </si>
  <si>
    <t>2026-07-19/2026-07-25</t>
  </si>
  <si>
    <t>2026-07-26/2026-08-01</t>
  </si>
  <si>
    <t>2026-08-02/2026-08-08</t>
  </si>
  <si>
    <t>2026-08-09/2026-08-15</t>
  </si>
  <si>
    <t>2026-08-16/2026-08-22</t>
  </si>
  <si>
    <t>2026-08-23/2026-08-29</t>
  </si>
  <si>
    <t>2026-08-30/2026-09-05</t>
  </si>
  <si>
    <t>2026-09-06/2026-09-12</t>
  </si>
  <si>
    <t>2026-09-13/2026-09-19</t>
  </si>
  <si>
    <t>2026-09-20/2026-09-26</t>
  </si>
  <si>
    <t>2026-09-27/2026-10-03</t>
  </si>
  <si>
    <t>2026-10-04/2026-10-10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</si>
</sst>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"/>
  <sheetViews>
    <sheetView topLeftCell="B55" zoomScale="145" zoomScaleNormal="145" workbookViewId="0">
      <selection activeCell="N70" sqref="N70"/>
    </sheetView>
  </sheetViews>
  <sheetFormatPr defaultRowHeight="14.5" x14ac:dyDescent="0.35"/>
  <cols>
    <col min="1" max="1" width="15.81640625" bestFit="1" customWidth="1"/>
    <col min="3" max="3" width="24" bestFit="1" customWidth="1"/>
    <col min="4" max="9" width="13.36328125" bestFit="1" customWidth="1"/>
    <col min="14" max="14" width="12.54296875" bestFit="1" customWidth="1"/>
    <col min="18" max="22" width="11.54296875" bestFit="1" customWidth="1"/>
    <col min="23" max="23" width="12.54296875" bestFit="1" customWidth="1"/>
    <col min="24" max="24" width="11.453125" bestFit="1" customWidth="1"/>
    <col min="25" max="25" width="11.453125" customWidth="1"/>
    <col min="26" max="28" width="11.54296875" bestFit="1" customWidth="1"/>
  </cols>
  <sheetData>
    <row r="1" spans="1:28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  <c r="Y1" s="6"/>
      <c r="Z1" s="1" t="s">
        <v>64</v>
      </c>
      <c r="AA1" s="1" t="s">
        <v>65</v>
      </c>
      <c r="AB1" s="1" t="s">
        <v>66</v>
      </c>
    </row>
    <row r="2" spans="1:28" x14ac:dyDescent="0.35">
      <c r="A2" t="s">
        <v>21</v>
      </c>
      <c r="B2">
        <v>129.86535456499061</v>
      </c>
      <c r="C2">
        <v>129.38771572668449</v>
      </c>
      <c r="D2">
        <v>129.53705743688531</v>
      </c>
      <c r="E2">
        <v>129.5132058269225</v>
      </c>
      <c r="F2">
        <v>129.66329956396481</v>
      </c>
      <c r="G2">
        <v>129.25176506584529</v>
      </c>
      <c r="H2">
        <v>129.683645330769</v>
      </c>
      <c r="I2">
        <v>129.5372899940605</v>
      </c>
      <c r="J2">
        <v>129.393341152121</v>
      </c>
      <c r="K2">
        <v>129.77782433861961</v>
      </c>
      <c r="L2">
        <v>129.71309277785249</v>
      </c>
      <c r="M2">
        <v>129.6155397089841</v>
      </c>
      <c r="N2">
        <v>129.44537443237459</v>
      </c>
      <c r="O2">
        <v>129.2780531011538</v>
      </c>
      <c r="P2">
        <v>129.24252265655369</v>
      </c>
      <c r="Q2">
        <v>128.50927147988509</v>
      </c>
      <c r="R2" s="1">
        <v>131.02133536197829</v>
      </c>
      <c r="S2" s="1">
        <v>131.3468314962285</v>
      </c>
      <c r="T2" s="1">
        <v>131.6024084729047</v>
      </c>
      <c r="U2" s="1">
        <v>132.19218228778621</v>
      </c>
      <c r="V2" s="1">
        <v>133.00749318776079</v>
      </c>
      <c r="W2" s="1">
        <v>134.0048538381472</v>
      </c>
      <c r="X2" s="1">
        <v>134.56534152600739</v>
      </c>
      <c r="Y2" s="1"/>
      <c r="Z2" s="1">
        <v>135.68984274356961</v>
      </c>
      <c r="AA2" s="1">
        <v>136.49663165464889</v>
      </c>
      <c r="AB2" s="1">
        <v>137.33713790472339</v>
      </c>
    </row>
    <row r="3" spans="1:28" x14ac:dyDescent="0.35">
      <c r="A3" t="s">
        <v>67</v>
      </c>
      <c r="B3">
        <v>1.2350138538085671</v>
      </c>
      <c r="C3">
        <v>0.84904716431304916</v>
      </c>
      <c r="D3">
        <v>0.70090476373877664</v>
      </c>
      <c r="E3">
        <v>0.56275008953736005</v>
      </c>
      <c r="F3">
        <v>0.86450976560729476</v>
      </c>
      <c r="G3">
        <v>0.85299630126567649</v>
      </c>
      <c r="H3">
        <v>0.8039123371196979</v>
      </c>
      <c r="I3">
        <v>-0.37146658078725642</v>
      </c>
      <c r="J3">
        <v>-1.3313430449647969</v>
      </c>
      <c r="K3">
        <v>-1.331035839565857</v>
      </c>
      <c r="L3">
        <v>-1.031361059685963</v>
      </c>
      <c r="M3">
        <v>-0.9627084829372734</v>
      </c>
      <c r="N3">
        <v>-1.189969165405756</v>
      </c>
      <c r="O3">
        <v>-0.53597966559254928</v>
      </c>
      <c r="P3">
        <v>0.77591077035293665</v>
      </c>
      <c r="Q3">
        <v>0.63856797659119025</v>
      </c>
      <c r="R3" s="1">
        <v>-0.3932878415855896</v>
      </c>
      <c r="S3" s="1">
        <v>-0.4232757989130107</v>
      </c>
      <c r="T3" s="1">
        <v>-0.44362950932605821</v>
      </c>
      <c r="U3" s="1">
        <v>-0.3776623148542626</v>
      </c>
      <c r="V3" s="1">
        <v>-0.39991914954387647</v>
      </c>
      <c r="W3" s="1">
        <v>-0.36200979791340171</v>
      </c>
      <c r="X3" s="1">
        <v>-0.27814421370609921</v>
      </c>
      <c r="Y3" s="1"/>
      <c r="Z3" s="1">
        <v>-0.40171856289538249</v>
      </c>
      <c r="AA3" s="1">
        <v>-0.56807543368174152</v>
      </c>
      <c r="AB3" s="1">
        <v>-0.50856782155958058</v>
      </c>
    </row>
    <row r="4" spans="1:28" x14ac:dyDescent="0.35">
      <c r="A4" t="s">
        <v>23</v>
      </c>
      <c r="B4">
        <v>0</v>
      </c>
      <c r="C4">
        <v>0</v>
      </c>
      <c r="D4">
        <v>4.1385926790449661</v>
      </c>
      <c r="E4">
        <v>2.1728524040912922</v>
      </c>
      <c r="F4">
        <v>1.2089420565130951</v>
      </c>
      <c r="G4">
        <v>2.398500900003012</v>
      </c>
      <c r="H4">
        <v>2.8807926213304409</v>
      </c>
      <c r="I4">
        <v>2.2101137812710259</v>
      </c>
      <c r="J4">
        <v>0.21822451566229301</v>
      </c>
      <c r="K4">
        <v>0.84282320216819495</v>
      </c>
      <c r="L4">
        <v>1.115777705449543</v>
      </c>
      <c r="M4">
        <v>0.63955836368292218</v>
      </c>
      <c r="N4">
        <v>0.70121226882331478</v>
      </c>
      <c r="O4">
        <v>0.90911340171687305</v>
      </c>
      <c r="P4">
        <v>1.962606699131771</v>
      </c>
      <c r="Q4">
        <v>0.6936286316915885</v>
      </c>
      <c r="R4" s="1">
        <v>2.8566220688264692</v>
      </c>
      <c r="S4" s="1">
        <v>2.240894525026611</v>
      </c>
      <c r="T4" s="1">
        <v>1.901622887433124</v>
      </c>
      <c r="U4" s="1">
        <v>2.147664114682315</v>
      </c>
      <c r="V4" s="1">
        <v>1.156877830456164</v>
      </c>
      <c r="W4" s="1">
        <v>1.1652602350259409</v>
      </c>
      <c r="X4" s="1">
        <v>2.28923714852482</v>
      </c>
      <c r="Y4" s="1"/>
      <c r="Z4" s="1">
        <v>3.3992800130181728</v>
      </c>
      <c r="AA4" s="1">
        <v>3.9973861868053611</v>
      </c>
      <c r="AB4" s="1">
        <v>4.3730697172238244</v>
      </c>
    </row>
    <row r="5" spans="1:28" x14ac:dyDescent="0.35">
      <c r="A5" t="s">
        <v>24</v>
      </c>
      <c r="B5">
        <v>0</v>
      </c>
      <c r="C5">
        <v>0</v>
      </c>
      <c r="D5">
        <v>5.2740139892637359</v>
      </c>
      <c r="E5">
        <v>6.0441161210132011</v>
      </c>
      <c r="F5">
        <v>5.7001073584871849</v>
      </c>
      <c r="G5">
        <v>4.909567098623258</v>
      </c>
      <c r="H5">
        <v>5.250623899683692</v>
      </c>
      <c r="I5">
        <v>5.7305604584233576</v>
      </c>
      <c r="J5">
        <v>5.4983854742151026</v>
      </c>
      <c r="K5">
        <v>5.5410338248266919</v>
      </c>
      <c r="L5">
        <v>6.3775836526438301</v>
      </c>
      <c r="M5">
        <v>5.3167724844566884</v>
      </c>
      <c r="N5">
        <v>4.7133477862898907</v>
      </c>
      <c r="O5">
        <v>4.456834046495052</v>
      </c>
      <c r="P5">
        <v>4.2805856725731486</v>
      </c>
      <c r="Q5">
        <v>3.8856134221847172</v>
      </c>
      <c r="R5" s="1">
        <v>4.6568337325953788</v>
      </c>
      <c r="S5" s="1">
        <v>4.3504901890585366</v>
      </c>
      <c r="T5" s="1">
        <v>3.9599385859615248</v>
      </c>
      <c r="U5" s="1">
        <v>4.4325850765356254</v>
      </c>
      <c r="V5" s="1">
        <v>4.9778418079113731</v>
      </c>
      <c r="W5" s="1">
        <v>5.5671093017894488</v>
      </c>
      <c r="X5" s="1">
        <v>5.8010146112877923</v>
      </c>
      <c r="Y5" s="1"/>
      <c r="Z5" s="1">
        <v>6.4230083396708491</v>
      </c>
      <c r="AA5" s="1">
        <v>6.1696385251318766</v>
      </c>
      <c r="AB5" s="1">
        <v>6.3674505414897773</v>
      </c>
    </row>
    <row r="6" spans="1:28" x14ac:dyDescent="0.35">
      <c r="A6" t="s">
        <v>25</v>
      </c>
      <c r="B6">
        <v>3.0477021726505709</v>
      </c>
      <c r="C6">
        <v>3.312651264036607</v>
      </c>
      <c r="D6">
        <v>2.9733753924605919</v>
      </c>
      <c r="E6">
        <v>2.2654378097176329</v>
      </c>
      <c r="F6">
        <v>2.0308860418274879</v>
      </c>
      <c r="G6">
        <v>2.2986462382422341</v>
      </c>
      <c r="H6">
        <v>2.3219702983601538</v>
      </c>
      <c r="I6">
        <v>2.0589845757021958</v>
      </c>
      <c r="J6">
        <v>1.82854003489896</v>
      </c>
      <c r="K6">
        <v>1.8605635390927939</v>
      </c>
      <c r="L6">
        <v>2.0086779574227349</v>
      </c>
      <c r="M6">
        <v>2.0073477328755551</v>
      </c>
      <c r="N6">
        <v>2.1051037650850568</v>
      </c>
      <c r="O6">
        <v>2.1982916717376888</v>
      </c>
      <c r="P6">
        <v>2.0737623123736948</v>
      </c>
      <c r="Q6">
        <v>2.0963242014466079</v>
      </c>
      <c r="R6" s="1">
        <v>0.94504752238325507</v>
      </c>
      <c r="S6" s="1">
        <v>1.1155418072867409</v>
      </c>
      <c r="T6" s="1">
        <v>1.091532106112449</v>
      </c>
      <c r="U6" s="1">
        <v>1.08792389668725</v>
      </c>
      <c r="V6" s="1">
        <v>1.175085726381635</v>
      </c>
      <c r="W6" s="1">
        <v>1.504650371042688</v>
      </c>
      <c r="X6" s="1">
        <v>1.6723369705476829</v>
      </c>
      <c r="Y6" s="1"/>
      <c r="Z6" s="1">
        <v>1.783094257537565</v>
      </c>
      <c r="AA6" s="1">
        <v>1.8827434561431251</v>
      </c>
      <c r="AB6" s="1">
        <v>2.0486787892731662</v>
      </c>
    </row>
    <row r="7" spans="1:28" x14ac:dyDescent="0.35">
      <c r="A7" t="s">
        <v>26</v>
      </c>
      <c r="B7">
        <v>134.14807059144979</v>
      </c>
      <c r="C7">
        <v>133.54941415503421</v>
      </c>
      <c r="D7">
        <v>142.6239442613934</v>
      </c>
      <c r="E7">
        <v>140.55836225128201</v>
      </c>
      <c r="F7">
        <v>139.46774478639989</v>
      </c>
      <c r="G7">
        <v>139.71147560397949</v>
      </c>
      <c r="H7">
        <v>140.94094448726301</v>
      </c>
      <c r="I7">
        <v>139.16548222866979</v>
      </c>
      <c r="J7">
        <v>135.6071481319326</v>
      </c>
      <c r="K7">
        <v>136.69120906514141</v>
      </c>
      <c r="L7">
        <v>138.1837710336826</v>
      </c>
      <c r="M7">
        <v>136.61650980706199</v>
      </c>
      <c r="N7">
        <v>135.77506908716711</v>
      </c>
      <c r="O7">
        <v>136.3063125555108</v>
      </c>
      <c r="P7">
        <v>138.33538811098521</v>
      </c>
      <c r="Q7">
        <v>135.82340571179921</v>
      </c>
      <c r="R7" s="1">
        <v>139.08655084419789</v>
      </c>
      <c r="S7" s="1">
        <v>138.6304822186874</v>
      </c>
      <c r="T7" s="1">
        <v>138.11187254308581</v>
      </c>
      <c r="U7" s="1">
        <v>139.48269306083711</v>
      </c>
      <c r="V7" s="1">
        <v>139.91737940296611</v>
      </c>
      <c r="W7" s="1">
        <v>141.88306616431319</v>
      </c>
      <c r="X7" s="1">
        <v>144.0504071521508</v>
      </c>
      <c r="Y7" s="1"/>
      <c r="Z7" s="1">
        <v>146.8930650531164</v>
      </c>
      <c r="AA7" s="1">
        <v>147.97832438904749</v>
      </c>
      <c r="AB7" s="1">
        <v>149.6191516521196</v>
      </c>
    </row>
    <row r="8" spans="1:28" x14ac:dyDescent="0.35">
      <c r="A8" t="s">
        <v>27</v>
      </c>
      <c r="B8">
        <v>1462434.43</v>
      </c>
      <c r="C8">
        <v>10919535.779999999</v>
      </c>
      <c r="D8">
        <v>18319871.18</v>
      </c>
      <c r="E8">
        <v>17387363.649999999</v>
      </c>
      <c r="F8">
        <v>23124191.199999999</v>
      </c>
      <c r="G8">
        <v>23510720.640000001</v>
      </c>
      <c r="H8">
        <v>31543002.84</v>
      </c>
      <c r="I8">
        <v>35545767.260000013</v>
      </c>
      <c r="J8">
        <v>50802743.680000007</v>
      </c>
      <c r="K8">
        <v>55019552.159999996</v>
      </c>
      <c r="L8">
        <v>42442574.010000013</v>
      </c>
      <c r="M8">
        <v>40719961.400000013</v>
      </c>
      <c r="N8">
        <v>38242116.390000001</v>
      </c>
      <c r="O8">
        <v>43485809.939999998</v>
      </c>
      <c r="P8">
        <v>43419978.609999999</v>
      </c>
      <c r="Q8">
        <v>44626995.380000003</v>
      </c>
      <c r="R8" s="1">
        <v>31718897.359999999</v>
      </c>
      <c r="S8" s="1">
        <v>46957669.380000003</v>
      </c>
      <c r="T8" s="1">
        <v>48436705.359999999</v>
      </c>
      <c r="U8" s="1">
        <v>41847911.840000004</v>
      </c>
      <c r="V8" s="1">
        <v>51674677.010000013</v>
      </c>
      <c r="W8" s="1">
        <v>107724085.98</v>
      </c>
      <c r="X8" s="1">
        <v>90227374.950000003</v>
      </c>
      <c r="Y8" s="1"/>
      <c r="Z8" s="1">
        <v>72604977.900000006</v>
      </c>
      <c r="AA8" s="1">
        <v>82073268.25</v>
      </c>
      <c r="AB8" s="1">
        <v>58437607.400000013</v>
      </c>
    </row>
    <row r="9" spans="1:28" x14ac:dyDescent="0.35">
      <c r="A9" t="s">
        <v>28</v>
      </c>
      <c r="B9">
        <v>1.94</v>
      </c>
      <c r="C9">
        <v>1.94</v>
      </c>
      <c r="D9">
        <v>1.480649155374359</v>
      </c>
      <c r="E9">
        <v>1.431167931406429</v>
      </c>
      <c r="F9">
        <v>1.452856564912647</v>
      </c>
      <c r="G9">
        <v>1.505278486404799</v>
      </c>
      <c r="H9">
        <v>1.482205629320301</v>
      </c>
      <c r="I9">
        <v>1.450910111095763</v>
      </c>
      <c r="J9">
        <v>1.4658829647041851</v>
      </c>
      <c r="K9">
        <v>1.463109467662296</v>
      </c>
      <c r="L9">
        <v>1.410753159523833</v>
      </c>
      <c r="M9">
        <v>1.4778122608441739</v>
      </c>
      <c r="N9">
        <v>1.518881396116357</v>
      </c>
      <c r="O9">
        <v>1.537039431284936</v>
      </c>
      <c r="P9">
        <v>1.549769377000995</v>
      </c>
      <c r="Q9">
        <v>1.579077393291624</v>
      </c>
      <c r="R9" s="1">
        <v>1.5228449554175729</v>
      </c>
      <c r="S9" s="1">
        <v>1.54469521345703</v>
      </c>
      <c r="T9" s="1">
        <v>1.573477892825947</v>
      </c>
      <c r="U9" s="1">
        <v>1.538778447967365</v>
      </c>
      <c r="V9" s="1">
        <v>1.50060230154756</v>
      </c>
      <c r="W9" s="1">
        <v>1.461418897695721</v>
      </c>
      <c r="X9" s="1">
        <v>1.4464268613587501</v>
      </c>
      <c r="Y9" s="1"/>
      <c r="Z9" s="1">
        <v>1.408017259001815</v>
      </c>
      <c r="AA9" s="1">
        <v>1.423414524323585</v>
      </c>
      <c r="AB9" s="1">
        <v>1.411364921536596</v>
      </c>
    </row>
    <row r="10" spans="1:28" x14ac:dyDescent="0.35">
      <c r="A10" t="s">
        <v>29</v>
      </c>
      <c r="B10">
        <v>0.2064613975335633</v>
      </c>
      <c r="C10">
        <v>0.20267641051376281</v>
      </c>
      <c r="D10">
        <v>0.2075232086791344</v>
      </c>
      <c r="E10">
        <v>0.2176366027183195</v>
      </c>
      <c r="F10">
        <v>0.22098734225960731</v>
      </c>
      <c r="G10">
        <v>0.21716219659653949</v>
      </c>
      <c r="H10">
        <v>0.21682899573771211</v>
      </c>
      <c r="I10">
        <v>0.2205859346328258</v>
      </c>
      <c r="J10">
        <v>0.22387799950144341</v>
      </c>
      <c r="K10">
        <v>0.22342052087010289</v>
      </c>
      <c r="L10">
        <v>0.22130460060824661</v>
      </c>
      <c r="M10">
        <v>0.2213236038160635</v>
      </c>
      <c r="N10">
        <v>0.21992708907021349</v>
      </c>
      <c r="O10">
        <v>0.21859583326089019</v>
      </c>
      <c r="P10">
        <v>0.22037482410894721</v>
      </c>
      <c r="Q10">
        <v>0.2200525114079056</v>
      </c>
      <c r="R10" s="1">
        <v>0.23649932110881061</v>
      </c>
      <c r="S10" s="1">
        <v>0.2340636884673323</v>
      </c>
      <c r="T10" s="1">
        <v>0.23440668419839361</v>
      </c>
      <c r="U10" s="1">
        <v>0.23445823004732499</v>
      </c>
      <c r="V10" s="1">
        <v>0.2332130610516909</v>
      </c>
      <c r="W10" s="1">
        <v>0.2285049946993902</v>
      </c>
      <c r="X10" s="1">
        <v>0.22610947184931879</v>
      </c>
      <c r="Y10" s="1"/>
      <c r="Z10" s="1">
        <v>0.22452722489232049</v>
      </c>
      <c r="AA10" s="1">
        <v>0.22310366491224101</v>
      </c>
      <c r="AB10" s="1">
        <v>0.22073316015324049</v>
      </c>
    </row>
    <row r="15" spans="1:28" x14ac:dyDescent="0.35">
      <c r="C15" s="7" t="s">
        <v>68</v>
      </c>
      <c r="D15" t="s">
        <v>7</v>
      </c>
      <c r="E15" t="s">
        <v>11</v>
      </c>
      <c r="F15" t="s">
        <v>15</v>
      </c>
      <c r="G15" t="s">
        <v>17</v>
      </c>
      <c r="H15" t="s">
        <v>18</v>
      </c>
      <c r="I15" t="s">
        <v>19</v>
      </c>
    </row>
    <row r="16" spans="1:28" x14ac:dyDescent="0.35">
      <c r="C16" s="8"/>
      <c r="E16">
        <f t="shared" ref="E16:F21" si="0">AVERAGE(C2:E2)</f>
        <v>129.4793263301641</v>
      </c>
      <c r="F16">
        <f t="shared" si="0"/>
        <v>129.57118760925752</v>
      </c>
      <c r="G16" s="1">
        <f t="shared" ref="G16:G21" si="1">AVERAGE(U2:W2)</f>
        <v>133.06817643789807</v>
      </c>
      <c r="H16" s="1">
        <f t="shared" ref="H16:H21" si="2">AVERAGE(X2:AA2)</f>
        <v>135.58393864140862</v>
      </c>
      <c r="I16" s="1">
        <v>137.33713790472339</v>
      </c>
    </row>
    <row r="17" spans="3:9" x14ac:dyDescent="0.35">
      <c r="C17" s="8"/>
      <c r="E17">
        <f t="shared" si="0"/>
        <v>0.70423400586306195</v>
      </c>
      <c r="F17">
        <f t="shared" si="0"/>
        <v>0.70938820629447719</v>
      </c>
      <c r="G17" s="1">
        <f t="shared" si="1"/>
        <v>-0.37986375410384693</v>
      </c>
      <c r="H17" s="1">
        <f t="shared" si="2"/>
        <v>-0.41597940342774109</v>
      </c>
      <c r="I17" s="1">
        <v>-0.50856782155958058</v>
      </c>
    </row>
    <row r="18" spans="3:9" x14ac:dyDescent="0.35">
      <c r="C18" s="8"/>
      <c r="E18">
        <f t="shared" si="0"/>
        <v>2.1038150277120859</v>
      </c>
      <c r="F18">
        <f t="shared" si="0"/>
        <v>2.5067957132164511</v>
      </c>
      <c r="G18" s="1">
        <f t="shared" si="1"/>
        <v>1.4899340600548066</v>
      </c>
      <c r="H18" s="1">
        <f t="shared" si="2"/>
        <v>3.2286344494494514</v>
      </c>
      <c r="I18" s="1">
        <v>4.3730697172238244</v>
      </c>
    </row>
    <row r="19" spans="3:9" x14ac:dyDescent="0.35">
      <c r="C19" s="8"/>
      <c r="E19">
        <f t="shared" si="0"/>
        <v>3.7727100367589785</v>
      </c>
      <c r="F19">
        <f t="shared" si="0"/>
        <v>5.6727458229213736</v>
      </c>
      <c r="G19" s="1">
        <f t="shared" si="1"/>
        <v>4.9925120620788155</v>
      </c>
      <c r="H19" s="1">
        <f t="shared" si="2"/>
        <v>6.1312204920301729</v>
      </c>
      <c r="I19" s="1">
        <v>6.3674505414897773</v>
      </c>
    </row>
    <row r="20" spans="3:9" x14ac:dyDescent="0.35">
      <c r="C20" s="8"/>
      <c r="E20">
        <f t="shared" si="0"/>
        <v>2.8504881554049439</v>
      </c>
      <c r="F20">
        <f t="shared" si="0"/>
        <v>2.4232330813352374</v>
      </c>
      <c r="G20" s="1">
        <f t="shared" si="1"/>
        <v>1.2558866647038576</v>
      </c>
      <c r="H20" s="1">
        <f t="shared" si="2"/>
        <v>1.7793915614094578</v>
      </c>
      <c r="I20" s="1">
        <v>2.0486787892731662</v>
      </c>
    </row>
    <row r="21" spans="3:9" x14ac:dyDescent="0.35">
      <c r="C21" s="8"/>
      <c r="E21">
        <f t="shared" si="0"/>
        <v>138.9105735559032</v>
      </c>
      <c r="F21">
        <f t="shared" si="0"/>
        <v>140.88335043302507</v>
      </c>
      <c r="G21" s="1">
        <f t="shared" si="1"/>
        <v>140.42771287603878</v>
      </c>
      <c r="H21" s="1">
        <f t="shared" si="2"/>
        <v>146.30726553143822</v>
      </c>
      <c r="I21" s="1">
        <v>149.6191516521196</v>
      </c>
    </row>
    <row r="22" spans="3:9" x14ac:dyDescent="0.35">
      <c r="C22" s="8"/>
      <c r="E22">
        <f>SUM(C8:E8)</f>
        <v>46626770.609999999</v>
      </c>
      <c r="F22">
        <f>SUM(D8:F8)</f>
        <v>58831426.030000001</v>
      </c>
      <c r="G22" s="1">
        <f>SUM(U8:W8)</f>
        <v>201246674.83000004</v>
      </c>
      <c r="H22" s="1">
        <f>SUM(X8:AA8)</f>
        <v>244905621.10000002</v>
      </c>
      <c r="I22" s="1">
        <v>58437607.400000013</v>
      </c>
    </row>
    <row r="23" spans="3:9" x14ac:dyDescent="0.35">
      <c r="C23" s="8"/>
      <c r="E23">
        <f>AVERAGE(C9:E9)</f>
        <v>1.6172723622602625</v>
      </c>
      <c r="F23">
        <f>AVERAGE(D9:F9)</f>
        <v>1.454891217231145</v>
      </c>
      <c r="G23" s="1">
        <f>AVERAGE(U9:W9)</f>
        <v>1.5002665490702156</v>
      </c>
      <c r="H23" s="1">
        <f>AVERAGE(X9:AA9)</f>
        <v>1.4259528815613833</v>
      </c>
      <c r="I23" s="1">
        <v>1.411364921536596</v>
      </c>
    </row>
    <row r="24" spans="3:9" x14ac:dyDescent="0.35">
      <c r="C24" s="8"/>
      <c r="E24">
        <f>AVERAGE(C10:E10)</f>
        <v>0.20927874063707222</v>
      </c>
      <c r="F24">
        <f>AVERAGE(D10:F10)</f>
        <v>0.21538238455235373</v>
      </c>
      <c r="G24" s="1">
        <f>AVERAGE(U10:W10)</f>
        <v>0.23205876193280203</v>
      </c>
      <c r="H24" s="1">
        <f>AVERAGE(X10:AA10)</f>
        <v>0.22458012055129342</v>
      </c>
      <c r="I24" s="1">
        <v>0.22073316015324049</v>
      </c>
    </row>
    <row r="29" spans="3:9" x14ac:dyDescent="0.35">
      <c r="C29" t="s">
        <v>36</v>
      </c>
      <c r="D29" t="s">
        <v>7</v>
      </c>
      <c r="E29" t="s">
        <v>11</v>
      </c>
      <c r="F29" t="s">
        <v>15</v>
      </c>
      <c r="G29" t="s">
        <v>17</v>
      </c>
      <c r="H29" t="s">
        <v>18</v>
      </c>
      <c r="I29" t="s">
        <v>19</v>
      </c>
    </row>
    <row r="30" spans="3:9" x14ac:dyDescent="0.35">
      <c r="C30" t="s">
        <v>21</v>
      </c>
      <c r="D30" s="3">
        <v>140.4909509444019</v>
      </c>
      <c r="E30" s="3">
        <v>139.8796523785802</v>
      </c>
      <c r="F30" s="3">
        <v>139.9085743711621</v>
      </c>
      <c r="G30" s="3">
        <v>142.1674074161912</v>
      </c>
      <c r="H30" s="3">
        <v>142.94689934988679</v>
      </c>
      <c r="I30" s="3">
        <v>143.54181882626401</v>
      </c>
    </row>
    <row r="31" spans="3:9" x14ac:dyDescent="0.35">
      <c r="C31" t="s">
        <v>22</v>
      </c>
      <c r="D31" s="3">
        <v>1.457770459213009</v>
      </c>
      <c r="E31" s="3">
        <v>1.858122692845001</v>
      </c>
      <c r="F31" s="3">
        <v>1.2723136624678659</v>
      </c>
      <c r="G31" s="3">
        <v>0.33754175735191438</v>
      </c>
      <c r="H31" s="3">
        <v>0.31009057224235897</v>
      </c>
      <c r="I31" s="3">
        <v>0.3189612666179471</v>
      </c>
    </row>
    <row r="32" spans="3:9" x14ac:dyDescent="0.35">
      <c r="C32" t="s">
        <v>23</v>
      </c>
      <c r="D32" s="3">
        <v>-0.30240079339331272</v>
      </c>
      <c r="E32" s="3">
        <v>-0.35849527029085759</v>
      </c>
      <c r="F32" s="3">
        <v>0.64025968117814891</v>
      </c>
      <c r="G32" s="3">
        <v>0.82064237203291091</v>
      </c>
      <c r="H32" s="3">
        <v>0.9402321393873998</v>
      </c>
      <c r="I32" s="3">
        <v>0.74643148857063291</v>
      </c>
    </row>
    <row r="33" spans="3:9" x14ac:dyDescent="0.35">
      <c r="C33" t="s">
        <v>24</v>
      </c>
      <c r="D33" s="3">
        <v>-3.6904467872750248</v>
      </c>
      <c r="E33" s="3">
        <v>-1.5537897919556971</v>
      </c>
      <c r="F33" s="3">
        <v>-0.53154000313664129</v>
      </c>
      <c r="G33" s="3">
        <v>0.47648521966372342</v>
      </c>
      <c r="H33" s="3">
        <v>1.077952305359821</v>
      </c>
      <c r="I33" s="3">
        <v>1.314088692130762</v>
      </c>
    </row>
    <row r="34" spans="3:9" x14ac:dyDescent="0.35">
      <c r="C34" t="s">
        <v>25</v>
      </c>
      <c r="D34" s="3">
        <v>2.1270858727632318E-3</v>
      </c>
      <c r="E34" s="3">
        <v>0.21189420015197499</v>
      </c>
      <c r="F34" s="3">
        <v>3.2567675111481259E-2</v>
      </c>
      <c r="G34" s="3">
        <v>0.47670557087414961</v>
      </c>
      <c r="H34" s="3">
        <v>0.69858391764290872</v>
      </c>
      <c r="I34" s="3">
        <v>0.94607863642555001</v>
      </c>
    </row>
    <row r="35" spans="3:9" x14ac:dyDescent="0.35">
      <c r="C35" t="s">
        <v>26</v>
      </c>
      <c r="D35" s="3">
        <v>137.95800090881929</v>
      </c>
      <c r="E35" s="3">
        <v>140.03738420933061</v>
      </c>
      <c r="F35" s="3">
        <v>141.32217538678299</v>
      </c>
      <c r="G35" s="3">
        <v>144.27878233611389</v>
      </c>
      <c r="H35" s="3">
        <v>145.97375828451931</v>
      </c>
      <c r="I35" s="3">
        <v>146.86737891000891</v>
      </c>
    </row>
    <row r="36" spans="3:9" x14ac:dyDescent="0.35">
      <c r="C36" t="s">
        <v>27</v>
      </c>
      <c r="D36" s="3">
        <v>146137222.72999999</v>
      </c>
      <c r="E36" s="3">
        <v>300359129.88999999</v>
      </c>
      <c r="F36" s="3">
        <v>378587880.93999988</v>
      </c>
      <c r="G36" s="3">
        <v>559646274.66000009</v>
      </c>
      <c r="H36" s="3">
        <v>484195070.24999988</v>
      </c>
      <c r="I36" s="3">
        <v>226805813.58000001</v>
      </c>
    </row>
    <row r="37" spans="3:9" x14ac:dyDescent="0.35">
      <c r="C37" t="s">
        <v>28</v>
      </c>
      <c r="D37" s="3">
        <v>1.8512164924824099</v>
      </c>
      <c r="E37" s="3">
        <v>1.6904276467039649</v>
      </c>
      <c r="F37" s="3">
        <v>1.622984876537503</v>
      </c>
      <c r="G37" s="3">
        <v>1.5615508046580699</v>
      </c>
      <c r="H37" s="3">
        <v>1.527060926472056</v>
      </c>
      <c r="I37" s="3">
        <v>1.513933086626134</v>
      </c>
    </row>
    <row r="38" spans="3:9" x14ac:dyDescent="0.35">
      <c r="C38" t="s">
        <v>29</v>
      </c>
      <c r="D38" s="3">
        <v>0.24998024848832431</v>
      </c>
      <c r="E38" s="3">
        <v>0.2480324109985888</v>
      </c>
      <c r="F38" s="3">
        <v>0.24969758587396479</v>
      </c>
      <c r="G38" s="3">
        <v>0.2455734482704543</v>
      </c>
      <c r="H38" s="3">
        <v>0.24351314933617299</v>
      </c>
      <c r="I38" s="3">
        <v>0.24121498409033421</v>
      </c>
    </row>
    <row r="39" spans="3:9" x14ac:dyDescent="0.35">
      <c r="D39" s="3"/>
      <c r="E39" s="3"/>
      <c r="F39" s="3"/>
      <c r="G39" s="3"/>
      <c r="H39" s="3"/>
      <c r="I39" s="3"/>
    </row>
    <row r="40" spans="3:9" x14ac:dyDescent="0.35">
      <c r="C40" t="s">
        <v>38</v>
      </c>
      <c r="D40" s="3" t="s">
        <v>7</v>
      </c>
      <c r="E40" s="3" t="s">
        <v>11</v>
      </c>
      <c r="F40" s="3" t="s">
        <v>15</v>
      </c>
      <c r="G40" s="3" t="s">
        <v>17</v>
      </c>
      <c r="H40" s="3" t="s">
        <v>18</v>
      </c>
      <c r="I40" s="3" t="s">
        <v>19</v>
      </c>
    </row>
    <row r="41" spans="3:9" x14ac:dyDescent="0.35">
      <c r="C41" t="s">
        <v>21</v>
      </c>
      <c r="D41" s="3">
        <v>136.74075648017779</v>
      </c>
      <c r="E41" s="3">
        <v>139.14619257535159</v>
      </c>
      <c r="F41" s="3">
        <v>138.89574398351391</v>
      </c>
      <c r="G41" s="3">
        <v>141.264883179789</v>
      </c>
      <c r="H41" s="3">
        <v>142.0023003354755</v>
      </c>
      <c r="I41" s="3">
        <v>142.54834640263181</v>
      </c>
    </row>
    <row r="42" spans="3:9" x14ac:dyDescent="0.35">
      <c r="C42" t="s">
        <v>22</v>
      </c>
      <c r="D42" s="3">
        <v>0.4716337735053599</v>
      </c>
      <c r="E42" s="3">
        <v>0.86182839387379051</v>
      </c>
      <c r="F42" s="3">
        <v>1.6634828544725839</v>
      </c>
      <c r="G42" s="3">
        <v>2.3756396528142258</v>
      </c>
      <c r="H42" s="3">
        <v>2.6827230091745342</v>
      </c>
      <c r="I42" s="3">
        <v>2.7622327700302298</v>
      </c>
    </row>
    <row r="43" spans="3:9" x14ac:dyDescent="0.35">
      <c r="C43" t="s">
        <v>23</v>
      </c>
      <c r="D43" s="3">
        <v>-1.376284930485052</v>
      </c>
      <c r="E43" s="3">
        <v>0.18813216141839451</v>
      </c>
      <c r="F43" s="3">
        <v>2.68264900938019</v>
      </c>
      <c r="G43" s="3">
        <v>2.636387362866468</v>
      </c>
      <c r="H43" s="3">
        <v>2.746350230313007</v>
      </c>
      <c r="I43" s="3">
        <v>2.543417899879497</v>
      </c>
    </row>
    <row r="44" spans="3:9" x14ac:dyDescent="0.35">
      <c r="C44" t="s">
        <v>24</v>
      </c>
      <c r="D44" s="3">
        <v>3.637929355105892</v>
      </c>
      <c r="E44" s="3">
        <v>3.928769673673163</v>
      </c>
      <c r="F44" s="3">
        <v>4.2395847752806466</v>
      </c>
      <c r="G44" s="3">
        <v>3.5961696039123701</v>
      </c>
      <c r="H44" s="3">
        <v>3.975328040469067</v>
      </c>
      <c r="I44" s="3">
        <v>3.83524825468464</v>
      </c>
    </row>
    <row r="45" spans="3:9" x14ac:dyDescent="0.35">
      <c r="C45" t="s">
        <v>25</v>
      </c>
      <c r="D45" s="3">
        <v>-0.133504904615831</v>
      </c>
      <c r="E45" s="3">
        <v>-7.9046574678530268E-2</v>
      </c>
      <c r="F45" s="3">
        <v>-0.12682928609536981</v>
      </c>
      <c r="G45" s="3">
        <v>1.045161578932217E-3</v>
      </c>
      <c r="H45" s="3">
        <v>0.2494232469762922</v>
      </c>
      <c r="I45" s="3">
        <v>0.32930649109794752</v>
      </c>
    </row>
    <row r="46" spans="3:9" x14ac:dyDescent="0.35">
      <c r="C46" t="s">
        <v>26</v>
      </c>
      <c r="D46" s="3">
        <v>139.34052977368819</v>
      </c>
      <c r="E46" s="3">
        <v>144.0458762296384</v>
      </c>
      <c r="F46" s="3">
        <v>147.35463133655199</v>
      </c>
      <c r="G46" s="3">
        <v>149.87412496096101</v>
      </c>
      <c r="H46" s="3">
        <v>151.6561248624084</v>
      </c>
      <c r="I46" s="3">
        <v>152.01855181832411</v>
      </c>
    </row>
    <row r="47" spans="3:9" x14ac:dyDescent="0.35">
      <c r="C47" t="s">
        <v>27</v>
      </c>
      <c r="D47" s="3">
        <v>182046272.47999999</v>
      </c>
      <c r="E47" s="3">
        <v>308554811.26999998</v>
      </c>
      <c r="F47" s="3">
        <v>442907326.82999998</v>
      </c>
      <c r="G47" s="3">
        <v>469122344.36000001</v>
      </c>
      <c r="H47" s="3">
        <v>470121689.95999998</v>
      </c>
      <c r="I47" s="3">
        <v>197239883.56999999</v>
      </c>
    </row>
    <row r="48" spans="3:9" x14ac:dyDescent="0.35">
      <c r="C48" t="s">
        <v>28</v>
      </c>
      <c r="D48" s="3">
        <v>1.3971255186673801</v>
      </c>
      <c r="E48" s="3">
        <v>1.438039962055063</v>
      </c>
      <c r="F48" s="3">
        <v>1.415400126316426</v>
      </c>
      <c r="G48" s="3">
        <v>1.462588671426519</v>
      </c>
      <c r="H48" s="3">
        <v>1.4741773213022169</v>
      </c>
      <c r="I48" s="3">
        <v>1.497938123396616</v>
      </c>
    </row>
    <row r="49" spans="3:9" x14ac:dyDescent="0.35">
      <c r="C49" t="s">
        <v>29</v>
      </c>
      <c r="D49" s="3">
        <v>0.2446004373586666</v>
      </c>
      <c r="E49" s="3">
        <v>0.24614125734899031</v>
      </c>
      <c r="F49" s="3">
        <v>0.24668787338920301</v>
      </c>
      <c r="G49" s="3">
        <v>0.2449886965293776</v>
      </c>
      <c r="H49" s="3">
        <v>0.2428207765288872</v>
      </c>
      <c r="I49" s="3">
        <v>0.24218209834134741</v>
      </c>
    </row>
    <row r="50" spans="3:9" x14ac:dyDescent="0.35">
      <c r="D50" s="3"/>
      <c r="E50" s="3"/>
      <c r="F50" s="3"/>
      <c r="G50" s="3"/>
      <c r="H50" s="3"/>
      <c r="I50" s="3"/>
    </row>
    <row r="51" spans="3:9" x14ac:dyDescent="0.35">
      <c r="C51" t="s">
        <v>39</v>
      </c>
      <c r="D51" s="3" t="s">
        <v>7</v>
      </c>
      <c r="E51" s="3" t="s">
        <v>11</v>
      </c>
      <c r="F51" s="3" t="s">
        <v>15</v>
      </c>
      <c r="G51" s="3" t="s">
        <v>17</v>
      </c>
      <c r="H51" s="3" t="s">
        <v>18</v>
      </c>
      <c r="I51" s="3" t="s">
        <v>19</v>
      </c>
    </row>
    <row r="52" spans="3:9" x14ac:dyDescent="0.35">
      <c r="C52" t="s">
        <v>21</v>
      </c>
      <c r="D52" s="3">
        <v>138.41068507713069</v>
      </c>
      <c r="E52" s="3">
        <v>139.50798647333221</v>
      </c>
      <c r="F52" s="3">
        <v>139.36250910470341</v>
      </c>
      <c r="G52" s="3">
        <v>141.75585298325561</v>
      </c>
      <c r="H52" s="3">
        <v>142.48156487866589</v>
      </c>
      <c r="I52" s="3">
        <v>143.07971677810221</v>
      </c>
    </row>
    <row r="53" spans="3:9" x14ac:dyDescent="0.35">
      <c r="C53" t="s">
        <v>22</v>
      </c>
      <c r="D53" s="3">
        <v>0.91075176263296043</v>
      </c>
      <c r="E53" s="3">
        <v>1.3532707283739449</v>
      </c>
      <c r="F53" s="3">
        <v>1.483211668360515</v>
      </c>
      <c r="G53" s="3">
        <v>1.266922033030671</v>
      </c>
      <c r="H53" s="3">
        <v>1.4789120971404599</v>
      </c>
      <c r="I53" s="3">
        <v>1.4554203560553489</v>
      </c>
    </row>
    <row r="54" spans="3:9" x14ac:dyDescent="0.35">
      <c r="C54" t="s">
        <v>23</v>
      </c>
      <c r="D54" s="3">
        <v>-0.89809377334605833</v>
      </c>
      <c r="E54" s="3">
        <v>-8.1502886597454374E-2</v>
      </c>
      <c r="F54" s="3">
        <v>1.741409376446182</v>
      </c>
      <c r="G54" s="3">
        <v>1.6486288901978909</v>
      </c>
      <c r="H54" s="3">
        <v>1.8299737058945511</v>
      </c>
      <c r="I54" s="3">
        <v>1.5822786459067339</v>
      </c>
    </row>
    <row r="55" spans="3:9" x14ac:dyDescent="0.35">
      <c r="C55" t="s">
        <v>24</v>
      </c>
      <c r="D55" s="3">
        <v>0.37466794129514153</v>
      </c>
      <c r="E55" s="3">
        <v>1.224386214280883</v>
      </c>
      <c r="F55" s="3">
        <v>2.040801383147886</v>
      </c>
      <c r="G55" s="3">
        <v>1.8990729861880791</v>
      </c>
      <c r="H55" s="3">
        <v>2.5052762651097451</v>
      </c>
      <c r="I55" s="3">
        <v>2.486776498944224</v>
      </c>
    </row>
    <row r="56" spans="3:9" x14ac:dyDescent="0.35">
      <c r="C56" t="s">
        <v>25</v>
      </c>
      <c r="D56" s="3">
        <v>-7.3109172677325571E-2</v>
      </c>
      <c r="E56" s="3">
        <v>6.4465853056559108E-2</v>
      </c>
      <c r="F56" s="3">
        <v>-5.3370844462594533E-2</v>
      </c>
      <c r="G56" s="3">
        <v>0.25980264226385202</v>
      </c>
      <c r="H56" s="3">
        <v>0.47731548522966011</v>
      </c>
      <c r="I56" s="3">
        <v>0.65919430544128155</v>
      </c>
    </row>
    <row r="57" spans="3:9" x14ac:dyDescent="0.35">
      <c r="C57" t="s">
        <v>26</v>
      </c>
      <c r="D57" s="3">
        <v>138.72490183503541</v>
      </c>
      <c r="E57" s="3">
        <v>142.06860638244621</v>
      </c>
      <c r="F57" s="3">
        <v>144.57456068819539</v>
      </c>
      <c r="G57" s="3">
        <v>146.8302795349361</v>
      </c>
      <c r="H57" s="3">
        <v>148.77304243204031</v>
      </c>
      <c r="I57" s="3">
        <v>149.26338658444971</v>
      </c>
    </row>
    <row r="58" spans="3:9" x14ac:dyDescent="0.35">
      <c r="C58" t="s">
        <v>27</v>
      </c>
      <c r="D58" s="3">
        <v>328183495.20999998</v>
      </c>
      <c r="E58" s="3">
        <v>608913941.15999997</v>
      </c>
      <c r="F58" s="3">
        <v>821495207.76999998</v>
      </c>
      <c r="G58" s="3">
        <v>1028768619.02</v>
      </c>
      <c r="H58" s="3">
        <v>954316760.21000004</v>
      </c>
      <c r="I58" s="3">
        <v>424045697.14999998</v>
      </c>
    </row>
    <row r="59" spans="3:9" x14ac:dyDescent="0.35">
      <c r="C59" t="s">
        <v>28</v>
      </c>
      <c r="D59" s="3">
        <v>1.5993282337601269</v>
      </c>
      <c r="E59" s="2">
        <v>1.562535297490611</v>
      </c>
      <c r="F59" s="3">
        <v>1.5110660169489369</v>
      </c>
      <c r="G59" s="3">
        <v>1.5164237011615851</v>
      </c>
      <c r="H59" s="3">
        <v>1.501009063117847</v>
      </c>
      <c r="I59" s="3">
        <v>1.5064932170406149</v>
      </c>
    </row>
    <row r="60" spans="3:9" x14ac:dyDescent="0.35">
      <c r="C60" t="s">
        <v>29</v>
      </c>
      <c r="D60" s="3">
        <v>0.2469960199177379</v>
      </c>
      <c r="E60" s="3">
        <v>0.24707410717601119</v>
      </c>
      <c r="F60" s="3">
        <v>0.24807490603536739</v>
      </c>
      <c r="G60" s="3">
        <v>0.24530679928586169</v>
      </c>
      <c r="H60" s="3">
        <v>0.24317206816919029</v>
      </c>
      <c r="I60" s="3">
        <v>0.2416648259435844</v>
      </c>
    </row>
    <row r="63" spans="3:9" x14ac:dyDescent="0.35">
      <c r="C63" t="s">
        <v>68</v>
      </c>
      <c r="D63" t="s">
        <v>7</v>
      </c>
      <c r="E63" t="s">
        <v>11</v>
      </c>
      <c r="F63" t="s">
        <v>15</v>
      </c>
      <c r="G63" t="s">
        <v>17</v>
      </c>
      <c r="H63" t="s">
        <v>18</v>
      </c>
      <c r="I63" t="s">
        <v>19</v>
      </c>
    </row>
    <row r="64" spans="3:9" x14ac:dyDescent="0.35">
      <c r="E64">
        <v>129.4793263301641</v>
      </c>
      <c r="F64">
        <v>129.57118760925749</v>
      </c>
      <c r="G64">
        <v>133.0681764378981</v>
      </c>
      <c r="H64">
        <v>135.58393864140859</v>
      </c>
      <c r="I64">
        <v>137.33713790472339</v>
      </c>
    </row>
    <row r="65" spans="3:9" x14ac:dyDescent="0.35">
      <c r="E65">
        <v>0.70423400586306195</v>
      </c>
      <c r="F65">
        <v>0.70938820629447719</v>
      </c>
      <c r="G65">
        <v>-0.37986375410384687</v>
      </c>
      <c r="H65">
        <v>-0.41597940342774109</v>
      </c>
      <c r="I65">
        <v>-0.50856782155958058</v>
      </c>
    </row>
    <row r="66" spans="3:9" x14ac:dyDescent="0.35">
      <c r="E66">
        <v>2.1038150277120859</v>
      </c>
      <c r="F66">
        <v>2.5067957132164511</v>
      </c>
      <c r="G66">
        <v>1.489934060054807</v>
      </c>
      <c r="H66">
        <v>3.228634449449451</v>
      </c>
      <c r="I66">
        <v>4.3730697172238244</v>
      </c>
    </row>
    <row r="67" spans="3:9" x14ac:dyDescent="0.35">
      <c r="E67">
        <v>3.772710036758979</v>
      </c>
      <c r="F67">
        <v>5.6727458229213736</v>
      </c>
      <c r="G67">
        <v>4.9925120620788146</v>
      </c>
      <c r="H67">
        <v>6.1312204920301729</v>
      </c>
      <c r="I67">
        <v>6.3674505414897773</v>
      </c>
    </row>
    <row r="68" spans="3:9" x14ac:dyDescent="0.35">
      <c r="E68">
        <v>2.8504881554049439</v>
      </c>
      <c r="F68">
        <v>2.423233081335237</v>
      </c>
      <c r="G68">
        <v>1.255886664703858</v>
      </c>
      <c r="H68">
        <v>1.779391561409458</v>
      </c>
      <c r="I68">
        <v>2.0486787892731662</v>
      </c>
    </row>
    <row r="69" spans="3:9" x14ac:dyDescent="0.35">
      <c r="E69">
        <v>138.9105735559032</v>
      </c>
      <c r="F69">
        <v>140.8833504330251</v>
      </c>
      <c r="G69">
        <v>140.42771287603881</v>
      </c>
      <c r="H69">
        <v>146.30726553143819</v>
      </c>
      <c r="I69">
        <v>149.6191516521196</v>
      </c>
    </row>
    <row r="70" spans="3:9" x14ac:dyDescent="0.35">
      <c r="E70">
        <v>46626770.609999999</v>
      </c>
      <c r="F70">
        <v>58831426.030000001</v>
      </c>
      <c r="G70">
        <v>201246674.83000001</v>
      </c>
      <c r="H70">
        <v>244905621.09999999</v>
      </c>
      <c r="I70">
        <v>58437607.400000013</v>
      </c>
    </row>
    <row r="71" spans="3:9" x14ac:dyDescent="0.35">
      <c r="E71">
        <v>1.6172723622602621</v>
      </c>
      <c r="F71">
        <v>1.454891217231145</v>
      </c>
      <c r="G71">
        <v>1.5002665490702161</v>
      </c>
      <c r="H71">
        <v>1.4259528815613829</v>
      </c>
      <c r="I71">
        <v>1.411364921536596</v>
      </c>
    </row>
    <row r="72" spans="3:9" x14ac:dyDescent="0.35">
      <c r="E72">
        <v>0.20927874063707219</v>
      </c>
      <c r="F72">
        <v>0.2153823845523537</v>
      </c>
      <c r="G72">
        <v>0.232058761932802</v>
      </c>
      <c r="H72">
        <v>0.22458012055129339</v>
      </c>
      <c r="I72">
        <v>0.22073316015324049</v>
      </c>
    </row>
    <row r="74" spans="3:9" x14ac:dyDescent="0.35">
      <c r="E74" s="3">
        <f>SUM(E70,E58)</f>
        <v>655540711.76999998</v>
      </c>
      <c r="F74" s="3">
        <f>SUM(F70,F58)</f>
        <v>880326633.79999995</v>
      </c>
      <c r="G74" s="3">
        <f>SUM(G70,G58)</f>
        <v>1230015293.8499999</v>
      </c>
      <c r="H74" s="3">
        <f>SUM(H70,H58)</f>
        <v>1199222381.3099999</v>
      </c>
      <c r="I74" s="3">
        <f>SUM(I70,I58)</f>
        <v>482483304.55000001</v>
      </c>
    </row>
    <row r="75" spans="3:9" x14ac:dyDescent="0.35">
      <c r="E75">
        <f>E70/E74</f>
        <v>7.1127192823928306E-2</v>
      </c>
      <c r="F75">
        <f>F70/F74</f>
        <v>6.6829087944379764E-2</v>
      </c>
      <c r="G75">
        <f>G70/G74</f>
        <v>0.16361314841873992</v>
      </c>
      <c r="H75">
        <f>H70/H74</f>
        <v>0.20422035555446466</v>
      </c>
      <c r="I75">
        <f>I70/I74</f>
        <v>0.12111840316320022</v>
      </c>
    </row>
    <row r="76" spans="3:9" x14ac:dyDescent="0.35">
      <c r="C76" s="4" t="s">
        <v>69</v>
      </c>
    </row>
    <row r="77" spans="3:9" x14ac:dyDescent="0.35">
      <c r="C77" t="s">
        <v>21</v>
      </c>
      <c r="D77" s="1">
        <f t="shared" ref="D77:D85" si="3">D52</f>
        <v>138.41068507713069</v>
      </c>
      <c r="E77" s="1">
        <f t="shared" ref="E77:I85" si="4">E52*E$58/E$74+E64*E$70/E$74</f>
        <v>138.79467602956345</v>
      </c>
      <c r="F77" s="1">
        <f t="shared" si="4"/>
        <v>138.70816401939254</v>
      </c>
      <c r="G77" s="1">
        <f t="shared" si="4"/>
        <v>140.33443487122605</v>
      </c>
      <c r="H77" s="1">
        <f t="shared" si="4"/>
        <v>141.07292919601142</v>
      </c>
      <c r="I77" s="1">
        <f t="shared" si="4"/>
        <v>142.38418479491983</v>
      </c>
    </row>
    <row r="78" spans="3:9" x14ac:dyDescent="0.35">
      <c r="C78" t="s">
        <v>22</v>
      </c>
      <c r="D78" s="1">
        <f t="shared" si="3"/>
        <v>0.91075176263296043</v>
      </c>
      <c r="E78" s="1">
        <f t="shared" si="4"/>
        <v>1.3071065682621028</v>
      </c>
      <c r="F78" s="1">
        <f t="shared" si="4"/>
        <v>1.4314977521606793</v>
      </c>
      <c r="G78" s="1">
        <f t="shared" si="4"/>
        <v>0.9974862256263598</v>
      </c>
      <c r="H78" s="1">
        <f t="shared" si="4"/>
        <v>1.091936681157289</v>
      </c>
      <c r="I78" s="1">
        <f t="shared" si="4"/>
        <v>1.2175452441512249</v>
      </c>
    </row>
    <row r="79" spans="3:9" x14ac:dyDescent="0.35">
      <c r="C79" t="s">
        <v>23</v>
      </c>
      <c r="D79" s="1">
        <f t="shared" si="3"/>
        <v>-0.89809377334605833</v>
      </c>
      <c r="E79" s="1">
        <f t="shared" si="4"/>
        <v>7.3932642075225138E-2</v>
      </c>
      <c r="F79" s="1">
        <f t="shared" si="4"/>
        <v>1.7925594472576289</v>
      </c>
      <c r="G79" s="1">
        <f t="shared" si="4"/>
        <v>1.6226643294004039</v>
      </c>
      <c r="H79" s="1">
        <f t="shared" si="4"/>
        <v>2.1156087002434045</v>
      </c>
      <c r="I79" s="1">
        <f t="shared" si="4"/>
        <v>1.9202948040267769</v>
      </c>
    </row>
    <row r="80" spans="3:9" x14ac:dyDescent="0.35">
      <c r="C80" t="s">
        <v>24</v>
      </c>
      <c r="D80" s="1">
        <f t="shared" si="3"/>
        <v>0.37466794129514153</v>
      </c>
      <c r="E80" s="1">
        <f t="shared" si="4"/>
        <v>1.4056413341800926</v>
      </c>
      <c r="F80" s="1">
        <f t="shared" si="4"/>
        <v>2.2835209175226097</v>
      </c>
      <c r="G80" s="1">
        <f t="shared" si="4"/>
        <v>2.4052002928361196</v>
      </c>
      <c r="H80" s="1">
        <f t="shared" si="4"/>
        <v>3.2457678843520936</v>
      </c>
      <c r="I80" s="1">
        <f t="shared" si="4"/>
        <v>2.9567975421742219</v>
      </c>
    </row>
    <row r="81" spans="3:9" x14ac:dyDescent="0.35">
      <c r="C81" t="s">
        <v>25</v>
      </c>
      <c r="D81" s="1">
        <f t="shared" si="3"/>
        <v>-7.3109172677325571E-2</v>
      </c>
      <c r="E81" s="1">
        <f t="shared" si="4"/>
        <v>0.26262779856745738</v>
      </c>
      <c r="F81" s="1">
        <f t="shared" si="4"/>
        <v>0.11213833709794493</v>
      </c>
      <c r="G81" s="1">
        <f t="shared" si="4"/>
        <v>0.42277508526486418</v>
      </c>
      <c r="H81" s="1">
        <f t="shared" si="4"/>
        <v>0.74322592446606062</v>
      </c>
      <c r="I81" s="1">
        <f t="shared" si="4"/>
        <v>0.827486447343043</v>
      </c>
    </row>
    <row r="82" spans="3:9" x14ac:dyDescent="0.35">
      <c r="C82" t="s">
        <v>26</v>
      </c>
      <c r="D82" s="3">
        <f t="shared" si="3"/>
        <v>138.72490183503541</v>
      </c>
      <c r="E82" s="3">
        <f t="shared" si="4"/>
        <v>141.84398437264838</v>
      </c>
      <c r="F82" s="3">
        <f t="shared" si="4"/>
        <v>144.32788047343143</v>
      </c>
      <c r="G82" s="3">
        <f t="shared" si="4"/>
        <v>145.78273544591306</v>
      </c>
      <c r="H82" s="3">
        <f t="shared" si="4"/>
        <v>148.26948059668138</v>
      </c>
      <c r="I82" s="3">
        <f t="shared" si="4"/>
        <v>149.30647628134713</v>
      </c>
    </row>
    <row r="83" spans="3:9" x14ac:dyDescent="0.35">
      <c r="C83" t="s">
        <v>27</v>
      </c>
      <c r="D83" s="1">
        <f t="shared" si="3"/>
        <v>328183495.20999998</v>
      </c>
      <c r="E83" s="1">
        <f t="shared" si="4"/>
        <v>568920033.1578691</v>
      </c>
      <c r="F83" s="1">
        <f t="shared" si="4"/>
        <v>770527082.82810426</v>
      </c>
      <c r="G83" s="1">
        <f t="shared" si="4"/>
        <v>893375148.34547734</v>
      </c>
      <c r="H83" s="1">
        <f t="shared" si="4"/>
        <v>809440565.14665818</v>
      </c>
      <c r="I83" s="1">
        <f t="shared" si="4"/>
        <v>379763829.13593197</v>
      </c>
    </row>
    <row r="84" spans="3:9" x14ac:dyDescent="0.35">
      <c r="C84" t="s">
        <v>28</v>
      </c>
      <c r="D84" s="1">
        <f t="shared" si="3"/>
        <v>1.5993282337601269</v>
      </c>
      <c r="E84" s="1">
        <f t="shared" si="4"/>
        <v>1.5664285912510978</v>
      </c>
      <c r="F84" s="1">
        <f t="shared" si="4"/>
        <v>1.5073119063183387</v>
      </c>
      <c r="G84" s="1">
        <f t="shared" si="4"/>
        <v>1.5137801786384359</v>
      </c>
      <c r="H84" s="1">
        <f t="shared" si="4"/>
        <v>1.4856810630338255</v>
      </c>
      <c r="I84" s="1">
        <f t="shared" si="4"/>
        <v>1.494971429793531</v>
      </c>
    </row>
    <row r="85" spans="3:9" x14ac:dyDescent="0.35">
      <c r="C85" t="s">
        <v>29</v>
      </c>
      <c r="D85" s="1">
        <f t="shared" si="3"/>
        <v>0.2469960199177379</v>
      </c>
      <c r="E85" s="1">
        <f t="shared" si="4"/>
        <v>0.24438582885234506</v>
      </c>
      <c r="F85" s="1">
        <f t="shared" si="4"/>
        <v>0.24589009464205558</v>
      </c>
      <c r="G85" s="1">
        <f t="shared" si="4"/>
        <v>0.24313924618415855</v>
      </c>
      <c r="H85" s="1">
        <f t="shared" si="4"/>
        <v>0.23937521401621342</v>
      </c>
      <c r="I85" s="1">
        <f t="shared" si="4"/>
        <v>0.23912961600751217</v>
      </c>
    </row>
  </sheetData>
  <mergeCells count="1">
    <mergeCell ref="C15:C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8"/>
  <sheetViews>
    <sheetView topLeftCell="A73" zoomScale="145" zoomScaleNormal="145" workbookViewId="0">
      <selection activeCell="K103" sqref="K103"/>
    </sheetView>
  </sheetViews>
  <sheetFormatPr defaultRowHeight="14.5" x14ac:dyDescent="0.35"/>
  <cols>
    <col min="1" max="1" width="24.36328125" bestFit="1" customWidth="1"/>
  </cols>
  <sheetData>
    <row r="1" spans="1:22" x14ac:dyDescent="0.35">
      <c r="A1" t="str">
        <f>'Data Tables (M) no_cb_zip'!A1</f>
        <v>AN</v>
      </c>
      <c r="B1" t="str">
        <f>'Data Tables (M) no_cb_zip'!B1</f>
        <v>2025 M01</v>
      </c>
      <c r="C1" t="str">
        <f>'Data Tables (M) no_cb_zip'!C1</f>
        <v>2025 M02</v>
      </c>
      <c r="D1" t="str">
        <f>'Data Tables (M) no_cb_zip'!D1</f>
        <v>2025 M03</v>
      </c>
      <c r="E1" t="str">
        <f>'Data Tables (M) no_cb_zip'!E1</f>
        <v>2025 M04</v>
      </c>
      <c r="F1" t="str">
        <f>'Data Tables (M) no_cb_zip'!F1</f>
        <v>2025 M05</v>
      </c>
      <c r="G1" t="str">
        <f>'Data Tables (M) no_cb_zip'!G1</f>
        <v>2025 M06</v>
      </c>
      <c r="H1" t="str">
        <f>'Data Tables (M) no_cb_zip'!H1</f>
        <v>2025 M07</v>
      </c>
      <c r="I1" t="str">
        <f>'Data Tables (M) no_cb_zip'!I1</f>
        <v>2025 M08</v>
      </c>
      <c r="J1" t="str">
        <f>'Data Tables (M) no_cb_zip'!J1</f>
        <v>2025 M09</v>
      </c>
      <c r="K1" t="str">
        <f>'Data Tables (M) no_cb_zip'!K1</f>
        <v>2025 M10</v>
      </c>
      <c r="L1" t="str">
        <f>'Data Tables (M) no_cb_zip'!L1</f>
        <v>2025 M11</v>
      </c>
      <c r="M1" t="str">
        <f>'Data Tables (M) no_cb_zip'!M1</f>
        <v>2025 M12</v>
      </c>
      <c r="N1" t="str">
        <f>'Data Tables (M) no_cb_zip'!N1</f>
        <v>2026 M01</v>
      </c>
      <c r="O1" t="str">
        <f>'Data Tables (M) no_cb_zip'!O1</f>
        <v>2026 M02</v>
      </c>
      <c r="P1" t="str">
        <f>'Data Tables (M) no_cb_zip'!P1</f>
        <v>2026 M03</v>
      </c>
      <c r="Q1" t="str">
        <f>'Data Tables (M) no_cb_zip'!Q1</f>
        <v>2026 M04</v>
      </c>
      <c r="R1" t="str">
        <f>'Data Tables (M) no_cb_zip'!R1</f>
        <v>2026 M05</v>
      </c>
      <c r="S1" t="str">
        <f>'Data Tables (M) no_cb_zip'!S1</f>
        <v>2026 M06</v>
      </c>
      <c r="T1" t="str">
        <f>'Data Tables (M) no_cb_zip'!T1</f>
        <v>2026 M07</v>
      </c>
      <c r="U1" t="str">
        <f>'Data Tables (M) no_cb_zip'!U1</f>
        <v>2026 M08</v>
      </c>
      <c r="V1" t="str">
        <f>'Data Tables (M) no_cb_zip'!V1</f>
        <v>2026 M09</v>
      </c>
    </row>
    <row r="2" spans="1:22" x14ac:dyDescent="0.35">
      <c r="A2" t="str">
        <f>'Data Tables (M) no_cb_zip'!A2</f>
        <v>Model Score</v>
      </c>
      <c r="B2">
        <f>'Data Tables (M) cb_zip'!B2-'Data Tables (M) no_cb_zip'!B2</f>
        <v>0</v>
      </c>
      <c r="C2">
        <f>'Data Tables (M) cb_zip'!C2-'Data Tables (M) no_cb_zip'!C2</f>
        <v>0</v>
      </c>
      <c r="D2">
        <f>'Data Tables (M) cb_zip'!D2-'Data Tables (M) no_cb_zip'!D2</f>
        <v>0</v>
      </c>
      <c r="E2">
        <f>'Data Tables (M) cb_zip'!E2-'Data Tables (M) no_cb_zip'!E2</f>
        <v>0</v>
      </c>
      <c r="F2">
        <f>'Data Tables (M) cb_zip'!F2-'Data Tables (M) no_cb_zip'!F2</f>
        <v>0</v>
      </c>
      <c r="G2">
        <f>'Data Tables (M) cb_zip'!G2-'Data Tables (M) no_cb_zip'!G2</f>
        <v>0</v>
      </c>
      <c r="H2">
        <f>'Data Tables (M) cb_zip'!H2-'Data Tables (M) no_cb_zip'!H2</f>
        <v>0</v>
      </c>
      <c r="I2">
        <f>'Data Tables (M) cb_zip'!I2-'Data Tables (M) no_cb_zip'!I2</f>
        <v>0</v>
      </c>
      <c r="J2">
        <f>'Data Tables (M) cb_zip'!J2-'Data Tables (M) no_cb_zip'!J2</f>
        <v>0</v>
      </c>
      <c r="K2">
        <f>'Data Tables (M) cb_zip'!K2-'Data Tables (M) no_cb_zip'!K2</f>
        <v>0</v>
      </c>
      <c r="L2">
        <f>'Data Tables (M) cb_zip'!L2-'Data Tables (M) no_cb_zip'!L2</f>
        <v>0</v>
      </c>
      <c r="M2">
        <f>'Data Tables (M) cb_zip'!M2-'Data Tables (M) no_cb_zip'!M2</f>
        <v>0</v>
      </c>
      <c r="N2">
        <f>'Data Tables (M) cb_zip'!N2-'Data Tables (M) no_cb_zip'!N2</f>
        <v>0</v>
      </c>
      <c r="O2">
        <f>'Data Tables (M) cb_zip'!O2-'Data Tables (M) no_cb_zip'!O2</f>
        <v>0</v>
      </c>
      <c r="P2">
        <f>'Data Tables (M) cb_zip'!P2-'Data Tables (M) no_cb_zip'!P2</f>
        <v>0</v>
      </c>
      <c r="Q2">
        <f>'Data Tables (M) cb_zip'!Q2-'Data Tables (M) no_cb_zip'!Q2</f>
        <v>0</v>
      </c>
      <c r="R2">
        <f>'Data Tables (M) cb_zip'!R2-'Data Tables (M) no_cb_zip'!R2</f>
        <v>0</v>
      </c>
      <c r="S2">
        <f>'Data Tables (M) cb_zip'!S2-'Data Tables (M) no_cb_zip'!S2</f>
        <v>0</v>
      </c>
      <c r="T2">
        <f>'Data Tables (M) cb_zip'!T2-'Data Tables (M) no_cb_zip'!T2</f>
        <v>0</v>
      </c>
      <c r="U2">
        <f>'Data Tables (M) cb_zip'!U2-'Data Tables (M) no_cb_zip'!U2</f>
        <v>0</v>
      </c>
      <c r="V2">
        <f>'Data Tables (M) cb_zip'!V2-'Data Tables (M) no_cb_zip'!V2</f>
        <v>0</v>
      </c>
    </row>
    <row r="3" spans="1:22" x14ac:dyDescent="0.35">
      <c r="A3" t="str">
        <f>'Data Tables (M) no_cb_zip'!A3</f>
        <v>Expected Gross Loss Impact</v>
      </c>
      <c r="B3">
        <f>'Data Tables (M) cb_zip'!B3-'Data Tables (M) no_cb_zip'!B3</f>
        <v>0.10079864555657991</v>
      </c>
      <c r="C3">
        <f>'Data Tables (M) cb_zip'!C3-'Data Tables (M) no_cb_zip'!C3</f>
        <v>3.9211645661254124E-2</v>
      </c>
      <c r="D3">
        <f>'Data Tables (M) cb_zip'!D3-'Data Tables (M) no_cb_zip'!D3</f>
        <v>0.11350165608635621</v>
      </c>
      <c r="E3">
        <f>'Data Tables (M) cb_zip'!E3-'Data Tables (M) no_cb_zip'!E3</f>
        <v>0.11718100561506595</v>
      </c>
      <c r="F3">
        <f>'Data Tables (M) cb_zip'!F3-'Data Tables (M) no_cb_zip'!F3</f>
        <v>8.6868808296288069E-2</v>
      </c>
      <c r="G3">
        <f>'Data Tables (M) cb_zip'!G3-'Data Tables (M) no_cb_zip'!G3</f>
        <v>7.8938961763840076E-2</v>
      </c>
      <c r="H3">
        <f>'Data Tables (M) cb_zip'!H3-'Data Tables (M) no_cb_zip'!H3</f>
        <v>-3.3036119469300962E-2</v>
      </c>
      <c r="I3">
        <f>'Data Tables (M) cb_zip'!I3-'Data Tables (M) no_cb_zip'!I3</f>
        <v>0.17359511984705112</v>
      </c>
      <c r="J3">
        <f>'Data Tables (M) cb_zip'!J3-'Data Tables (M) no_cb_zip'!J3</f>
        <v>0.31239126269622419</v>
      </c>
      <c r="K3">
        <f>'Data Tables (M) cb_zip'!K3-'Data Tables (M) no_cb_zip'!K3</f>
        <v>7.5152815061074074E-2</v>
      </c>
      <c r="L3">
        <f>'Data Tables (M) cb_zip'!L3-'Data Tables (M) no_cb_zip'!L3</f>
        <v>2.3139974966823962E-2</v>
      </c>
      <c r="M3">
        <f>'Data Tables (M) cb_zip'!M3-'Data Tables (M) no_cb_zip'!M3</f>
        <v>6.9435365364909796E-2</v>
      </c>
      <c r="N3">
        <f>'Data Tables (M) cb_zip'!N3-'Data Tables (M) no_cb_zip'!N3</f>
        <v>0.11500881848084621</v>
      </c>
      <c r="O3">
        <f>'Data Tables (M) cb_zip'!O3-'Data Tables (M) no_cb_zip'!O3</f>
        <v>1.7953535627156958E-2</v>
      </c>
      <c r="P3">
        <f>'Data Tables (M) cb_zip'!P3-'Data Tables (M) no_cb_zip'!P3</f>
        <v>5.0826771937209969E-2</v>
      </c>
      <c r="Q3">
        <f>'Data Tables (M) cb_zip'!Q3-'Data Tables (M) no_cb_zip'!Q3</f>
        <v>-2.952061525476779E-2</v>
      </c>
      <c r="R3">
        <f>'Data Tables (M) cb_zip'!R3-'Data Tables (M) no_cb_zip'!R3</f>
        <v>3.2837499037470241E-2</v>
      </c>
      <c r="S3">
        <f>'Data Tables (M) cb_zip'!S3-'Data Tables (M) no_cb_zip'!S3</f>
        <v>0.13516906224310787</v>
      </c>
      <c r="T3">
        <f>'Data Tables (M) cb_zip'!T3-'Data Tables (M) no_cb_zip'!T3</f>
        <v>4.043360118094963E-2</v>
      </c>
      <c r="U3">
        <f>'Data Tables (M) cb_zip'!U3-'Data Tables (M) no_cb_zip'!U3</f>
        <v>-1.6022493865904153E-2</v>
      </c>
      <c r="V3">
        <f>'Data Tables (M) cb_zip'!V3-'Data Tables (M) no_cb_zip'!V3</f>
        <v>4.8658919882655027E-2</v>
      </c>
    </row>
    <row r="4" spans="1:22" x14ac:dyDescent="0.35">
      <c r="A4" t="str">
        <f>'Data Tables (M) no_cb_zip'!A4</f>
        <v>Recovery Impact</v>
      </c>
      <c r="B4">
        <f>'Data Tables (M) cb_zip'!B4-'Data Tables (M) no_cb_zip'!B4</f>
        <v>1.4336068062730245E-3</v>
      </c>
      <c r="C4">
        <f>'Data Tables (M) cb_zip'!C4-'Data Tables (M) no_cb_zip'!C4</f>
        <v>1.1914682573688218E-4</v>
      </c>
      <c r="D4">
        <f>'Data Tables (M) cb_zip'!D4-'Data Tables (M) no_cb_zip'!D4</f>
        <v>3.9160348280409263E-4</v>
      </c>
      <c r="E4">
        <f>'Data Tables (M) cb_zip'!E4-'Data Tables (M) no_cb_zip'!E4</f>
        <v>1.0038379601469138E-3</v>
      </c>
      <c r="F4">
        <f>'Data Tables (M) cb_zip'!F4-'Data Tables (M) no_cb_zip'!F4</f>
        <v>8.0057078694206751E-4</v>
      </c>
      <c r="G4">
        <f>'Data Tables (M) cb_zip'!G4-'Data Tables (M) no_cb_zip'!G4</f>
        <v>1.084021489085929E-3</v>
      </c>
      <c r="H4">
        <f>'Data Tables (M) cb_zip'!H4-'Data Tables (M) no_cb_zip'!H4</f>
        <v>-7.5688130757622929E-4</v>
      </c>
      <c r="I4">
        <f>'Data Tables (M) cb_zip'!I4-'Data Tables (M) no_cb_zip'!I4</f>
        <v>2.9661973052270696E-3</v>
      </c>
      <c r="J4">
        <f>'Data Tables (M) cb_zip'!J4-'Data Tables (M) no_cb_zip'!J4</f>
        <v>5.2044539727367223E-3</v>
      </c>
      <c r="K4">
        <f>'Data Tables (M) cb_zip'!K4-'Data Tables (M) no_cb_zip'!K4</f>
        <v>1.8369444450687666E-3</v>
      </c>
      <c r="L4">
        <f>'Data Tables (M) cb_zip'!L4-'Data Tables (M) no_cb_zip'!L4</f>
        <v>4.0405267762899655E-4</v>
      </c>
      <c r="M4">
        <f>'Data Tables (M) cb_zip'!M4-'Data Tables (M) no_cb_zip'!M4</f>
        <v>1.178059620241978E-3</v>
      </c>
      <c r="N4">
        <f>'Data Tables (M) cb_zip'!N4-'Data Tables (M) no_cb_zip'!N4</f>
        <v>2.9606594943216713E-3</v>
      </c>
      <c r="O4">
        <f>'Data Tables (M) cb_zip'!O4-'Data Tables (M) no_cb_zip'!O4</f>
        <v>2.5314819354393947E-4</v>
      </c>
      <c r="P4">
        <f>'Data Tables (M) cb_zip'!P4-'Data Tables (M) no_cb_zip'!P4</f>
        <v>4.808096806918627E-4</v>
      </c>
      <c r="Q4">
        <f>'Data Tables (M) cb_zip'!Q4-'Data Tables (M) no_cb_zip'!Q4</f>
        <v>-5.1521870374493517E-4</v>
      </c>
      <c r="R4">
        <f>'Data Tables (M) cb_zip'!R4-'Data Tables (M) no_cb_zip'!R4</f>
        <v>8.8200392756876411E-4</v>
      </c>
      <c r="S4">
        <f>'Data Tables (M) cb_zip'!S4-'Data Tables (M) no_cb_zip'!S4</f>
        <v>2.9894307748823401E-3</v>
      </c>
      <c r="T4">
        <f>'Data Tables (M) cb_zip'!T4-'Data Tables (M) no_cb_zip'!T4</f>
        <v>9.7820582252117205E-4</v>
      </c>
      <c r="U4">
        <f>'Data Tables (M) cb_zip'!U4-'Data Tables (M) no_cb_zip'!U4</f>
        <v>-4.1072354946702916E-4</v>
      </c>
      <c r="V4">
        <f>'Data Tables (M) cb_zip'!V4-'Data Tables (M) no_cb_zip'!V4</f>
        <v>9.7655540971608445E-4</v>
      </c>
    </row>
    <row r="5" spans="1:22" x14ac:dyDescent="0.35">
      <c r="A5" t="str">
        <f>'Data Tables (M) no_cb_zip'!A5</f>
        <v>LTV Impact</v>
      </c>
      <c r="B5">
        <f>'Data Tables (M) cb_zip'!B5-'Data Tables (M) no_cb_zip'!B5</f>
        <v>0</v>
      </c>
      <c r="C5">
        <f>'Data Tables (M) cb_zip'!C5-'Data Tables (M) no_cb_zip'!C5</f>
        <v>0</v>
      </c>
      <c r="D5">
        <f>'Data Tables (M) cb_zip'!D5-'Data Tables (M) no_cb_zip'!D5</f>
        <v>0</v>
      </c>
      <c r="E5">
        <f>'Data Tables (M) cb_zip'!E5-'Data Tables (M) no_cb_zip'!E5</f>
        <v>0</v>
      </c>
      <c r="F5">
        <f>'Data Tables (M) cb_zip'!F5-'Data Tables (M) no_cb_zip'!F5</f>
        <v>0</v>
      </c>
      <c r="G5">
        <f>'Data Tables (M) cb_zip'!G5-'Data Tables (M) no_cb_zip'!G5</f>
        <v>0</v>
      </c>
      <c r="H5">
        <f>'Data Tables (M) cb_zip'!H5-'Data Tables (M) no_cb_zip'!H5</f>
        <v>0</v>
      </c>
      <c r="I5">
        <f>'Data Tables (M) cb_zip'!I5-'Data Tables (M) no_cb_zip'!I5</f>
        <v>0</v>
      </c>
      <c r="J5">
        <f>'Data Tables (M) cb_zip'!J5-'Data Tables (M) no_cb_zip'!J5</f>
        <v>0</v>
      </c>
      <c r="K5">
        <f>'Data Tables (M) cb_zip'!K5-'Data Tables (M) no_cb_zip'!K5</f>
        <v>0</v>
      </c>
      <c r="L5">
        <f>'Data Tables (M) cb_zip'!L5-'Data Tables (M) no_cb_zip'!L5</f>
        <v>0</v>
      </c>
      <c r="M5">
        <f>'Data Tables (M) cb_zip'!M5-'Data Tables (M) no_cb_zip'!M5</f>
        <v>0</v>
      </c>
      <c r="N5">
        <f>'Data Tables (M) cb_zip'!N5-'Data Tables (M) no_cb_zip'!N5</f>
        <v>0</v>
      </c>
      <c r="O5">
        <f>'Data Tables (M) cb_zip'!O5-'Data Tables (M) no_cb_zip'!O5</f>
        <v>0</v>
      </c>
      <c r="P5">
        <f>'Data Tables (M) cb_zip'!P5-'Data Tables (M) no_cb_zip'!P5</f>
        <v>0</v>
      </c>
      <c r="Q5">
        <f>'Data Tables (M) cb_zip'!Q5-'Data Tables (M) no_cb_zip'!Q5</f>
        <v>0</v>
      </c>
      <c r="R5">
        <f>'Data Tables (M) cb_zip'!R5-'Data Tables (M) no_cb_zip'!R5</f>
        <v>0</v>
      </c>
      <c r="S5">
        <f>'Data Tables (M) cb_zip'!S5-'Data Tables (M) no_cb_zip'!S5</f>
        <v>0</v>
      </c>
      <c r="T5">
        <f>'Data Tables (M) cb_zip'!T5-'Data Tables (M) no_cb_zip'!T5</f>
        <v>0</v>
      </c>
      <c r="U5">
        <f>'Data Tables (M) cb_zip'!U5-'Data Tables (M) no_cb_zip'!U5</f>
        <v>0</v>
      </c>
      <c r="V5">
        <f>'Data Tables (M) cb_zip'!V5-'Data Tables (M) no_cb_zip'!V5</f>
        <v>0</v>
      </c>
    </row>
    <row r="6" spans="1:22" x14ac:dyDescent="0.35">
      <c r="A6" t="str">
        <f>'Data Tables (M) no_cb_zip'!A6</f>
        <v>APR Impact</v>
      </c>
      <c r="B6">
        <f>'Data Tables (M) cb_zip'!B6-'Data Tables (M) no_cb_zip'!B6</f>
        <v>0</v>
      </c>
      <c r="C6">
        <f>'Data Tables (M) cb_zip'!C6-'Data Tables (M) no_cb_zip'!C6</f>
        <v>0</v>
      </c>
      <c r="D6">
        <f>'Data Tables (M) cb_zip'!D6-'Data Tables (M) no_cb_zip'!D6</f>
        <v>0</v>
      </c>
      <c r="E6">
        <f>'Data Tables (M) cb_zip'!E6-'Data Tables (M) no_cb_zip'!E6</f>
        <v>0</v>
      </c>
      <c r="F6">
        <f>'Data Tables (M) cb_zip'!F6-'Data Tables (M) no_cb_zip'!F6</f>
        <v>0</v>
      </c>
      <c r="G6">
        <f>'Data Tables (M) cb_zip'!G6-'Data Tables (M) no_cb_zip'!G6</f>
        <v>0</v>
      </c>
      <c r="H6">
        <f>'Data Tables (M) cb_zip'!H6-'Data Tables (M) no_cb_zip'!H6</f>
        <v>0</v>
      </c>
      <c r="I6">
        <f>'Data Tables (M) cb_zip'!I6-'Data Tables (M) no_cb_zip'!I6</f>
        <v>0</v>
      </c>
      <c r="J6">
        <f>'Data Tables (M) cb_zip'!J6-'Data Tables (M) no_cb_zip'!J6</f>
        <v>0</v>
      </c>
      <c r="K6">
        <f>'Data Tables (M) cb_zip'!K6-'Data Tables (M) no_cb_zip'!K6</f>
        <v>0</v>
      </c>
      <c r="L6">
        <f>'Data Tables (M) cb_zip'!L6-'Data Tables (M) no_cb_zip'!L6</f>
        <v>0</v>
      </c>
      <c r="M6">
        <f>'Data Tables (M) cb_zip'!M6-'Data Tables (M) no_cb_zip'!M6</f>
        <v>0</v>
      </c>
      <c r="N6">
        <f>'Data Tables (M) cb_zip'!N6-'Data Tables (M) no_cb_zip'!N6</f>
        <v>0</v>
      </c>
      <c r="O6">
        <f>'Data Tables (M) cb_zip'!O6-'Data Tables (M) no_cb_zip'!O6</f>
        <v>0</v>
      </c>
      <c r="P6">
        <f>'Data Tables (M) cb_zip'!P6-'Data Tables (M) no_cb_zip'!P6</f>
        <v>0</v>
      </c>
      <c r="Q6">
        <f>'Data Tables (M) cb_zip'!Q6-'Data Tables (M) no_cb_zip'!Q6</f>
        <v>0</v>
      </c>
      <c r="R6">
        <f>'Data Tables (M) cb_zip'!R6-'Data Tables (M) no_cb_zip'!R6</f>
        <v>0</v>
      </c>
      <c r="S6">
        <f>'Data Tables (M) cb_zip'!S6-'Data Tables (M) no_cb_zip'!S6</f>
        <v>0</v>
      </c>
      <c r="T6">
        <f>'Data Tables (M) cb_zip'!T6-'Data Tables (M) no_cb_zip'!T6</f>
        <v>0</v>
      </c>
      <c r="U6">
        <f>'Data Tables (M) cb_zip'!U6-'Data Tables (M) no_cb_zip'!U6</f>
        <v>0</v>
      </c>
      <c r="V6">
        <f>'Data Tables (M) cb_zip'!V6-'Data Tables (M) no_cb_zip'!V6</f>
        <v>0</v>
      </c>
    </row>
    <row r="7" spans="1:22" x14ac:dyDescent="0.35">
      <c r="A7" t="str">
        <f>'Data Tables (M) no_cb_zip'!A7</f>
        <v>RAGU Score</v>
      </c>
      <c r="B7">
        <f>'Data Tables (M) cb_zip'!B7-'Data Tables (M) no_cb_zip'!B7</f>
        <v>0.10223225236291</v>
      </c>
      <c r="C7">
        <f>'Data Tables (M) cb_zip'!C7-'Data Tables (M) no_cb_zip'!C7</f>
        <v>3.9330792486879318E-2</v>
      </c>
      <c r="D7">
        <f>'Data Tables (M) cb_zip'!D7-'Data Tables (M) no_cb_zip'!D7</f>
        <v>0.11389325956918128</v>
      </c>
      <c r="E7">
        <f>'Data Tables (M) cb_zip'!E7-'Data Tables (M) no_cb_zip'!E7</f>
        <v>0.1181848435751931</v>
      </c>
      <c r="F7">
        <f>'Data Tables (M) cb_zip'!F7-'Data Tables (M) no_cb_zip'!F7</f>
        <v>8.7669379083223475E-2</v>
      </c>
      <c r="G7">
        <f>'Data Tables (M) cb_zip'!G7-'Data Tables (M) no_cb_zip'!G7</f>
        <v>8.0022983252916902E-2</v>
      </c>
      <c r="H7">
        <f>'Data Tables (M) cb_zip'!H7-'Data Tables (M) no_cb_zip'!H7</f>
        <v>-3.3793000776910276E-2</v>
      </c>
      <c r="I7">
        <f>'Data Tables (M) cb_zip'!I7-'Data Tables (M) no_cb_zip'!I7</f>
        <v>0.17656131715230572</v>
      </c>
      <c r="J7">
        <f>'Data Tables (M) cb_zip'!J7-'Data Tables (M) no_cb_zip'!J7</f>
        <v>0.3175957166690182</v>
      </c>
      <c r="K7">
        <f>'Data Tables (M) cb_zip'!K7-'Data Tables (M) no_cb_zip'!K7</f>
        <v>7.6989759506204791E-2</v>
      </c>
      <c r="L7">
        <f>'Data Tables (M) cb_zip'!L7-'Data Tables (M) no_cb_zip'!L7</f>
        <v>2.3544027644476273E-2</v>
      </c>
      <c r="M7">
        <f>'Data Tables (M) cb_zip'!M7-'Data Tables (M) no_cb_zip'!M7</f>
        <v>7.0613424985197071E-2</v>
      </c>
      <c r="N7">
        <f>'Data Tables (M) cb_zip'!N7-'Data Tables (M) no_cb_zip'!N7</f>
        <v>0.11796947797509461</v>
      </c>
      <c r="O7">
        <f>'Data Tables (M) cb_zip'!O7-'Data Tables (M) no_cb_zip'!O7</f>
        <v>1.8206683820608305E-2</v>
      </c>
      <c r="P7">
        <f>'Data Tables (M) cb_zip'!P7-'Data Tables (M) no_cb_zip'!P7</f>
        <v>5.1307581617891174E-2</v>
      </c>
      <c r="Q7">
        <f>'Data Tables (M) cb_zip'!Q7-'Data Tables (M) no_cb_zip'!Q7</f>
        <v>-3.0035833958493185E-2</v>
      </c>
      <c r="R7">
        <f>'Data Tables (M) cb_zip'!R7-'Data Tables (M) no_cb_zip'!R7</f>
        <v>3.3719502965112724E-2</v>
      </c>
      <c r="S7">
        <f>'Data Tables (M) cb_zip'!S7-'Data Tables (M) no_cb_zip'!S7</f>
        <v>0.13815849301809635</v>
      </c>
      <c r="T7">
        <f>'Data Tables (M) cb_zip'!T7-'Data Tables (M) no_cb_zip'!T7</f>
        <v>4.141180700349878E-2</v>
      </c>
      <c r="U7">
        <f>'Data Tables (M) cb_zip'!U7-'Data Tables (M) no_cb_zip'!U7</f>
        <v>-1.6433217415283252E-2</v>
      </c>
      <c r="V7">
        <f>'Data Tables (M) cb_zip'!V7-'Data Tables (M) no_cb_zip'!V7</f>
        <v>4.9635475292404863E-2</v>
      </c>
    </row>
    <row r="8" spans="1:22" x14ac:dyDescent="0.35">
      <c r="A8" t="str">
        <f>'Data Tables (M) no_cb_zip'!A8</f>
        <v>Amount Financed</v>
      </c>
      <c r="B8">
        <f>'Data Tables (M) cb_zip'!B8-'Data Tables (M) no_cb_zip'!B8</f>
        <v>0</v>
      </c>
      <c r="C8">
        <f>'Data Tables (M) cb_zip'!C8-'Data Tables (M) no_cb_zip'!C8</f>
        <v>0</v>
      </c>
      <c r="D8">
        <f>'Data Tables (M) cb_zip'!D8-'Data Tables (M) no_cb_zip'!D8</f>
        <v>0</v>
      </c>
      <c r="E8">
        <f>'Data Tables (M) cb_zip'!E8-'Data Tables (M) no_cb_zip'!E8</f>
        <v>0</v>
      </c>
      <c r="F8">
        <f>'Data Tables (M) cb_zip'!F8-'Data Tables (M) no_cb_zip'!F8</f>
        <v>0</v>
      </c>
      <c r="G8">
        <f>'Data Tables (M) cb_zip'!G8-'Data Tables (M) no_cb_zip'!G8</f>
        <v>0</v>
      </c>
      <c r="H8">
        <f>'Data Tables (M) cb_zip'!H8-'Data Tables (M) no_cb_zip'!H8</f>
        <v>0</v>
      </c>
      <c r="I8">
        <f>'Data Tables (M) cb_zip'!I8-'Data Tables (M) no_cb_zip'!I8</f>
        <v>0</v>
      </c>
      <c r="J8">
        <f>'Data Tables (M) cb_zip'!J8-'Data Tables (M) no_cb_zip'!J8</f>
        <v>0</v>
      </c>
      <c r="K8">
        <f>'Data Tables (M) cb_zip'!K8-'Data Tables (M) no_cb_zip'!K8</f>
        <v>0</v>
      </c>
      <c r="L8">
        <f>'Data Tables (M) cb_zip'!L8-'Data Tables (M) no_cb_zip'!L8</f>
        <v>0</v>
      </c>
      <c r="M8">
        <f>'Data Tables (M) cb_zip'!M8-'Data Tables (M) no_cb_zip'!M8</f>
        <v>0</v>
      </c>
      <c r="N8">
        <f>'Data Tables (M) cb_zip'!N8-'Data Tables (M) no_cb_zip'!N8</f>
        <v>0</v>
      </c>
      <c r="O8">
        <f>'Data Tables (M) cb_zip'!O8-'Data Tables (M) no_cb_zip'!O8</f>
        <v>0</v>
      </c>
      <c r="P8">
        <f>'Data Tables (M) cb_zip'!P8-'Data Tables (M) no_cb_zip'!P8</f>
        <v>0</v>
      </c>
      <c r="Q8">
        <f>'Data Tables (M) cb_zip'!Q8-'Data Tables (M) no_cb_zip'!Q8</f>
        <v>0</v>
      </c>
      <c r="R8">
        <f>'Data Tables (M) cb_zip'!R8-'Data Tables (M) no_cb_zip'!R8</f>
        <v>0</v>
      </c>
      <c r="S8">
        <f>'Data Tables (M) cb_zip'!S8-'Data Tables (M) no_cb_zip'!S8</f>
        <v>0</v>
      </c>
      <c r="T8">
        <f>'Data Tables (M) cb_zip'!T8-'Data Tables (M) no_cb_zip'!T8</f>
        <v>0</v>
      </c>
      <c r="U8">
        <f>'Data Tables (M) cb_zip'!U8-'Data Tables (M) no_cb_zip'!U8</f>
        <v>0</v>
      </c>
      <c r="V8">
        <f>'Data Tables (M) cb_zip'!V8-'Data Tables (M) no_cb_zip'!V8</f>
        <v>0</v>
      </c>
    </row>
    <row r="9" spans="1:22" x14ac:dyDescent="0.35">
      <c r="A9" t="str">
        <f>'Data Tables (M) no_cb_zip'!A9</f>
        <v>Weighted LTV</v>
      </c>
      <c r="B9">
        <f>'Data Tables (M) cb_zip'!B9-'Data Tables (M) no_cb_zip'!B9</f>
        <v>0</v>
      </c>
      <c r="C9">
        <f>'Data Tables (M) cb_zip'!C9-'Data Tables (M) no_cb_zip'!C9</f>
        <v>0</v>
      </c>
      <c r="D9">
        <f>'Data Tables (M) cb_zip'!D9-'Data Tables (M) no_cb_zip'!D9</f>
        <v>0</v>
      </c>
      <c r="E9">
        <f>'Data Tables (M) cb_zip'!E9-'Data Tables (M) no_cb_zip'!E9</f>
        <v>0</v>
      </c>
      <c r="F9">
        <f>'Data Tables (M) cb_zip'!F9-'Data Tables (M) no_cb_zip'!F9</f>
        <v>0</v>
      </c>
      <c r="G9">
        <f>'Data Tables (M) cb_zip'!G9-'Data Tables (M) no_cb_zip'!G9</f>
        <v>0</v>
      </c>
      <c r="H9">
        <f>'Data Tables (M) cb_zip'!H9-'Data Tables (M) no_cb_zip'!H9</f>
        <v>0</v>
      </c>
      <c r="I9">
        <f>'Data Tables (M) cb_zip'!I9-'Data Tables (M) no_cb_zip'!I9</f>
        <v>0</v>
      </c>
      <c r="J9">
        <f>'Data Tables (M) cb_zip'!J9-'Data Tables (M) no_cb_zip'!J9</f>
        <v>0</v>
      </c>
      <c r="K9">
        <f>'Data Tables (M) cb_zip'!K9-'Data Tables (M) no_cb_zip'!K9</f>
        <v>0</v>
      </c>
      <c r="L9">
        <f>'Data Tables (M) cb_zip'!L9-'Data Tables (M) no_cb_zip'!L9</f>
        <v>0</v>
      </c>
      <c r="M9">
        <f>'Data Tables (M) cb_zip'!M9-'Data Tables (M) no_cb_zip'!M9</f>
        <v>0</v>
      </c>
      <c r="N9">
        <f>'Data Tables (M) cb_zip'!N9-'Data Tables (M) no_cb_zip'!N9</f>
        <v>0</v>
      </c>
      <c r="O9">
        <f>'Data Tables (M) cb_zip'!O9-'Data Tables (M) no_cb_zip'!O9</f>
        <v>0</v>
      </c>
      <c r="P9">
        <f>'Data Tables (M) cb_zip'!P9-'Data Tables (M) no_cb_zip'!P9</f>
        <v>0</v>
      </c>
      <c r="Q9">
        <f>'Data Tables (M) cb_zip'!Q9-'Data Tables (M) no_cb_zip'!Q9</f>
        <v>0</v>
      </c>
      <c r="R9">
        <f>'Data Tables (M) cb_zip'!R9-'Data Tables (M) no_cb_zip'!R9</f>
        <v>0</v>
      </c>
      <c r="S9">
        <f>'Data Tables (M) cb_zip'!S9-'Data Tables (M) no_cb_zip'!S9</f>
        <v>0</v>
      </c>
      <c r="T9">
        <f>'Data Tables (M) cb_zip'!T9-'Data Tables (M) no_cb_zip'!T9</f>
        <v>0</v>
      </c>
      <c r="U9">
        <f>'Data Tables (M) cb_zip'!U9-'Data Tables (M) no_cb_zip'!U9</f>
        <v>0</v>
      </c>
      <c r="V9">
        <f>'Data Tables (M) cb_zip'!V9-'Data Tables (M) no_cb_zip'!V9</f>
        <v>0</v>
      </c>
    </row>
    <row r="10" spans="1:22" x14ac:dyDescent="0.35">
      <c r="A10" t="str">
        <f>'Data Tables (M) no_cb_zip'!A10</f>
        <v>Weighted APR</v>
      </c>
      <c r="B10">
        <f>'Data Tables (M) cb_zip'!B10-'Data Tables (M) no_cb_zip'!B10</f>
        <v>0</v>
      </c>
      <c r="C10">
        <f>'Data Tables (M) cb_zip'!C10-'Data Tables (M) no_cb_zip'!C10</f>
        <v>0</v>
      </c>
      <c r="D10">
        <f>'Data Tables (M) cb_zip'!D10-'Data Tables (M) no_cb_zip'!D10</f>
        <v>0</v>
      </c>
      <c r="E10">
        <f>'Data Tables (M) cb_zip'!E10-'Data Tables (M) no_cb_zip'!E10</f>
        <v>0</v>
      </c>
      <c r="F10">
        <f>'Data Tables (M) cb_zip'!F10-'Data Tables (M) no_cb_zip'!F10</f>
        <v>0</v>
      </c>
      <c r="G10">
        <f>'Data Tables (M) cb_zip'!G10-'Data Tables (M) no_cb_zip'!G10</f>
        <v>0</v>
      </c>
      <c r="H10">
        <f>'Data Tables (M) cb_zip'!H10-'Data Tables (M) no_cb_zip'!H10</f>
        <v>0</v>
      </c>
      <c r="I10">
        <f>'Data Tables (M) cb_zip'!I10-'Data Tables (M) no_cb_zip'!I10</f>
        <v>0</v>
      </c>
      <c r="J10">
        <f>'Data Tables (M) cb_zip'!J10-'Data Tables (M) no_cb_zip'!J10</f>
        <v>0</v>
      </c>
      <c r="K10">
        <f>'Data Tables (M) cb_zip'!K10-'Data Tables (M) no_cb_zip'!K10</f>
        <v>0</v>
      </c>
      <c r="L10">
        <f>'Data Tables (M) cb_zip'!L10-'Data Tables (M) no_cb_zip'!L10</f>
        <v>0</v>
      </c>
      <c r="M10">
        <f>'Data Tables (M) cb_zip'!M10-'Data Tables (M) no_cb_zip'!M10</f>
        <v>0</v>
      </c>
      <c r="N10">
        <f>'Data Tables (M) cb_zip'!N10-'Data Tables (M) no_cb_zip'!N10</f>
        <v>0</v>
      </c>
      <c r="O10">
        <f>'Data Tables (M) cb_zip'!O10-'Data Tables (M) no_cb_zip'!O10</f>
        <v>0</v>
      </c>
      <c r="P10">
        <f>'Data Tables (M) cb_zip'!P10-'Data Tables (M) no_cb_zip'!P10</f>
        <v>0</v>
      </c>
      <c r="Q10">
        <f>'Data Tables (M) cb_zip'!Q10-'Data Tables (M) no_cb_zip'!Q10</f>
        <v>0</v>
      </c>
      <c r="R10">
        <f>'Data Tables (M) cb_zip'!R10-'Data Tables (M) no_cb_zip'!R10</f>
        <v>0</v>
      </c>
      <c r="S10">
        <f>'Data Tables (M) cb_zip'!S10-'Data Tables (M) no_cb_zip'!S10</f>
        <v>0</v>
      </c>
      <c r="T10">
        <f>'Data Tables (M) cb_zip'!T10-'Data Tables (M) no_cb_zip'!T10</f>
        <v>0</v>
      </c>
      <c r="U10">
        <f>'Data Tables (M) cb_zip'!U10-'Data Tables (M) no_cb_zip'!U10</f>
        <v>0</v>
      </c>
      <c r="V10">
        <f>'Data Tables (M) cb_zip'!V10-'Data Tables (M) no_cb_zip'!V10</f>
        <v>0</v>
      </c>
    </row>
    <row r="11" spans="1:22" x14ac:dyDescent="0.35">
      <c r="A11">
        <f>'Data Tables (M) no_cb_zip'!A11</f>
        <v>0</v>
      </c>
      <c r="B11">
        <f>'Data Tables (M) cb_zip'!B11-'Data Tables (M) no_cb_zip'!B11</f>
        <v>0</v>
      </c>
      <c r="C11">
        <f>'Data Tables (M) cb_zip'!C11-'Data Tables (M) no_cb_zip'!C11</f>
        <v>0</v>
      </c>
      <c r="D11">
        <f>'Data Tables (M) cb_zip'!D11-'Data Tables (M) no_cb_zip'!D11</f>
        <v>0</v>
      </c>
      <c r="E11">
        <f>'Data Tables (M) cb_zip'!E11-'Data Tables (M) no_cb_zip'!E11</f>
        <v>0</v>
      </c>
      <c r="F11">
        <f>'Data Tables (M) cb_zip'!F11-'Data Tables (M) no_cb_zip'!F11</f>
        <v>0</v>
      </c>
      <c r="G11">
        <f>'Data Tables (M) cb_zip'!G11-'Data Tables (M) no_cb_zip'!G11</f>
        <v>0</v>
      </c>
      <c r="H11">
        <f>'Data Tables (M) cb_zip'!H11-'Data Tables (M) no_cb_zip'!H11</f>
        <v>0</v>
      </c>
      <c r="I11">
        <f>'Data Tables (M) cb_zip'!I11-'Data Tables (M) no_cb_zip'!I11</f>
        <v>0</v>
      </c>
      <c r="J11">
        <f>'Data Tables (M) cb_zip'!J11-'Data Tables (M) no_cb_zip'!J11</f>
        <v>0</v>
      </c>
      <c r="K11">
        <f>'Data Tables (M) cb_zip'!K11-'Data Tables (M) no_cb_zip'!K11</f>
        <v>0</v>
      </c>
      <c r="L11">
        <f>'Data Tables (M) cb_zip'!L11-'Data Tables (M) no_cb_zip'!L11</f>
        <v>0</v>
      </c>
      <c r="M11">
        <f>'Data Tables (M) cb_zip'!M11-'Data Tables (M) no_cb_zip'!M11</f>
        <v>0</v>
      </c>
      <c r="N11">
        <f>'Data Tables (M) cb_zip'!N11-'Data Tables (M) no_cb_zip'!N11</f>
        <v>0</v>
      </c>
      <c r="O11">
        <f>'Data Tables (M) cb_zip'!O11-'Data Tables (M) no_cb_zip'!O11</f>
        <v>0</v>
      </c>
      <c r="P11">
        <f>'Data Tables (M) cb_zip'!P11-'Data Tables (M) no_cb_zip'!P11</f>
        <v>0</v>
      </c>
      <c r="Q11">
        <f>'Data Tables (M) cb_zip'!Q11-'Data Tables (M) no_cb_zip'!Q11</f>
        <v>0</v>
      </c>
      <c r="R11">
        <f>'Data Tables (M) cb_zip'!R11-'Data Tables (M) no_cb_zip'!R11</f>
        <v>0</v>
      </c>
      <c r="S11">
        <f>'Data Tables (M) cb_zip'!S11-'Data Tables (M) no_cb_zip'!S11</f>
        <v>0</v>
      </c>
      <c r="T11">
        <f>'Data Tables (M) cb_zip'!T11-'Data Tables (M) no_cb_zip'!T11</f>
        <v>0</v>
      </c>
      <c r="U11">
        <f>'Data Tables (M) cb_zip'!U11-'Data Tables (M) no_cb_zip'!U11</f>
        <v>0</v>
      </c>
      <c r="V11">
        <f>'Data Tables (M) cb_zip'!V11-'Data Tables (M) no_cb_zip'!V11</f>
        <v>0</v>
      </c>
    </row>
    <row r="12" spans="1:22" x14ac:dyDescent="0.35">
      <c r="A12" t="str">
        <f>'Data Tables (M) no_cb_zip'!A12</f>
        <v>FRN</v>
      </c>
      <c r="B12" t="e">
        <f>'Data Tables (M) cb_zip'!B12-'Data Tables (M) no_cb_zip'!B12</f>
        <v>#VALUE!</v>
      </c>
      <c r="C12" t="e">
        <f>'Data Tables (M) cb_zip'!C12-'Data Tables (M) no_cb_zip'!C12</f>
        <v>#VALUE!</v>
      </c>
      <c r="D12" t="e">
        <f>'Data Tables (M) cb_zip'!D12-'Data Tables (M) no_cb_zip'!D12</f>
        <v>#VALUE!</v>
      </c>
      <c r="E12" t="e">
        <f>'Data Tables (M) cb_zip'!E12-'Data Tables (M) no_cb_zip'!E12</f>
        <v>#VALUE!</v>
      </c>
      <c r="F12" t="e">
        <f>'Data Tables (M) cb_zip'!F12-'Data Tables (M) no_cb_zip'!F12</f>
        <v>#VALUE!</v>
      </c>
      <c r="G12" t="e">
        <f>'Data Tables (M) cb_zip'!G12-'Data Tables (M) no_cb_zip'!G12</f>
        <v>#VALUE!</v>
      </c>
      <c r="H12" t="e">
        <f>'Data Tables (M) cb_zip'!H12-'Data Tables (M) no_cb_zip'!H12</f>
        <v>#VALUE!</v>
      </c>
      <c r="I12" t="e">
        <f>'Data Tables (M) cb_zip'!I12-'Data Tables (M) no_cb_zip'!I12</f>
        <v>#VALUE!</v>
      </c>
      <c r="J12" t="e">
        <f>'Data Tables (M) cb_zip'!J12-'Data Tables (M) no_cb_zip'!J12</f>
        <v>#VALUE!</v>
      </c>
      <c r="K12" t="e">
        <f>'Data Tables (M) cb_zip'!K12-'Data Tables (M) no_cb_zip'!K12</f>
        <v>#VALUE!</v>
      </c>
      <c r="L12" t="e">
        <f>'Data Tables (M) cb_zip'!L12-'Data Tables (M) no_cb_zip'!L12</f>
        <v>#VALUE!</v>
      </c>
      <c r="M12" t="e">
        <f>'Data Tables (M) cb_zip'!M12-'Data Tables (M) no_cb_zip'!M12</f>
        <v>#VALUE!</v>
      </c>
      <c r="N12" t="e">
        <f>'Data Tables (M) cb_zip'!N12-'Data Tables (M) no_cb_zip'!N12</f>
        <v>#VALUE!</v>
      </c>
      <c r="O12" t="e">
        <f>'Data Tables (M) cb_zip'!O12-'Data Tables (M) no_cb_zip'!O12</f>
        <v>#VALUE!</v>
      </c>
      <c r="P12" t="e">
        <f>'Data Tables (M) cb_zip'!P12-'Data Tables (M) no_cb_zip'!P12</f>
        <v>#VALUE!</v>
      </c>
      <c r="Q12" t="e">
        <f>'Data Tables (M) cb_zip'!Q12-'Data Tables (M) no_cb_zip'!Q12</f>
        <v>#VALUE!</v>
      </c>
      <c r="R12" t="e">
        <f>'Data Tables (M) cb_zip'!R12-'Data Tables (M) no_cb_zip'!R12</f>
        <v>#VALUE!</v>
      </c>
      <c r="S12" t="e">
        <f>'Data Tables (M) cb_zip'!S12-'Data Tables (M) no_cb_zip'!S12</f>
        <v>#VALUE!</v>
      </c>
      <c r="T12" t="e">
        <f>'Data Tables (M) cb_zip'!T12-'Data Tables (M) no_cb_zip'!T12</f>
        <v>#VALUE!</v>
      </c>
      <c r="U12" t="e">
        <f>'Data Tables (M) cb_zip'!U12-'Data Tables (M) no_cb_zip'!U12</f>
        <v>#VALUE!</v>
      </c>
      <c r="V12" t="e">
        <f>'Data Tables (M) cb_zip'!V12-'Data Tables (M) no_cb_zip'!V12</f>
        <v>#VALUE!</v>
      </c>
    </row>
    <row r="13" spans="1:22" x14ac:dyDescent="0.35">
      <c r="A13" t="str">
        <f>'Data Tables (M) no_cb_zip'!A13</f>
        <v>Model Score</v>
      </c>
      <c r="B13">
        <f>'Data Tables (M) cb_zip'!B13-'Data Tables (M) no_cb_zip'!B13</f>
        <v>0</v>
      </c>
      <c r="C13">
        <f>'Data Tables (M) cb_zip'!C13-'Data Tables (M) no_cb_zip'!C13</f>
        <v>0</v>
      </c>
      <c r="D13">
        <f>'Data Tables (M) cb_zip'!D13-'Data Tables (M) no_cb_zip'!D13</f>
        <v>0</v>
      </c>
      <c r="E13">
        <f>'Data Tables (M) cb_zip'!E13-'Data Tables (M) no_cb_zip'!E13</f>
        <v>0</v>
      </c>
      <c r="F13">
        <f>'Data Tables (M) cb_zip'!F13-'Data Tables (M) no_cb_zip'!F13</f>
        <v>0</v>
      </c>
      <c r="G13">
        <f>'Data Tables (M) cb_zip'!G13-'Data Tables (M) no_cb_zip'!G13</f>
        <v>0</v>
      </c>
      <c r="H13">
        <f>'Data Tables (M) cb_zip'!H13-'Data Tables (M) no_cb_zip'!H13</f>
        <v>0</v>
      </c>
      <c r="I13">
        <f>'Data Tables (M) cb_zip'!I13-'Data Tables (M) no_cb_zip'!I13</f>
        <v>0</v>
      </c>
      <c r="J13">
        <f>'Data Tables (M) cb_zip'!J13-'Data Tables (M) no_cb_zip'!J13</f>
        <v>0</v>
      </c>
      <c r="K13">
        <f>'Data Tables (M) cb_zip'!K13-'Data Tables (M) no_cb_zip'!K13</f>
        <v>0</v>
      </c>
      <c r="L13">
        <f>'Data Tables (M) cb_zip'!L13-'Data Tables (M) no_cb_zip'!L13</f>
        <v>0</v>
      </c>
      <c r="M13">
        <f>'Data Tables (M) cb_zip'!M13-'Data Tables (M) no_cb_zip'!M13</f>
        <v>0</v>
      </c>
      <c r="N13">
        <f>'Data Tables (M) cb_zip'!N13-'Data Tables (M) no_cb_zip'!N13</f>
        <v>0</v>
      </c>
      <c r="O13">
        <f>'Data Tables (M) cb_zip'!O13-'Data Tables (M) no_cb_zip'!O13</f>
        <v>0</v>
      </c>
      <c r="P13">
        <f>'Data Tables (M) cb_zip'!P13-'Data Tables (M) no_cb_zip'!P13</f>
        <v>0</v>
      </c>
      <c r="Q13">
        <f>'Data Tables (M) cb_zip'!Q13-'Data Tables (M) no_cb_zip'!Q13</f>
        <v>0</v>
      </c>
      <c r="R13">
        <f>'Data Tables (M) cb_zip'!R13-'Data Tables (M) no_cb_zip'!R13</f>
        <v>0</v>
      </c>
      <c r="S13">
        <f>'Data Tables (M) cb_zip'!S13-'Data Tables (M) no_cb_zip'!S13</f>
        <v>0</v>
      </c>
      <c r="T13">
        <f>'Data Tables (M) cb_zip'!T13-'Data Tables (M) no_cb_zip'!T13</f>
        <v>0</v>
      </c>
      <c r="U13">
        <f>'Data Tables (M) cb_zip'!U13-'Data Tables (M) no_cb_zip'!U13</f>
        <v>0</v>
      </c>
      <c r="V13">
        <f>'Data Tables (M) cb_zip'!V13-'Data Tables (M) no_cb_zip'!V13</f>
        <v>0</v>
      </c>
    </row>
    <row r="14" spans="1:22" x14ac:dyDescent="0.35">
      <c r="A14" t="str">
        <f>'Data Tables (M) no_cb_zip'!A14</f>
        <v>Expected Gross Loss Impact</v>
      </c>
      <c r="B14">
        <f>'Data Tables (M) cb_zip'!B14-'Data Tables (M) no_cb_zip'!B14</f>
        <v>0.11966799496349259</v>
      </c>
      <c r="C14">
        <f>'Data Tables (M) cb_zip'!C14-'Data Tables (M) no_cb_zip'!C14</f>
        <v>0.1274846221199652</v>
      </c>
      <c r="D14">
        <f>'Data Tables (M) cb_zip'!D14-'Data Tables (M) no_cb_zip'!D14</f>
        <v>0.17195285895806467</v>
      </c>
      <c r="E14">
        <f>'Data Tables (M) cb_zip'!E14-'Data Tables (M) no_cb_zip'!E14</f>
        <v>6.3732664203087097E-2</v>
      </c>
      <c r="F14">
        <f>'Data Tables (M) cb_zip'!F14-'Data Tables (M) no_cb_zip'!F14</f>
        <v>4.6661430386677694E-2</v>
      </c>
      <c r="G14">
        <f>'Data Tables (M) cb_zip'!G14-'Data Tables (M) no_cb_zip'!G14</f>
        <v>5.5136639450296343E-2</v>
      </c>
      <c r="H14">
        <f>'Data Tables (M) cb_zip'!H14-'Data Tables (M) no_cb_zip'!H14</f>
        <v>4.2725550520316402E-2</v>
      </c>
      <c r="I14">
        <f>'Data Tables (M) cb_zip'!I14-'Data Tables (M) no_cb_zip'!I14</f>
        <v>3.6034789121941913E-2</v>
      </c>
      <c r="J14">
        <f>'Data Tables (M) cb_zip'!J14-'Data Tables (M) no_cb_zip'!J14</f>
        <v>0.10943061893482309</v>
      </c>
      <c r="K14">
        <f>'Data Tables (M) cb_zip'!K14-'Data Tables (M) no_cb_zip'!K14</f>
        <v>2.6592217784859873E-3</v>
      </c>
      <c r="L14">
        <f>'Data Tables (M) cb_zip'!L14-'Data Tables (M) no_cb_zip'!L14</f>
        <v>-2.6594777367705991E-2</v>
      </c>
      <c r="M14">
        <f>'Data Tables (M) cb_zip'!M14-'Data Tables (M) no_cb_zip'!M14</f>
        <v>-3.6790691694903899E-2</v>
      </c>
      <c r="N14">
        <f>'Data Tables (M) cb_zip'!N14-'Data Tables (M) no_cb_zip'!N14</f>
        <v>-3.9162847808512868E-2</v>
      </c>
      <c r="O14">
        <f>'Data Tables (M) cb_zip'!O14-'Data Tables (M) no_cb_zip'!O14</f>
        <v>-3.1404466920178953E-2</v>
      </c>
      <c r="P14">
        <f>'Data Tables (M) cb_zip'!P14-'Data Tables (M) no_cb_zip'!P14</f>
        <v>2.1307954706174081E-2</v>
      </c>
      <c r="Q14">
        <f>'Data Tables (M) cb_zip'!Q14-'Data Tables (M) no_cb_zip'!Q14</f>
        <v>-3.9601850870781163E-2</v>
      </c>
      <c r="R14">
        <f>'Data Tables (M) cb_zip'!R14-'Data Tables (M) no_cb_zip'!R14</f>
        <v>9.809303046012019E-3</v>
      </c>
      <c r="S14">
        <f>'Data Tables (M) cb_zip'!S14-'Data Tables (M) no_cb_zip'!S14</f>
        <v>3.0154991516440077E-3</v>
      </c>
      <c r="T14">
        <f>'Data Tables (M) cb_zip'!T14-'Data Tables (M) no_cb_zip'!T14</f>
        <v>2.7252421708226837E-2</v>
      </c>
      <c r="U14">
        <f>'Data Tables (M) cb_zip'!U14-'Data Tables (M) no_cb_zip'!U14</f>
        <v>-6.0640932317169938E-2</v>
      </c>
      <c r="V14">
        <f>'Data Tables (M) cb_zip'!V14-'Data Tables (M) no_cb_zip'!V14</f>
        <v>1.6861850741463069E-2</v>
      </c>
    </row>
    <row r="15" spans="1:22" x14ac:dyDescent="0.35">
      <c r="A15" t="str">
        <f>'Data Tables (M) no_cb_zip'!A15</f>
        <v>Recovery Impact</v>
      </c>
      <c r="B15">
        <f>'Data Tables (M) cb_zip'!B15-'Data Tables (M) no_cb_zip'!B15</f>
        <v>1.4011348545879265E-3</v>
      </c>
      <c r="C15">
        <f>'Data Tables (M) cb_zip'!C15-'Data Tables (M) no_cb_zip'!C15</f>
        <v>1.0573869071770492E-3</v>
      </c>
      <c r="D15">
        <f>'Data Tables (M) cb_zip'!D15-'Data Tables (M) no_cb_zip'!D15</f>
        <v>1.6558445414620593E-3</v>
      </c>
      <c r="E15">
        <f>'Data Tables (M) cb_zip'!E15-'Data Tables (M) no_cb_zip'!E15</f>
        <v>6.6236859932899961E-4</v>
      </c>
      <c r="F15">
        <f>'Data Tables (M) cb_zip'!F15-'Data Tables (M) no_cb_zip'!F15</f>
        <v>5.1679301983220682E-4</v>
      </c>
      <c r="G15">
        <f>'Data Tables (M) cb_zip'!G15-'Data Tables (M) no_cb_zip'!G15</f>
        <v>8.4175757505100535E-4</v>
      </c>
      <c r="H15">
        <f>'Data Tables (M) cb_zip'!H15-'Data Tables (M) no_cb_zip'!H15</f>
        <v>6.5356001657290719E-4</v>
      </c>
      <c r="I15">
        <f>'Data Tables (M) cb_zip'!I15-'Data Tables (M) no_cb_zip'!I15</f>
        <v>6.0838434286170084E-4</v>
      </c>
      <c r="J15">
        <f>'Data Tables (M) cb_zip'!J15-'Data Tables (M) no_cb_zip'!J15</f>
        <v>2.0552236301507598E-3</v>
      </c>
      <c r="K15">
        <f>'Data Tables (M) cb_zip'!K15-'Data Tables (M) no_cb_zip'!K15</f>
        <v>6.9814398082623796E-5</v>
      </c>
      <c r="L15">
        <f>'Data Tables (M) cb_zip'!L15-'Data Tables (M) no_cb_zip'!L15</f>
        <v>-6.5647535849100436E-4</v>
      </c>
      <c r="M15">
        <f>'Data Tables (M) cb_zip'!M15-'Data Tables (M) no_cb_zip'!M15</f>
        <v>-1.0492872751113325E-3</v>
      </c>
      <c r="N15">
        <f>'Data Tables (M) cb_zip'!N15-'Data Tables (M) no_cb_zip'!N15</f>
        <v>-9.817175089672503E-4</v>
      </c>
      <c r="O15">
        <f>'Data Tables (M) cb_zip'!O15-'Data Tables (M) no_cb_zip'!O15</f>
        <v>-5.7862012893394876E-4</v>
      </c>
      <c r="P15">
        <f>'Data Tables (M) cb_zip'!P15-'Data Tables (M) no_cb_zip'!P15</f>
        <v>3.3728050549708399E-4</v>
      </c>
      <c r="Q15">
        <f>'Data Tables (M) cb_zip'!Q15-'Data Tables (M) no_cb_zip'!Q15</f>
        <v>-6.8841023557997261E-4</v>
      </c>
      <c r="R15">
        <f>'Data Tables (M) cb_zip'!R15-'Data Tables (M) no_cb_zip'!R15</f>
        <v>2.0897694658206234E-4</v>
      </c>
      <c r="S15">
        <f>'Data Tables (M) cb_zip'!S15-'Data Tables (M) no_cb_zip'!S15</f>
        <v>5.6002209257943747E-5</v>
      </c>
      <c r="T15">
        <f>'Data Tables (M) cb_zip'!T15-'Data Tables (M) no_cb_zip'!T15</f>
        <v>4.8413901824995165E-4</v>
      </c>
      <c r="U15">
        <f>'Data Tables (M) cb_zip'!U15-'Data Tables (M) no_cb_zip'!U15</f>
        <v>-1.1591901077800948E-3</v>
      </c>
      <c r="V15">
        <f>'Data Tables (M) cb_zip'!V15-'Data Tables (M) no_cb_zip'!V15</f>
        <v>3.7082797244591958E-4</v>
      </c>
    </row>
    <row r="16" spans="1:22" x14ac:dyDescent="0.35">
      <c r="A16" t="str">
        <f>'Data Tables (M) no_cb_zip'!A16</f>
        <v>LTV Impact</v>
      </c>
      <c r="B16">
        <f>'Data Tables (M) cb_zip'!B16-'Data Tables (M) no_cb_zip'!B16</f>
        <v>0</v>
      </c>
      <c r="C16">
        <f>'Data Tables (M) cb_zip'!C16-'Data Tables (M) no_cb_zip'!C16</f>
        <v>0</v>
      </c>
      <c r="D16">
        <f>'Data Tables (M) cb_zip'!D16-'Data Tables (M) no_cb_zip'!D16</f>
        <v>0</v>
      </c>
      <c r="E16">
        <f>'Data Tables (M) cb_zip'!E16-'Data Tables (M) no_cb_zip'!E16</f>
        <v>0</v>
      </c>
      <c r="F16">
        <f>'Data Tables (M) cb_zip'!F16-'Data Tables (M) no_cb_zip'!F16</f>
        <v>0</v>
      </c>
      <c r="G16">
        <f>'Data Tables (M) cb_zip'!G16-'Data Tables (M) no_cb_zip'!G16</f>
        <v>0</v>
      </c>
      <c r="H16">
        <f>'Data Tables (M) cb_zip'!H16-'Data Tables (M) no_cb_zip'!H16</f>
        <v>0</v>
      </c>
      <c r="I16">
        <f>'Data Tables (M) cb_zip'!I16-'Data Tables (M) no_cb_zip'!I16</f>
        <v>0</v>
      </c>
      <c r="J16">
        <f>'Data Tables (M) cb_zip'!J16-'Data Tables (M) no_cb_zip'!J16</f>
        <v>0</v>
      </c>
      <c r="K16">
        <f>'Data Tables (M) cb_zip'!K16-'Data Tables (M) no_cb_zip'!K16</f>
        <v>0</v>
      </c>
      <c r="L16">
        <f>'Data Tables (M) cb_zip'!L16-'Data Tables (M) no_cb_zip'!L16</f>
        <v>0</v>
      </c>
      <c r="M16">
        <f>'Data Tables (M) cb_zip'!M16-'Data Tables (M) no_cb_zip'!M16</f>
        <v>0</v>
      </c>
      <c r="N16">
        <f>'Data Tables (M) cb_zip'!N16-'Data Tables (M) no_cb_zip'!N16</f>
        <v>0</v>
      </c>
      <c r="O16">
        <f>'Data Tables (M) cb_zip'!O16-'Data Tables (M) no_cb_zip'!O16</f>
        <v>0</v>
      </c>
      <c r="P16">
        <f>'Data Tables (M) cb_zip'!P16-'Data Tables (M) no_cb_zip'!P16</f>
        <v>0</v>
      </c>
      <c r="Q16">
        <f>'Data Tables (M) cb_zip'!Q16-'Data Tables (M) no_cb_zip'!Q16</f>
        <v>0</v>
      </c>
      <c r="R16">
        <f>'Data Tables (M) cb_zip'!R16-'Data Tables (M) no_cb_zip'!R16</f>
        <v>0</v>
      </c>
      <c r="S16">
        <f>'Data Tables (M) cb_zip'!S16-'Data Tables (M) no_cb_zip'!S16</f>
        <v>0</v>
      </c>
      <c r="T16">
        <f>'Data Tables (M) cb_zip'!T16-'Data Tables (M) no_cb_zip'!T16</f>
        <v>0</v>
      </c>
      <c r="U16">
        <f>'Data Tables (M) cb_zip'!U16-'Data Tables (M) no_cb_zip'!U16</f>
        <v>0</v>
      </c>
      <c r="V16">
        <f>'Data Tables (M) cb_zip'!V16-'Data Tables (M) no_cb_zip'!V16</f>
        <v>0</v>
      </c>
    </row>
    <row r="17" spans="1:22" x14ac:dyDescent="0.35">
      <c r="A17" t="str">
        <f>'Data Tables (M) no_cb_zip'!A17</f>
        <v>APR Impact</v>
      </c>
      <c r="B17">
        <f>'Data Tables (M) cb_zip'!B17-'Data Tables (M) no_cb_zip'!B17</f>
        <v>0</v>
      </c>
      <c r="C17">
        <f>'Data Tables (M) cb_zip'!C17-'Data Tables (M) no_cb_zip'!C17</f>
        <v>0</v>
      </c>
      <c r="D17">
        <f>'Data Tables (M) cb_zip'!D17-'Data Tables (M) no_cb_zip'!D17</f>
        <v>0</v>
      </c>
      <c r="E17">
        <f>'Data Tables (M) cb_zip'!E17-'Data Tables (M) no_cb_zip'!E17</f>
        <v>0</v>
      </c>
      <c r="F17">
        <f>'Data Tables (M) cb_zip'!F17-'Data Tables (M) no_cb_zip'!F17</f>
        <v>0</v>
      </c>
      <c r="G17">
        <f>'Data Tables (M) cb_zip'!G17-'Data Tables (M) no_cb_zip'!G17</f>
        <v>0</v>
      </c>
      <c r="H17">
        <f>'Data Tables (M) cb_zip'!H17-'Data Tables (M) no_cb_zip'!H17</f>
        <v>0</v>
      </c>
      <c r="I17">
        <f>'Data Tables (M) cb_zip'!I17-'Data Tables (M) no_cb_zip'!I17</f>
        <v>0</v>
      </c>
      <c r="J17">
        <f>'Data Tables (M) cb_zip'!J17-'Data Tables (M) no_cb_zip'!J17</f>
        <v>0</v>
      </c>
      <c r="K17">
        <f>'Data Tables (M) cb_zip'!K17-'Data Tables (M) no_cb_zip'!K17</f>
        <v>0</v>
      </c>
      <c r="L17">
        <f>'Data Tables (M) cb_zip'!L17-'Data Tables (M) no_cb_zip'!L17</f>
        <v>0</v>
      </c>
      <c r="M17">
        <f>'Data Tables (M) cb_zip'!M17-'Data Tables (M) no_cb_zip'!M17</f>
        <v>0</v>
      </c>
      <c r="N17">
        <f>'Data Tables (M) cb_zip'!N17-'Data Tables (M) no_cb_zip'!N17</f>
        <v>0</v>
      </c>
      <c r="O17">
        <f>'Data Tables (M) cb_zip'!O17-'Data Tables (M) no_cb_zip'!O17</f>
        <v>0</v>
      </c>
      <c r="P17">
        <f>'Data Tables (M) cb_zip'!P17-'Data Tables (M) no_cb_zip'!P17</f>
        <v>0</v>
      </c>
      <c r="Q17">
        <f>'Data Tables (M) cb_zip'!Q17-'Data Tables (M) no_cb_zip'!Q17</f>
        <v>0</v>
      </c>
      <c r="R17">
        <f>'Data Tables (M) cb_zip'!R17-'Data Tables (M) no_cb_zip'!R17</f>
        <v>0</v>
      </c>
      <c r="S17">
        <f>'Data Tables (M) cb_zip'!S17-'Data Tables (M) no_cb_zip'!S17</f>
        <v>0</v>
      </c>
      <c r="T17">
        <f>'Data Tables (M) cb_zip'!T17-'Data Tables (M) no_cb_zip'!T17</f>
        <v>0</v>
      </c>
      <c r="U17">
        <f>'Data Tables (M) cb_zip'!U17-'Data Tables (M) no_cb_zip'!U17</f>
        <v>0</v>
      </c>
      <c r="V17">
        <f>'Data Tables (M) cb_zip'!V17-'Data Tables (M) no_cb_zip'!V17</f>
        <v>0</v>
      </c>
    </row>
    <row r="18" spans="1:22" x14ac:dyDescent="0.35">
      <c r="A18" t="str">
        <f>'Data Tables (M) no_cb_zip'!A18</f>
        <v>RAGU Score</v>
      </c>
      <c r="B18">
        <f>'Data Tables (M) cb_zip'!B18-'Data Tables (M) no_cb_zip'!B18</f>
        <v>0.12106912981809614</v>
      </c>
      <c r="C18">
        <f>'Data Tables (M) cb_zip'!C18-'Data Tables (M) no_cb_zip'!C18</f>
        <v>0.12854200902708612</v>
      </c>
      <c r="D18">
        <f>'Data Tables (M) cb_zip'!D18-'Data Tables (M) no_cb_zip'!D18</f>
        <v>0.17360870349952506</v>
      </c>
      <c r="E18">
        <f>'Data Tables (M) cb_zip'!E18-'Data Tables (M) no_cb_zip'!E18</f>
        <v>6.439503280239478E-2</v>
      </c>
      <c r="F18">
        <f>'Data Tables (M) cb_zip'!F18-'Data Tables (M) no_cb_zip'!F18</f>
        <v>4.7178223406518782E-2</v>
      </c>
      <c r="G18">
        <f>'Data Tables (M) cb_zip'!G18-'Data Tables (M) no_cb_zip'!G18</f>
        <v>5.5978397025398863E-2</v>
      </c>
      <c r="H18">
        <f>'Data Tables (M) cb_zip'!H18-'Data Tables (M) no_cb_zip'!H18</f>
        <v>4.3379110536790222E-2</v>
      </c>
      <c r="I18">
        <f>'Data Tables (M) cb_zip'!I18-'Data Tables (M) no_cb_zip'!I18</f>
        <v>3.6643173464796064E-2</v>
      </c>
      <c r="J18">
        <f>'Data Tables (M) cb_zip'!J18-'Data Tables (M) no_cb_zip'!J18</f>
        <v>0.11148584256500271</v>
      </c>
      <c r="K18">
        <f>'Data Tables (M) cb_zip'!K18-'Data Tables (M) no_cb_zip'!K18</f>
        <v>2.7290361766176829E-3</v>
      </c>
      <c r="L18">
        <f>'Data Tables (M) cb_zip'!L18-'Data Tables (M) no_cb_zip'!L18</f>
        <v>-2.7251252726188113E-2</v>
      </c>
      <c r="M18">
        <f>'Data Tables (M) cb_zip'!M18-'Data Tables (M) no_cb_zip'!M18</f>
        <v>-3.7839978970026777E-2</v>
      </c>
      <c r="N18">
        <f>'Data Tables (M) cb_zip'!N18-'Data Tables (M) no_cb_zip'!N18</f>
        <v>-4.0144565317490333E-2</v>
      </c>
      <c r="O18">
        <f>'Data Tables (M) cb_zip'!O18-'Data Tables (M) no_cb_zip'!O18</f>
        <v>-3.1983087049098913E-2</v>
      </c>
      <c r="P18">
        <f>'Data Tables (M) cb_zip'!P18-'Data Tables (M) no_cb_zip'!P18</f>
        <v>2.1645235211593672E-2</v>
      </c>
      <c r="Q18">
        <f>'Data Tables (M) cb_zip'!Q18-'Data Tables (M) no_cb_zip'!Q18</f>
        <v>-4.0290261106406433E-2</v>
      </c>
      <c r="R18">
        <f>'Data Tables (M) cb_zip'!R18-'Data Tables (M) no_cb_zip'!R18</f>
        <v>1.0018279992607404E-2</v>
      </c>
      <c r="S18">
        <f>'Data Tables (M) cb_zip'!S18-'Data Tables (M) no_cb_zip'!S18</f>
        <v>3.0715013608926256E-3</v>
      </c>
      <c r="T18">
        <f>'Data Tables (M) cb_zip'!T18-'Data Tables (M) no_cb_zip'!T18</f>
        <v>2.7736560726509651E-2</v>
      </c>
      <c r="U18">
        <f>'Data Tables (M) cb_zip'!U18-'Data Tables (M) no_cb_zip'!U18</f>
        <v>-6.1800122425012205E-2</v>
      </c>
      <c r="V18">
        <f>'Data Tables (M) cb_zip'!V18-'Data Tables (M) no_cb_zip'!V18</f>
        <v>1.7232678713895666E-2</v>
      </c>
    </row>
    <row r="19" spans="1:22" x14ac:dyDescent="0.35">
      <c r="A19" t="str">
        <f>'Data Tables (M) no_cb_zip'!A19</f>
        <v>Amount Financed</v>
      </c>
      <c r="B19">
        <f>'Data Tables (M) cb_zip'!B19-'Data Tables (M) no_cb_zip'!B19</f>
        <v>0</v>
      </c>
      <c r="C19">
        <f>'Data Tables (M) cb_zip'!C19-'Data Tables (M) no_cb_zip'!C19</f>
        <v>0</v>
      </c>
      <c r="D19">
        <f>'Data Tables (M) cb_zip'!D19-'Data Tables (M) no_cb_zip'!D19</f>
        <v>0</v>
      </c>
      <c r="E19">
        <f>'Data Tables (M) cb_zip'!E19-'Data Tables (M) no_cb_zip'!E19</f>
        <v>0</v>
      </c>
      <c r="F19">
        <f>'Data Tables (M) cb_zip'!F19-'Data Tables (M) no_cb_zip'!F19</f>
        <v>0</v>
      </c>
      <c r="G19">
        <f>'Data Tables (M) cb_zip'!G19-'Data Tables (M) no_cb_zip'!G19</f>
        <v>0</v>
      </c>
      <c r="H19">
        <f>'Data Tables (M) cb_zip'!H19-'Data Tables (M) no_cb_zip'!H19</f>
        <v>0</v>
      </c>
      <c r="I19">
        <f>'Data Tables (M) cb_zip'!I19-'Data Tables (M) no_cb_zip'!I19</f>
        <v>0</v>
      </c>
      <c r="J19">
        <f>'Data Tables (M) cb_zip'!J19-'Data Tables (M) no_cb_zip'!J19</f>
        <v>0</v>
      </c>
      <c r="K19">
        <f>'Data Tables (M) cb_zip'!K19-'Data Tables (M) no_cb_zip'!K19</f>
        <v>0</v>
      </c>
      <c r="L19">
        <f>'Data Tables (M) cb_zip'!L19-'Data Tables (M) no_cb_zip'!L19</f>
        <v>0</v>
      </c>
      <c r="M19">
        <f>'Data Tables (M) cb_zip'!M19-'Data Tables (M) no_cb_zip'!M19</f>
        <v>0</v>
      </c>
      <c r="N19">
        <f>'Data Tables (M) cb_zip'!N19-'Data Tables (M) no_cb_zip'!N19</f>
        <v>0</v>
      </c>
      <c r="O19">
        <f>'Data Tables (M) cb_zip'!O19-'Data Tables (M) no_cb_zip'!O19</f>
        <v>0</v>
      </c>
      <c r="P19">
        <f>'Data Tables (M) cb_zip'!P19-'Data Tables (M) no_cb_zip'!P19</f>
        <v>0</v>
      </c>
      <c r="Q19">
        <f>'Data Tables (M) cb_zip'!Q19-'Data Tables (M) no_cb_zip'!Q19</f>
        <v>0</v>
      </c>
      <c r="R19">
        <f>'Data Tables (M) cb_zip'!R19-'Data Tables (M) no_cb_zip'!R19</f>
        <v>0</v>
      </c>
      <c r="S19">
        <f>'Data Tables (M) cb_zip'!S19-'Data Tables (M) no_cb_zip'!S19</f>
        <v>0</v>
      </c>
      <c r="T19">
        <f>'Data Tables (M) cb_zip'!T19-'Data Tables (M) no_cb_zip'!T19</f>
        <v>0</v>
      </c>
      <c r="U19">
        <f>'Data Tables (M) cb_zip'!U19-'Data Tables (M) no_cb_zip'!U19</f>
        <v>0</v>
      </c>
      <c r="V19">
        <f>'Data Tables (M) cb_zip'!V19-'Data Tables (M) no_cb_zip'!V19</f>
        <v>0</v>
      </c>
    </row>
    <row r="20" spans="1:22" x14ac:dyDescent="0.35">
      <c r="A20" t="str">
        <f>'Data Tables (M) no_cb_zip'!A20</f>
        <v>Weighted LTV</v>
      </c>
      <c r="B20">
        <f>'Data Tables (M) cb_zip'!B20-'Data Tables (M) no_cb_zip'!B20</f>
        <v>0</v>
      </c>
      <c r="C20">
        <f>'Data Tables (M) cb_zip'!C20-'Data Tables (M) no_cb_zip'!C20</f>
        <v>0</v>
      </c>
      <c r="D20">
        <f>'Data Tables (M) cb_zip'!D20-'Data Tables (M) no_cb_zip'!D20</f>
        <v>0</v>
      </c>
      <c r="E20">
        <f>'Data Tables (M) cb_zip'!E20-'Data Tables (M) no_cb_zip'!E20</f>
        <v>0</v>
      </c>
      <c r="F20">
        <f>'Data Tables (M) cb_zip'!F20-'Data Tables (M) no_cb_zip'!F20</f>
        <v>0</v>
      </c>
      <c r="G20">
        <f>'Data Tables (M) cb_zip'!G20-'Data Tables (M) no_cb_zip'!G20</f>
        <v>0</v>
      </c>
      <c r="H20">
        <f>'Data Tables (M) cb_zip'!H20-'Data Tables (M) no_cb_zip'!H20</f>
        <v>0</v>
      </c>
      <c r="I20">
        <f>'Data Tables (M) cb_zip'!I20-'Data Tables (M) no_cb_zip'!I20</f>
        <v>0</v>
      </c>
      <c r="J20">
        <f>'Data Tables (M) cb_zip'!J20-'Data Tables (M) no_cb_zip'!J20</f>
        <v>0</v>
      </c>
      <c r="K20">
        <f>'Data Tables (M) cb_zip'!K20-'Data Tables (M) no_cb_zip'!K20</f>
        <v>0</v>
      </c>
      <c r="L20">
        <f>'Data Tables (M) cb_zip'!L20-'Data Tables (M) no_cb_zip'!L20</f>
        <v>0</v>
      </c>
      <c r="M20">
        <f>'Data Tables (M) cb_zip'!M20-'Data Tables (M) no_cb_zip'!M20</f>
        <v>0</v>
      </c>
      <c r="N20">
        <f>'Data Tables (M) cb_zip'!N20-'Data Tables (M) no_cb_zip'!N20</f>
        <v>0</v>
      </c>
      <c r="O20">
        <f>'Data Tables (M) cb_zip'!O20-'Data Tables (M) no_cb_zip'!O20</f>
        <v>0</v>
      </c>
      <c r="P20">
        <f>'Data Tables (M) cb_zip'!P20-'Data Tables (M) no_cb_zip'!P20</f>
        <v>0</v>
      </c>
      <c r="Q20">
        <f>'Data Tables (M) cb_zip'!Q20-'Data Tables (M) no_cb_zip'!Q20</f>
        <v>0</v>
      </c>
      <c r="R20">
        <f>'Data Tables (M) cb_zip'!R20-'Data Tables (M) no_cb_zip'!R20</f>
        <v>0</v>
      </c>
      <c r="S20">
        <f>'Data Tables (M) cb_zip'!S20-'Data Tables (M) no_cb_zip'!S20</f>
        <v>0</v>
      </c>
      <c r="T20">
        <f>'Data Tables (M) cb_zip'!T20-'Data Tables (M) no_cb_zip'!T20</f>
        <v>0</v>
      </c>
      <c r="U20">
        <f>'Data Tables (M) cb_zip'!U20-'Data Tables (M) no_cb_zip'!U20</f>
        <v>0</v>
      </c>
      <c r="V20">
        <f>'Data Tables (M) cb_zip'!V20-'Data Tables (M) no_cb_zip'!V20</f>
        <v>0</v>
      </c>
    </row>
    <row r="21" spans="1:22" x14ac:dyDescent="0.35">
      <c r="A21" t="str">
        <f>'Data Tables (M) no_cb_zip'!A21</f>
        <v>Weighted APR</v>
      </c>
      <c r="B21">
        <f>'Data Tables (M) cb_zip'!B21-'Data Tables (M) no_cb_zip'!B21</f>
        <v>0</v>
      </c>
      <c r="C21">
        <f>'Data Tables (M) cb_zip'!C21-'Data Tables (M) no_cb_zip'!C21</f>
        <v>0</v>
      </c>
      <c r="D21">
        <f>'Data Tables (M) cb_zip'!D21-'Data Tables (M) no_cb_zip'!D21</f>
        <v>0</v>
      </c>
      <c r="E21">
        <f>'Data Tables (M) cb_zip'!E21-'Data Tables (M) no_cb_zip'!E21</f>
        <v>0</v>
      </c>
      <c r="F21">
        <f>'Data Tables (M) cb_zip'!F21-'Data Tables (M) no_cb_zip'!F21</f>
        <v>0</v>
      </c>
      <c r="G21">
        <f>'Data Tables (M) cb_zip'!G21-'Data Tables (M) no_cb_zip'!G21</f>
        <v>0</v>
      </c>
      <c r="H21">
        <f>'Data Tables (M) cb_zip'!H21-'Data Tables (M) no_cb_zip'!H21</f>
        <v>0</v>
      </c>
      <c r="I21">
        <f>'Data Tables (M) cb_zip'!I21-'Data Tables (M) no_cb_zip'!I21</f>
        <v>0</v>
      </c>
      <c r="J21">
        <f>'Data Tables (M) cb_zip'!J21-'Data Tables (M) no_cb_zip'!J21</f>
        <v>0</v>
      </c>
      <c r="K21">
        <f>'Data Tables (M) cb_zip'!K21-'Data Tables (M) no_cb_zip'!K21</f>
        <v>0</v>
      </c>
      <c r="L21">
        <f>'Data Tables (M) cb_zip'!L21-'Data Tables (M) no_cb_zip'!L21</f>
        <v>0</v>
      </c>
      <c r="M21">
        <f>'Data Tables (M) cb_zip'!M21-'Data Tables (M) no_cb_zip'!M21</f>
        <v>0</v>
      </c>
      <c r="N21">
        <f>'Data Tables (M) cb_zip'!N21-'Data Tables (M) no_cb_zip'!N21</f>
        <v>0</v>
      </c>
      <c r="O21">
        <f>'Data Tables (M) cb_zip'!O21-'Data Tables (M) no_cb_zip'!O21</f>
        <v>0</v>
      </c>
      <c r="P21">
        <f>'Data Tables (M) cb_zip'!P21-'Data Tables (M) no_cb_zip'!P21</f>
        <v>0</v>
      </c>
      <c r="Q21">
        <f>'Data Tables (M) cb_zip'!Q21-'Data Tables (M) no_cb_zip'!Q21</f>
        <v>0</v>
      </c>
      <c r="R21">
        <f>'Data Tables (M) cb_zip'!R21-'Data Tables (M) no_cb_zip'!R21</f>
        <v>0</v>
      </c>
      <c r="S21">
        <f>'Data Tables (M) cb_zip'!S21-'Data Tables (M) no_cb_zip'!S21</f>
        <v>0</v>
      </c>
      <c r="T21">
        <f>'Data Tables (M) cb_zip'!T21-'Data Tables (M) no_cb_zip'!T21</f>
        <v>0</v>
      </c>
      <c r="U21">
        <f>'Data Tables (M) cb_zip'!U21-'Data Tables (M) no_cb_zip'!U21</f>
        <v>0</v>
      </c>
      <c r="V21">
        <f>'Data Tables (M) cb_zip'!V21-'Data Tables (M) no_cb_zip'!V21</f>
        <v>0</v>
      </c>
    </row>
    <row r="22" spans="1:22" x14ac:dyDescent="0.35">
      <c r="A22">
        <f>'Data Tables (M) no_cb_zip'!A22</f>
        <v>0</v>
      </c>
      <c r="B22">
        <f>'Data Tables (M) cb_zip'!B22-'Data Tables (M) no_cb_zip'!B22</f>
        <v>0</v>
      </c>
      <c r="C22">
        <f>'Data Tables (M) cb_zip'!C22-'Data Tables (M) no_cb_zip'!C22</f>
        <v>0</v>
      </c>
      <c r="D22">
        <f>'Data Tables (M) cb_zip'!D22-'Data Tables (M) no_cb_zip'!D22</f>
        <v>0</v>
      </c>
      <c r="E22">
        <f>'Data Tables (M) cb_zip'!E22-'Data Tables (M) no_cb_zip'!E22</f>
        <v>0</v>
      </c>
      <c r="F22">
        <f>'Data Tables (M) cb_zip'!F22-'Data Tables (M) no_cb_zip'!F22</f>
        <v>0</v>
      </c>
      <c r="G22">
        <f>'Data Tables (M) cb_zip'!G22-'Data Tables (M) no_cb_zip'!G22</f>
        <v>0</v>
      </c>
      <c r="H22">
        <f>'Data Tables (M) cb_zip'!H22-'Data Tables (M) no_cb_zip'!H22</f>
        <v>0</v>
      </c>
      <c r="I22">
        <f>'Data Tables (M) cb_zip'!I22-'Data Tables (M) no_cb_zip'!I22</f>
        <v>0</v>
      </c>
      <c r="J22">
        <f>'Data Tables (M) cb_zip'!J22-'Data Tables (M) no_cb_zip'!J22</f>
        <v>0</v>
      </c>
      <c r="K22">
        <f>'Data Tables (M) cb_zip'!K22-'Data Tables (M) no_cb_zip'!K22</f>
        <v>0</v>
      </c>
      <c r="L22">
        <f>'Data Tables (M) cb_zip'!L22-'Data Tables (M) no_cb_zip'!L22</f>
        <v>0</v>
      </c>
      <c r="M22">
        <f>'Data Tables (M) cb_zip'!M22-'Data Tables (M) no_cb_zip'!M22</f>
        <v>0</v>
      </c>
      <c r="N22">
        <f>'Data Tables (M) cb_zip'!N22-'Data Tables (M) no_cb_zip'!N22</f>
        <v>0</v>
      </c>
      <c r="O22">
        <f>'Data Tables (M) cb_zip'!O22-'Data Tables (M) no_cb_zip'!O22</f>
        <v>0</v>
      </c>
      <c r="P22">
        <f>'Data Tables (M) cb_zip'!P22-'Data Tables (M) no_cb_zip'!P22</f>
        <v>0</v>
      </c>
      <c r="Q22">
        <f>'Data Tables (M) cb_zip'!Q22-'Data Tables (M) no_cb_zip'!Q22</f>
        <v>0</v>
      </c>
      <c r="R22">
        <f>'Data Tables (M) cb_zip'!R22-'Data Tables (M) no_cb_zip'!R22</f>
        <v>0</v>
      </c>
      <c r="S22">
        <f>'Data Tables (M) cb_zip'!S22-'Data Tables (M) no_cb_zip'!S22</f>
        <v>0</v>
      </c>
      <c r="T22">
        <f>'Data Tables (M) cb_zip'!T22-'Data Tables (M) no_cb_zip'!T22</f>
        <v>0</v>
      </c>
      <c r="U22">
        <f>'Data Tables (M) cb_zip'!U22-'Data Tables (M) no_cb_zip'!U22</f>
        <v>0</v>
      </c>
      <c r="V22">
        <f>'Data Tables (M) cb_zip'!V22-'Data Tables (M) no_cb_zip'!V22</f>
        <v>0</v>
      </c>
    </row>
    <row r="23" spans="1:22" x14ac:dyDescent="0.35">
      <c r="A23" t="str">
        <f>'Data Tables (M) no_cb_zip'!A23</f>
        <v>STG</v>
      </c>
      <c r="B23" t="e">
        <f>'Data Tables (M) cb_zip'!B23-'Data Tables (M) no_cb_zip'!B23</f>
        <v>#VALUE!</v>
      </c>
      <c r="C23" t="e">
        <f>'Data Tables (M) cb_zip'!C23-'Data Tables (M) no_cb_zip'!C23</f>
        <v>#VALUE!</v>
      </c>
      <c r="D23" t="e">
        <f>'Data Tables (M) cb_zip'!D23-'Data Tables (M) no_cb_zip'!D23</f>
        <v>#VALUE!</v>
      </c>
      <c r="E23" t="e">
        <f>'Data Tables (M) cb_zip'!E23-'Data Tables (M) no_cb_zip'!E23</f>
        <v>#VALUE!</v>
      </c>
      <c r="F23" t="e">
        <f>'Data Tables (M) cb_zip'!F23-'Data Tables (M) no_cb_zip'!F23</f>
        <v>#VALUE!</v>
      </c>
      <c r="G23" t="e">
        <f>'Data Tables (M) cb_zip'!G23-'Data Tables (M) no_cb_zip'!G23</f>
        <v>#VALUE!</v>
      </c>
      <c r="H23" t="e">
        <f>'Data Tables (M) cb_zip'!H23-'Data Tables (M) no_cb_zip'!H23</f>
        <v>#VALUE!</v>
      </c>
      <c r="I23" t="e">
        <f>'Data Tables (M) cb_zip'!I23-'Data Tables (M) no_cb_zip'!I23</f>
        <v>#VALUE!</v>
      </c>
      <c r="J23" t="e">
        <f>'Data Tables (M) cb_zip'!J23-'Data Tables (M) no_cb_zip'!J23</f>
        <v>#VALUE!</v>
      </c>
      <c r="K23" t="e">
        <f>'Data Tables (M) cb_zip'!K23-'Data Tables (M) no_cb_zip'!K23</f>
        <v>#VALUE!</v>
      </c>
      <c r="L23" t="e">
        <f>'Data Tables (M) cb_zip'!L23-'Data Tables (M) no_cb_zip'!L23</f>
        <v>#VALUE!</v>
      </c>
      <c r="M23" t="e">
        <f>'Data Tables (M) cb_zip'!M23-'Data Tables (M) no_cb_zip'!M23</f>
        <v>#VALUE!</v>
      </c>
      <c r="N23" t="e">
        <f>'Data Tables (M) cb_zip'!N23-'Data Tables (M) no_cb_zip'!N23</f>
        <v>#VALUE!</v>
      </c>
      <c r="O23" t="e">
        <f>'Data Tables (M) cb_zip'!O23-'Data Tables (M) no_cb_zip'!O23</f>
        <v>#VALUE!</v>
      </c>
      <c r="P23" t="e">
        <f>'Data Tables (M) cb_zip'!P23-'Data Tables (M) no_cb_zip'!P23</f>
        <v>#VALUE!</v>
      </c>
      <c r="Q23" t="e">
        <f>'Data Tables (M) cb_zip'!Q23-'Data Tables (M) no_cb_zip'!Q23</f>
        <v>#VALUE!</v>
      </c>
      <c r="R23" t="e">
        <f>'Data Tables (M) cb_zip'!R23-'Data Tables (M) no_cb_zip'!R23</f>
        <v>#VALUE!</v>
      </c>
      <c r="S23" t="e">
        <f>'Data Tables (M) cb_zip'!S23-'Data Tables (M) no_cb_zip'!S23</f>
        <v>#VALUE!</v>
      </c>
      <c r="T23" t="e">
        <f>'Data Tables (M) cb_zip'!T23-'Data Tables (M) no_cb_zip'!T23</f>
        <v>#VALUE!</v>
      </c>
      <c r="U23" t="e">
        <f>'Data Tables (M) cb_zip'!U23-'Data Tables (M) no_cb_zip'!U23</f>
        <v>#VALUE!</v>
      </c>
      <c r="V23" t="e">
        <f>'Data Tables (M) cb_zip'!V23-'Data Tables (M) no_cb_zip'!V23</f>
        <v>#VALUE!</v>
      </c>
    </row>
    <row r="24" spans="1:22" x14ac:dyDescent="0.35">
      <c r="A24" t="str">
        <f>'Data Tables (M) no_cb_zip'!A24</f>
        <v>Model Score</v>
      </c>
      <c r="B24">
        <f>'Data Tables (M) cb_zip'!B24-'Data Tables (M) no_cb_zip'!B24</f>
        <v>0</v>
      </c>
      <c r="C24">
        <f>'Data Tables (M) cb_zip'!C24-'Data Tables (M) no_cb_zip'!C24</f>
        <v>0</v>
      </c>
      <c r="D24">
        <f>'Data Tables (M) cb_zip'!D24-'Data Tables (M) no_cb_zip'!D24</f>
        <v>0</v>
      </c>
      <c r="E24">
        <f>'Data Tables (M) cb_zip'!E24-'Data Tables (M) no_cb_zip'!E24</f>
        <v>0</v>
      </c>
      <c r="F24">
        <f>'Data Tables (M) cb_zip'!F24-'Data Tables (M) no_cb_zip'!F24</f>
        <v>0</v>
      </c>
      <c r="G24">
        <f>'Data Tables (M) cb_zip'!G24-'Data Tables (M) no_cb_zip'!G24</f>
        <v>0</v>
      </c>
      <c r="H24">
        <f>'Data Tables (M) cb_zip'!H24-'Data Tables (M) no_cb_zip'!H24</f>
        <v>0</v>
      </c>
      <c r="I24">
        <f>'Data Tables (M) cb_zip'!I24-'Data Tables (M) no_cb_zip'!I24</f>
        <v>0</v>
      </c>
      <c r="J24">
        <f>'Data Tables (M) cb_zip'!J24-'Data Tables (M) no_cb_zip'!J24</f>
        <v>0</v>
      </c>
      <c r="K24">
        <f>'Data Tables (M) cb_zip'!K24-'Data Tables (M) no_cb_zip'!K24</f>
        <v>0</v>
      </c>
      <c r="L24">
        <f>'Data Tables (M) cb_zip'!L24-'Data Tables (M) no_cb_zip'!L24</f>
        <v>0</v>
      </c>
      <c r="M24">
        <f>'Data Tables (M) cb_zip'!M24-'Data Tables (M) no_cb_zip'!M24</f>
        <v>0</v>
      </c>
      <c r="N24">
        <f>'Data Tables (M) cb_zip'!N24-'Data Tables (M) no_cb_zip'!N24</f>
        <v>0</v>
      </c>
      <c r="O24">
        <f>'Data Tables (M) cb_zip'!O24-'Data Tables (M) no_cb_zip'!O24</f>
        <v>0</v>
      </c>
      <c r="P24">
        <f>'Data Tables (M) cb_zip'!P24-'Data Tables (M) no_cb_zip'!P24</f>
        <v>0</v>
      </c>
      <c r="Q24">
        <f>'Data Tables (M) cb_zip'!Q24-'Data Tables (M) no_cb_zip'!Q24</f>
        <v>0</v>
      </c>
      <c r="R24">
        <f>'Data Tables (M) cb_zip'!R24-'Data Tables (M) no_cb_zip'!R24</f>
        <v>0</v>
      </c>
      <c r="S24">
        <f>'Data Tables (M) cb_zip'!S24-'Data Tables (M) no_cb_zip'!S24</f>
        <v>0</v>
      </c>
      <c r="T24">
        <f>'Data Tables (M) cb_zip'!T24-'Data Tables (M) no_cb_zip'!T24</f>
        <v>0</v>
      </c>
      <c r="U24">
        <f>'Data Tables (M) cb_zip'!U24-'Data Tables (M) no_cb_zip'!U24</f>
        <v>0</v>
      </c>
      <c r="V24">
        <f>'Data Tables (M) cb_zip'!V24-'Data Tables (M) no_cb_zip'!V24</f>
        <v>0</v>
      </c>
    </row>
    <row r="25" spans="1:22" x14ac:dyDescent="0.35">
      <c r="A25" t="str">
        <f>'Data Tables (M) no_cb_zip'!A25</f>
        <v>Expected Gross Loss Impact</v>
      </c>
      <c r="B25">
        <f>'Data Tables (M) cb_zip'!B25-'Data Tables (M) no_cb_zip'!B25</f>
        <v>0.17399770317982188</v>
      </c>
      <c r="C25">
        <f>'Data Tables (M) cb_zip'!C25-'Data Tables (M) no_cb_zip'!C25</f>
        <v>0.21021985570180801</v>
      </c>
      <c r="D25">
        <f>'Data Tables (M) cb_zip'!D25-'Data Tables (M) no_cb_zip'!D25</f>
        <v>0.18305723844252952</v>
      </c>
      <c r="E25">
        <f>'Data Tables (M) cb_zip'!E25-'Data Tables (M) no_cb_zip'!E25</f>
        <v>0.13549753658247754</v>
      </c>
      <c r="F25">
        <f>'Data Tables (M) cb_zip'!F25-'Data Tables (M) no_cb_zip'!F25</f>
        <v>0.14171901415960497</v>
      </c>
      <c r="G25">
        <f>'Data Tables (M) cb_zip'!G25-'Data Tables (M) no_cb_zip'!G25</f>
        <v>0.16301758007617195</v>
      </c>
      <c r="H25">
        <f>'Data Tables (M) cb_zip'!H25-'Data Tables (M) no_cb_zip'!H25</f>
        <v>0.15520090458096503</v>
      </c>
      <c r="I25">
        <f>'Data Tables (M) cb_zip'!I25-'Data Tables (M) no_cb_zip'!I25</f>
        <v>0.20292057005272612</v>
      </c>
      <c r="J25">
        <f>'Data Tables (M) cb_zip'!J25-'Data Tables (M) no_cb_zip'!J25</f>
        <v>0.18020088164365688</v>
      </c>
      <c r="K25">
        <f>'Data Tables (M) cb_zip'!K25-'Data Tables (M) no_cb_zip'!K25</f>
        <v>-1.624269371555509E-2</v>
      </c>
      <c r="L25">
        <f>'Data Tables (M) cb_zip'!L25-'Data Tables (M) no_cb_zip'!L25</f>
        <v>9.1528544655261612E-3</v>
      </c>
      <c r="M25">
        <f>'Data Tables (M) cb_zip'!M25-'Data Tables (M) no_cb_zip'!M25</f>
        <v>-1.3199464484529022E-2</v>
      </c>
      <c r="N25">
        <f>'Data Tables (M) cb_zip'!N25-'Data Tables (M) no_cb_zip'!N25</f>
        <v>3.4408634697030038E-2</v>
      </c>
      <c r="O25">
        <f>'Data Tables (M) cb_zip'!O25-'Data Tables (M) no_cb_zip'!O25</f>
        <v>-2.4404618272768852E-2</v>
      </c>
      <c r="P25">
        <f>'Data Tables (M) cb_zip'!P25-'Data Tables (M) no_cb_zip'!P25</f>
        <v>9.8587752251034999E-2</v>
      </c>
      <c r="Q25">
        <f>'Data Tables (M) cb_zip'!Q25-'Data Tables (M) no_cb_zip'!Q25</f>
        <v>3.2566067499151252E-3</v>
      </c>
      <c r="R25">
        <f>'Data Tables (M) cb_zip'!R25-'Data Tables (M) no_cb_zip'!R25</f>
        <v>5.0811214830077223E-2</v>
      </c>
      <c r="S25">
        <f>'Data Tables (M) cb_zip'!S25-'Data Tables (M) no_cb_zip'!S25</f>
        <v>8.5612208845218696E-2</v>
      </c>
      <c r="T25">
        <f>'Data Tables (M) cb_zip'!T25-'Data Tables (M) no_cb_zip'!T25</f>
        <v>4.0672947195049103E-2</v>
      </c>
      <c r="U25">
        <f>'Data Tables (M) cb_zip'!U25-'Data Tables (M) no_cb_zip'!U25</f>
        <v>3.7231167379729868E-3</v>
      </c>
      <c r="V25">
        <f>'Data Tables (M) cb_zip'!V25-'Data Tables (M) no_cb_zip'!V25</f>
        <v>-5.5585359222911634E-3</v>
      </c>
    </row>
    <row r="26" spans="1:22" x14ac:dyDescent="0.35">
      <c r="A26" t="str">
        <f>'Data Tables (M) no_cb_zip'!A26</f>
        <v>Recovery Impact</v>
      </c>
      <c r="B26">
        <f>'Data Tables (M) cb_zip'!B26-'Data Tables (M) no_cb_zip'!B26</f>
        <v>2.7031950716738251E-3</v>
      </c>
      <c r="C26">
        <f>'Data Tables (M) cb_zip'!C26-'Data Tables (M) no_cb_zip'!C26</f>
        <v>3.0994457050899094E-3</v>
      </c>
      <c r="D26">
        <f>'Data Tables (M) cb_zip'!D26-'Data Tables (M) no_cb_zip'!D26</f>
        <v>2.3329808676659791E-3</v>
      </c>
      <c r="E26">
        <f>'Data Tables (M) cb_zip'!E26-'Data Tables (M) no_cb_zip'!E26</f>
        <v>2.3095681600961981E-3</v>
      </c>
      <c r="F26">
        <f>'Data Tables (M) cb_zip'!F26-'Data Tables (M) no_cb_zip'!F26</f>
        <v>2.8478305646619795E-3</v>
      </c>
      <c r="G26">
        <f>'Data Tables (M) cb_zip'!G26-'Data Tables (M) no_cb_zip'!G26</f>
        <v>3.4675085496220781E-3</v>
      </c>
      <c r="H26">
        <f>'Data Tables (M) cb_zip'!H26-'Data Tables (M) no_cb_zip'!H26</f>
        <v>3.4098907971613635E-3</v>
      </c>
      <c r="I26">
        <f>'Data Tables (M) cb_zip'!I26-'Data Tables (M) no_cb_zip'!I26</f>
        <v>3.4239286452950601E-3</v>
      </c>
      <c r="J26">
        <f>'Data Tables (M) cb_zip'!J26-'Data Tables (M) no_cb_zip'!J26</f>
        <v>3.9686126964748603E-3</v>
      </c>
      <c r="K26">
        <f>'Data Tables (M) cb_zip'!K26-'Data Tables (M) no_cb_zip'!K26</f>
        <v>-4.4769251979781544E-4</v>
      </c>
      <c r="L26">
        <f>'Data Tables (M) cb_zip'!L26-'Data Tables (M) no_cb_zip'!L26</f>
        <v>2.5933967226476895E-4</v>
      </c>
      <c r="M26">
        <f>'Data Tables (M) cb_zip'!M26-'Data Tables (M) no_cb_zip'!M26</f>
        <v>-3.7756583978421077E-4</v>
      </c>
      <c r="N26">
        <f>'Data Tables (M) cb_zip'!N26-'Data Tables (M) no_cb_zip'!N26</f>
        <v>1.0008068506515144E-3</v>
      </c>
      <c r="O26">
        <f>'Data Tables (M) cb_zip'!O26-'Data Tables (M) no_cb_zip'!O26</f>
        <v>-5.0340671919579805E-4</v>
      </c>
      <c r="P26">
        <f>'Data Tables (M) cb_zip'!P26-'Data Tables (M) no_cb_zip'!P26</f>
        <v>2.1368397070649081E-3</v>
      </c>
      <c r="Q26">
        <f>'Data Tables (M) cb_zip'!Q26-'Data Tables (M) no_cb_zip'!Q26</f>
        <v>8.0170719881866859E-5</v>
      </c>
      <c r="R26">
        <f>'Data Tables (M) cb_zip'!R26-'Data Tables (M) no_cb_zip'!R26</f>
        <v>1.6362450730840195E-3</v>
      </c>
      <c r="S26">
        <f>'Data Tables (M) cb_zip'!S26-'Data Tables (M) no_cb_zip'!S26</f>
        <v>2.5571772702424056E-3</v>
      </c>
      <c r="T26">
        <f>'Data Tables (M) cb_zip'!T26-'Data Tables (M) no_cb_zip'!T26</f>
        <v>1.1317887714592523E-3</v>
      </c>
      <c r="U26">
        <f>'Data Tables (M) cb_zip'!U26-'Data Tables (M) no_cb_zip'!U26</f>
        <v>1.030658803888862E-4</v>
      </c>
      <c r="V26">
        <f>'Data Tables (M) cb_zip'!V26-'Data Tables (M) no_cb_zip'!V26</f>
        <v>-1.7407980657324629E-4</v>
      </c>
    </row>
    <row r="27" spans="1:22" x14ac:dyDescent="0.35">
      <c r="A27" t="str">
        <f>'Data Tables (M) no_cb_zip'!A27</f>
        <v>LTV Impact</v>
      </c>
      <c r="B27">
        <f>'Data Tables (M) cb_zip'!B27-'Data Tables (M) no_cb_zip'!B27</f>
        <v>0</v>
      </c>
      <c r="C27">
        <f>'Data Tables (M) cb_zip'!C27-'Data Tables (M) no_cb_zip'!C27</f>
        <v>0</v>
      </c>
      <c r="D27">
        <f>'Data Tables (M) cb_zip'!D27-'Data Tables (M) no_cb_zip'!D27</f>
        <v>0</v>
      </c>
      <c r="E27">
        <f>'Data Tables (M) cb_zip'!E27-'Data Tables (M) no_cb_zip'!E27</f>
        <v>0</v>
      </c>
      <c r="F27">
        <f>'Data Tables (M) cb_zip'!F27-'Data Tables (M) no_cb_zip'!F27</f>
        <v>0</v>
      </c>
      <c r="G27">
        <f>'Data Tables (M) cb_zip'!G27-'Data Tables (M) no_cb_zip'!G27</f>
        <v>0</v>
      </c>
      <c r="H27">
        <f>'Data Tables (M) cb_zip'!H27-'Data Tables (M) no_cb_zip'!H27</f>
        <v>0</v>
      </c>
      <c r="I27">
        <f>'Data Tables (M) cb_zip'!I27-'Data Tables (M) no_cb_zip'!I27</f>
        <v>0</v>
      </c>
      <c r="J27">
        <f>'Data Tables (M) cb_zip'!J27-'Data Tables (M) no_cb_zip'!J27</f>
        <v>0</v>
      </c>
      <c r="K27">
        <f>'Data Tables (M) cb_zip'!K27-'Data Tables (M) no_cb_zip'!K27</f>
        <v>0</v>
      </c>
      <c r="L27">
        <f>'Data Tables (M) cb_zip'!L27-'Data Tables (M) no_cb_zip'!L27</f>
        <v>0</v>
      </c>
      <c r="M27">
        <f>'Data Tables (M) cb_zip'!M27-'Data Tables (M) no_cb_zip'!M27</f>
        <v>0</v>
      </c>
      <c r="N27">
        <f>'Data Tables (M) cb_zip'!N27-'Data Tables (M) no_cb_zip'!N27</f>
        <v>0</v>
      </c>
      <c r="O27">
        <f>'Data Tables (M) cb_zip'!O27-'Data Tables (M) no_cb_zip'!O27</f>
        <v>0</v>
      </c>
      <c r="P27">
        <f>'Data Tables (M) cb_zip'!P27-'Data Tables (M) no_cb_zip'!P27</f>
        <v>0</v>
      </c>
      <c r="Q27">
        <f>'Data Tables (M) cb_zip'!Q27-'Data Tables (M) no_cb_zip'!Q27</f>
        <v>0</v>
      </c>
      <c r="R27">
        <f>'Data Tables (M) cb_zip'!R27-'Data Tables (M) no_cb_zip'!R27</f>
        <v>0</v>
      </c>
      <c r="S27">
        <f>'Data Tables (M) cb_zip'!S27-'Data Tables (M) no_cb_zip'!S27</f>
        <v>0</v>
      </c>
      <c r="T27">
        <f>'Data Tables (M) cb_zip'!T27-'Data Tables (M) no_cb_zip'!T27</f>
        <v>0</v>
      </c>
      <c r="U27">
        <f>'Data Tables (M) cb_zip'!U27-'Data Tables (M) no_cb_zip'!U27</f>
        <v>0</v>
      </c>
      <c r="V27">
        <f>'Data Tables (M) cb_zip'!V27-'Data Tables (M) no_cb_zip'!V27</f>
        <v>0</v>
      </c>
    </row>
    <row r="28" spans="1:22" x14ac:dyDescent="0.35">
      <c r="A28" t="str">
        <f>'Data Tables (M) no_cb_zip'!A28</f>
        <v>APR Impact</v>
      </c>
      <c r="B28">
        <f>'Data Tables (M) cb_zip'!B28-'Data Tables (M) no_cb_zip'!B28</f>
        <v>0</v>
      </c>
      <c r="C28">
        <f>'Data Tables (M) cb_zip'!C28-'Data Tables (M) no_cb_zip'!C28</f>
        <v>0</v>
      </c>
      <c r="D28">
        <f>'Data Tables (M) cb_zip'!D28-'Data Tables (M) no_cb_zip'!D28</f>
        <v>0</v>
      </c>
      <c r="E28">
        <f>'Data Tables (M) cb_zip'!E28-'Data Tables (M) no_cb_zip'!E28</f>
        <v>0</v>
      </c>
      <c r="F28">
        <f>'Data Tables (M) cb_zip'!F28-'Data Tables (M) no_cb_zip'!F28</f>
        <v>0</v>
      </c>
      <c r="G28">
        <f>'Data Tables (M) cb_zip'!G28-'Data Tables (M) no_cb_zip'!G28</f>
        <v>0</v>
      </c>
      <c r="H28">
        <f>'Data Tables (M) cb_zip'!H28-'Data Tables (M) no_cb_zip'!H28</f>
        <v>0</v>
      </c>
      <c r="I28">
        <f>'Data Tables (M) cb_zip'!I28-'Data Tables (M) no_cb_zip'!I28</f>
        <v>0</v>
      </c>
      <c r="J28">
        <f>'Data Tables (M) cb_zip'!J28-'Data Tables (M) no_cb_zip'!J28</f>
        <v>0</v>
      </c>
      <c r="K28">
        <f>'Data Tables (M) cb_zip'!K28-'Data Tables (M) no_cb_zip'!K28</f>
        <v>0</v>
      </c>
      <c r="L28">
        <f>'Data Tables (M) cb_zip'!L28-'Data Tables (M) no_cb_zip'!L28</f>
        <v>0</v>
      </c>
      <c r="M28">
        <f>'Data Tables (M) cb_zip'!M28-'Data Tables (M) no_cb_zip'!M28</f>
        <v>0</v>
      </c>
      <c r="N28">
        <f>'Data Tables (M) cb_zip'!N28-'Data Tables (M) no_cb_zip'!N28</f>
        <v>0</v>
      </c>
      <c r="O28">
        <f>'Data Tables (M) cb_zip'!O28-'Data Tables (M) no_cb_zip'!O28</f>
        <v>0</v>
      </c>
      <c r="P28">
        <f>'Data Tables (M) cb_zip'!P28-'Data Tables (M) no_cb_zip'!P28</f>
        <v>0</v>
      </c>
      <c r="Q28">
        <f>'Data Tables (M) cb_zip'!Q28-'Data Tables (M) no_cb_zip'!Q28</f>
        <v>0</v>
      </c>
      <c r="R28">
        <f>'Data Tables (M) cb_zip'!R28-'Data Tables (M) no_cb_zip'!R28</f>
        <v>0</v>
      </c>
      <c r="S28">
        <f>'Data Tables (M) cb_zip'!S28-'Data Tables (M) no_cb_zip'!S28</f>
        <v>0</v>
      </c>
      <c r="T28">
        <f>'Data Tables (M) cb_zip'!T28-'Data Tables (M) no_cb_zip'!T28</f>
        <v>0</v>
      </c>
      <c r="U28">
        <f>'Data Tables (M) cb_zip'!U28-'Data Tables (M) no_cb_zip'!U28</f>
        <v>0</v>
      </c>
      <c r="V28">
        <f>'Data Tables (M) cb_zip'!V28-'Data Tables (M) no_cb_zip'!V28</f>
        <v>0</v>
      </c>
    </row>
    <row r="29" spans="1:22" x14ac:dyDescent="0.35">
      <c r="A29" t="str">
        <f>'Data Tables (M) no_cb_zip'!A29</f>
        <v>RAGU Score</v>
      </c>
      <c r="B29">
        <f>'Data Tables (M) cb_zip'!B29-'Data Tables (M) no_cb_zip'!B29</f>
        <v>0.17670089825148239</v>
      </c>
      <c r="C29">
        <f>'Data Tables (M) cb_zip'!C29-'Data Tables (M) no_cb_zip'!C29</f>
        <v>0.21331930140689792</v>
      </c>
      <c r="D29">
        <f>'Data Tables (M) cb_zip'!D29-'Data Tables (M) no_cb_zip'!D29</f>
        <v>0.18539021931022148</v>
      </c>
      <c r="E29">
        <f>'Data Tables (M) cb_zip'!E29-'Data Tables (M) no_cb_zip'!E29</f>
        <v>0.13780710474262037</v>
      </c>
      <c r="F29">
        <f>'Data Tables (M) cb_zip'!F29-'Data Tables (M) no_cb_zip'!F29</f>
        <v>0.14456684472429515</v>
      </c>
      <c r="G29">
        <f>'Data Tables (M) cb_zip'!G29-'Data Tables (M) no_cb_zip'!G29</f>
        <v>0.16648508862581934</v>
      </c>
      <c r="H29">
        <f>'Data Tables (M) cb_zip'!H29-'Data Tables (M) no_cb_zip'!H29</f>
        <v>0.15861079537810951</v>
      </c>
      <c r="I29">
        <f>'Data Tables (M) cb_zip'!I29-'Data Tables (M) no_cb_zip'!I29</f>
        <v>0.20634449869800164</v>
      </c>
      <c r="J29">
        <f>'Data Tables (M) cb_zip'!J29-'Data Tables (M) no_cb_zip'!J29</f>
        <v>0.18416949434009666</v>
      </c>
      <c r="K29">
        <f>'Data Tables (M) cb_zip'!K29-'Data Tables (M) no_cb_zip'!K29</f>
        <v>-1.6690386235410415E-2</v>
      </c>
      <c r="L29">
        <f>'Data Tables (M) cb_zip'!L29-'Data Tables (M) no_cb_zip'!L29</f>
        <v>9.4121941377807161E-3</v>
      </c>
      <c r="M29">
        <f>'Data Tables (M) cb_zip'!M29-'Data Tables (M) no_cb_zip'!M29</f>
        <v>-1.3577030324285033E-2</v>
      </c>
      <c r="N29">
        <f>'Data Tables (M) cb_zip'!N29-'Data Tables (M) no_cb_zip'!N29</f>
        <v>3.5409441547585629E-2</v>
      </c>
      <c r="O29">
        <f>'Data Tables (M) cb_zip'!O29-'Data Tables (M) no_cb_zip'!O29</f>
        <v>-2.4908024992015498E-2</v>
      </c>
      <c r="P29">
        <f>'Data Tables (M) cb_zip'!P29-'Data Tables (M) no_cb_zip'!P29</f>
        <v>0.10072459195811234</v>
      </c>
      <c r="Q29">
        <f>'Data Tables (M) cb_zip'!Q29-'Data Tables (M) no_cb_zip'!Q29</f>
        <v>3.3367774697978803E-3</v>
      </c>
      <c r="R29">
        <f>'Data Tables (M) cb_zip'!R29-'Data Tables (M) no_cb_zip'!R29</f>
        <v>5.2447459903191884E-2</v>
      </c>
      <c r="S29">
        <f>'Data Tables (M) cb_zip'!S29-'Data Tables (M) no_cb_zip'!S29</f>
        <v>8.8169386115509951E-2</v>
      </c>
      <c r="T29">
        <f>'Data Tables (M) cb_zip'!T29-'Data Tables (M) no_cb_zip'!T29</f>
        <v>4.1804735966508133E-2</v>
      </c>
      <c r="U29">
        <f>'Data Tables (M) cb_zip'!U29-'Data Tables (M) no_cb_zip'!U29</f>
        <v>3.8261826184111669E-3</v>
      </c>
      <c r="V29">
        <f>'Data Tables (M) cb_zip'!V29-'Data Tables (M) no_cb_zip'!V29</f>
        <v>-5.7326157289026014E-3</v>
      </c>
    </row>
    <row r="30" spans="1:22" x14ac:dyDescent="0.35">
      <c r="A30" t="str">
        <f>'Data Tables (M) no_cb_zip'!A30</f>
        <v>Amount Financed</v>
      </c>
      <c r="B30">
        <f>'Data Tables (M) cb_zip'!B30-'Data Tables (M) no_cb_zip'!B30</f>
        <v>0</v>
      </c>
      <c r="C30">
        <f>'Data Tables (M) cb_zip'!C30-'Data Tables (M) no_cb_zip'!C30</f>
        <v>0</v>
      </c>
      <c r="D30">
        <f>'Data Tables (M) cb_zip'!D30-'Data Tables (M) no_cb_zip'!D30</f>
        <v>0</v>
      </c>
      <c r="E30">
        <f>'Data Tables (M) cb_zip'!E30-'Data Tables (M) no_cb_zip'!E30</f>
        <v>0</v>
      </c>
      <c r="F30">
        <f>'Data Tables (M) cb_zip'!F30-'Data Tables (M) no_cb_zip'!F30</f>
        <v>0</v>
      </c>
      <c r="G30">
        <f>'Data Tables (M) cb_zip'!G30-'Data Tables (M) no_cb_zip'!G30</f>
        <v>0</v>
      </c>
      <c r="H30">
        <f>'Data Tables (M) cb_zip'!H30-'Data Tables (M) no_cb_zip'!H30</f>
        <v>0</v>
      </c>
      <c r="I30">
        <f>'Data Tables (M) cb_zip'!I30-'Data Tables (M) no_cb_zip'!I30</f>
        <v>0</v>
      </c>
      <c r="J30">
        <f>'Data Tables (M) cb_zip'!J30-'Data Tables (M) no_cb_zip'!J30</f>
        <v>0</v>
      </c>
      <c r="K30">
        <f>'Data Tables (M) cb_zip'!K30-'Data Tables (M) no_cb_zip'!K30</f>
        <v>0</v>
      </c>
      <c r="L30">
        <f>'Data Tables (M) cb_zip'!L30-'Data Tables (M) no_cb_zip'!L30</f>
        <v>0</v>
      </c>
      <c r="M30">
        <f>'Data Tables (M) cb_zip'!M30-'Data Tables (M) no_cb_zip'!M30</f>
        <v>0</v>
      </c>
      <c r="N30">
        <f>'Data Tables (M) cb_zip'!N30-'Data Tables (M) no_cb_zip'!N30</f>
        <v>0</v>
      </c>
      <c r="O30">
        <f>'Data Tables (M) cb_zip'!O30-'Data Tables (M) no_cb_zip'!O30</f>
        <v>0</v>
      </c>
      <c r="P30">
        <f>'Data Tables (M) cb_zip'!P30-'Data Tables (M) no_cb_zip'!P30</f>
        <v>0</v>
      </c>
      <c r="Q30">
        <f>'Data Tables (M) cb_zip'!Q30-'Data Tables (M) no_cb_zip'!Q30</f>
        <v>0</v>
      </c>
      <c r="R30">
        <f>'Data Tables (M) cb_zip'!R30-'Data Tables (M) no_cb_zip'!R30</f>
        <v>0</v>
      </c>
      <c r="S30">
        <f>'Data Tables (M) cb_zip'!S30-'Data Tables (M) no_cb_zip'!S30</f>
        <v>0</v>
      </c>
      <c r="T30">
        <f>'Data Tables (M) cb_zip'!T30-'Data Tables (M) no_cb_zip'!T30</f>
        <v>0</v>
      </c>
      <c r="U30">
        <f>'Data Tables (M) cb_zip'!U30-'Data Tables (M) no_cb_zip'!U30</f>
        <v>0</v>
      </c>
      <c r="V30">
        <f>'Data Tables (M) cb_zip'!V30-'Data Tables (M) no_cb_zip'!V30</f>
        <v>0</v>
      </c>
    </row>
    <row r="31" spans="1:22" x14ac:dyDescent="0.35">
      <c r="A31" t="str">
        <f>'Data Tables (M) no_cb_zip'!A31</f>
        <v>Weighted LTV</v>
      </c>
      <c r="B31">
        <f>'Data Tables (M) cb_zip'!B31-'Data Tables (M) no_cb_zip'!B31</f>
        <v>0</v>
      </c>
      <c r="C31">
        <f>'Data Tables (M) cb_zip'!C31-'Data Tables (M) no_cb_zip'!C31</f>
        <v>0</v>
      </c>
      <c r="D31">
        <f>'Data Tables (M) cb_zip'!D31-'Data Tables (M) no_cb_zip'!D31</f>
        <v>0</v>
      </c>
      <c r="E31">
        <f>'Data Tables (M) cb_zip'!E31-'Data Tables (M) no_cb_zip'!E31</f>
        <v>0</v>
      </c>
      <c r="F31">
        <f>'Data Tables (M) cb_zip'!F31-'Data Tables (M) no_cb_zip'!F31</f>
        <v>0</v>
      </c>
      <c r="G31">
        <f>'Data Tables (M) cb_zip'!G31-'Data Tables (M) no_cb_zip'!G31</f>
        <v>0</v>
      </c>
      <c r="H31">
        <f>'Data Tables (M) cb_zip'!H31-'Data Tables (M) no_cb_zip'!H31</f>
        <v>0</v>
      </c>
      <c r="I31">
        <f>'Data Tables (M) cb_zip'!I31-'Data Tables (M) no_cb_zip'!I31</f>
        <v>0</v>
      </c>
      <c r="J31">
        <f>'Data Tables (M) cb_zip'!J31-'Data Tables (M) no_cb_zip'!J31</f>
        <v>0</v>
      </c>
      <c r="K31">
        <f>'Data Tables (M) cb_zip'!K31-'Data Tables (M) no_cb_zip'!K31</f>
        <v>0</v>
      </c>
      <c r="L31">
        <f>'Data Tables (M) cb_zip'!L31-'Data Tables (M) no_cb_zip'!L31</f>
        <v>0</v>
      </c>
      <c r="M31">
        <f>'Data Tables (M) cb_zip'!M31-'Data Tables (M) no_cb_zip'!M31</f>
        <v>0</v>
      </c>
      <c r="N31">
        <f>'Data Tables (M) cb_zip'!N31-'Data Tables (M) no_cb_zip'!N31</f>
        <v>0</v>
      </c>
      <c r="O31">
        <f>'Data Tables (M) cb_zip'!O31-'Data Tables (M) no_cb_zip'!O31</f>
        <v>0</v>
      </c>
      <c r="P31">
        <f>'Data Tables (M) cb_zip'!P31-'Data Tables (M) no_cb_zip'!P31</f>
        <v>0</v>
      </c>
      <c r="Q31">
        <f>'Data Tables (M) cb_zip'!Q31-'Data Tables (M) no_cb_zip'!Q31</f>
        <v>0</v>
      </c>
      <c r="R31">
        <f>'Data Tables (M) cb_zip'!R31-'Data Tables (M) no_cb_zip'!R31</f>
        <v>0</v>
      </c>
      <c r="S31">
        <f>'Data Tables (M) cb_zip'!S31-'Data Tables (M) no_cb_zip'!S31</f>
        <v>0</v>
      </c>
      <c r="T31">
        <f>'Data Tables (M) cb_zip'!T31-'Data Tables (M) no_cb_zip'!T31</f>
        <v>0</v>
      </c>
      <c r="U31">
        <f>'Data Tables (M) cb_zip'!U31-'Data Tables (M) no_cb_zip'!U31</f>
        <v>0</v>
      </c>
      <c r="V31">
        <f>'Data Tables (M) cb_zip'!V31-'Data Tables (M) no_cb_zip'!V31</f>
        <v>0</v>
      </c>
    </row>
    <row r="32" spans="1:22" x14ac:dyDescent="0.35">
      <c r="A32" t="str">
        <f>'Data Tables (M) no_cb_zip'!A32</f>
        <v>Weighted APR</v>
      </c>
      <c r="B32">
        <f>'Data Tables (M) cb_zip'!B32-'Data Tables (M) no_cb_zip'!B32</f>
        <v>0</v>
      </c>
      <c r="C32">
        <f>'Data Tables (M) cb_zip'!C32-'Data Tables (M) no_cb_zip'!C32</f>
        <v>0</v>
      </c>
      <c r="D32">
        <f>'Data Tables (M) cb_zip'!D32-'Data Tables (M) no_cb_zip'!D32</f>
        <v>0</v>
      </c>
      <c r="E32">
        <f>'Data Tables (M) cb_zip'!E32-'Data Tables (M) no_cb_zip'!E32</f>
        <v>0</v>
      </c>
      <c r="F32">
        <f>'Data Tables (M) cb_zip'!F32-'Data Tables (M) no_cb_zip'!F32</f>
        <v>0</v>
      </c>
      <c r="G32">
        <f>'Data Tables (M) cb_zip'!G32-'Data Tables (M) no_cb_zip'!G32</f>
        <v>0</v>
      </c>
      <c r="H32">
        <f>'Data Tables (M) cb_zip'!H32-'Data Tables (M) no_cb_zip'!H32</f>
        <v>0</v>
      </c>
      <c r="I32">
        <f>'Data Tables (M) cb_zip'!I32-'Data Tables (M) no_cb_zip'!I32</f>
        <v>0</v>
      </c>
      <c r="J32">
        <f>'Data Tables (M) cb_zip'!J32-'Data Tables (M) no_cb_zip'!J32</f>
        <v>0</v>
      </c>
      <c r="K32">
        <f>'Data Tables (M) cb_zip'!K32-'Data Tables (M) no_cb_zip'!K32</f>
        <v>0</v>
      </c>
      <c r="L32">
        <f>'Data Tables (M) cb_zip'!L32-'Data Tables (M) no_cb_zip'!L32</f>
        <v>0</v>
      </c>
      <c r="M32">
        <f>'Data Tables (M) cb_zip'!M32-'Data Tables (M) no_cb_zip'!M32</f>
        <v>0</v>
      </c>
      <c r="N32">
        <f>'Data Tables (M) cb_zip'!N32-'Data Tables (M) no_cb_zip'!N32</f>
        <v>0</v>
      </c>
      <c r="O32">
        <f>'Data Tables (M) cb_zip'!O32-'Data Tables (M) no_cb_zip'!O32</f>
        <v>0</v>
      </c>
      <c r="P32">
        <f>'Data Tables (M) cb_zip'!P32-'Data Tables (M) no_cb_zip'!P32</f>
        <v>0</v>
      </c>
      <c r="Q32">
        <f>'Data Tables (M) cb_zip'!Q32-'Data Tables (M) no_cb_zip'!Q32</f>
        <v>0</v>
      </c>
      <c r="R32">
        <f>'Data Tables (M) cb_zip'!R32-'Data Tables (M) no_cb_zip'!R32</f>
        <v>0</v>
      </c>
      <c r="S32">
        <f>'Data Tables (M) cb_zip'!S32-'Data Tables (M) no_cb_zip'!S32</f>
        <v>0</v>
      </c>
      <c r="T32">
        <f>'Data Tables (M) cb_zip'!T32-'Data Tables (M) no_cb_zip'!T32</f>
        <v>0</v>
      </c>
      <c r="U32">
        <f>'Data Tables (M) cb_zip'!U32-'Data Tables (M) no_cb_zip'!U32</f>
        <v>0</v>
      </c>
      <c r="V32">
        <f>'Data Tables (M) cb_zip'!V32-'Data Tables (M) no_cb_zip'!V32</f>
        <v>0</v>
      </c>
    </row>
    <row r="33" spans="1:22" x14ac:dyDescent="0.35">
      <c r="A33">
        <f>'Data Tables (M) no_cb_zip'!A33</f>
        <v>0</v>
      </c>
      <c r="B33">
        <f>'Data Tables (M) cb_zip'!B33-'Data Tables (M) no_cb_zip'!B33</f>
        <v>0</v>
      </c>
      <c r="C33">
        <f>'Data Tables (M) cb_zip'!C33-'Data Tables (M) no_cb_zip'!C33</f>
        <v>0</v>
      </c>
      <c r="D33">
        <f>'Data Tables (M) cb_zip'!D33-'Data Tables (M) no_cb_zip'!D33</f>
        <v>0</v>
      </c>
      <c r="E33">
        <f>'Data Tables (M) cb_zip'!E33-'Data Tables (M) no_cb_zip'!E33</f>
        <v>0</v>
      </c>
      <c r="F33">
        <f>'Data Tables (M) cb_zip'!F33-'Data Tables (M) no_cb_zip'!F33</f>
        <v>0</v>
      </c>
      <c r="G33">
        <f>'Data Tables (M) cb_zip'!G33-'Data Tables (M) no_cb_zip'!G33</f>
        <v>0</v>
      </c>
      <c r="H33">
        <f>'Data Tables (M) cb_zip'!H33-'Data Tables (M) no_cb_zip'!H33</f>
        <v>0</v>
      </c>
      <c r="I33">
        <f>'Data Tables (M) cb_zip'!I33-'Data Tables (M) no_cb_zip'!I33</f>
        <v>0</v>
      </c>
      <c r="J33">
        <f>'Data Tables (M) cb_zip'!J33-'Data Tables (M) no_cb_zip'!J33</f>
        <v>0</v>
      </c>
      <c r="K33">
        <f>'Data Tables (M) cb_zip'!K33-'Data Tables (M) no_cb_zip'!K33</f>
        <v>0</v>
      </c>
      <c r="L33">
        <f>'Data Tables (M) cb_zip'!L33-'Data Tables (M) no_cb_zip'!L33</f>
        <v>0</v>
      </c>
      <c r="M33">
        <f>'Data Tables (M) cb_zip'!M33-'Data Tables (M) no_cb_zip'!M33</f>
        <v>0</v>
      </c>
      <c r="N33">
        <f>'Data Tables (M) cb_zip'!N33-'Data Tables (M) no_cb_zip'!N33</f>
        <v>0</v>
      </c>
      <c r="O33">
        <f>'Data Tables (M) cb_zip'!O33-'Data Tables (M) no_cb_zip'!O33</f>
        <v>0</v>
      </c>
      <c r="P33">
        <f>'Data Tables (M) cb_zip'!P33-'Data Tables (M) no_cb_zip'!P33</f>
        <v>0</v>
      </c>
      <c r="Q33">
        <f>'Data Tables (M) cb_zip'!Q33-'Data Tables (M) no_cb_zip'!Q33</f>
        <v>0</v>
      </c>
      <c r="R33">
        <f>'Data Tables (M) cb_zip'!R33-'Data Tables (M) no_cb_zip'!R33</f>
        <v>0</v>
      </c>
      <c r="S33">
        <f>'Data Tables (M) cb_zip'!S33-'Data Tables (M) no_cb_zip'!S33</f>
        <v>0</v>
      </c>
      <c r="T33">
        <f>'Data Tables (M) cb_zip'!T33-'Data Tables (M) no_cb_zip'!T33</f>
        <v>0</v>
      </c>
      <c r="U33">
        <f>'Data Tables (M) cb_zip'!U33-'Data Tables (M) no_cb_zip'!U33</f>
        <v>0</v>
      </c>
      <c r="V33">
        <f>'Data Tables (M) cb_zip'!V33-'Data Tables (M) no_cb_zip'!V33</f>
        <v>0</v>
      </c>
    </row>
    <row r="34" spans="1:22" x14ac:dyDescent="0.35">
      <c r="A34" t="str">
        <f>'Data Tables (M) no_cb_zip'!A34</f>
        <v>FLD</v>
      </c>
      <c r="B34" t="e">
        <f>'Data Tables (M) cb_zip'!B34-'Data Tables (M) no_cb_zip'!B34</f>
        <v>#VALUE!</v>
      </c>
      <c r="C34" t="e">
        <f>'Data Tables (M) cb_zip'!C34-'Data Tables (M) no_cb_zip'!C34</f>
        <v>#VALUE!</v>
      </c>
      <c r="D34" t="e">
        <f>'Data Tables (M) cb_zip'!D34-'Data Tables (M) no_cb_zip'!D34</f>
        <v>#VALUE!</v>
      </c>
      <c r="E34" t="e">
        <f>'Data Tables (M) cb_zip'!E34-'Data Tables (M) no_cb_zip'!E34</f>
        <v>#VALUE!</v>
      </c>
      <c r="F34" t="e">
        <f>'Data Tables (M) cb_zip'!F34-'Data Tables (M) no_cb_zip'!F34</f>
        <v>#VALUE!</v>
      </c>
      <c r="G34" t="e">
        <f>'Data Tables (M) cb_zip'!G34-'Data Tables (M) no_cb_zip'!G34</f>
        <v>#VALUE!</v>
      </c>
      <c r="H34" t="e">
        <f>'Data Tables (M) cb_zip'!H34-'Data Tables (M) no_cb_zip'!H34</f>
        <v>#VALUE!</v>
      </c>
      <c r="I34" t="e">
        <f>'Data Tables (M) cb_zip'!I34-'Data Tables (M) no_cb_zip'!I34</f>
        <v>#VALUE!</v>
      </c>
      <c r="J34" t="e">
        <f>'Data Tables (M) cb_zip'!J34-'Data Tables (M) no_cb_zip'!J34</f>
        <v>#VALUE!</v>
      </c>
      <c r="K34" t="e">
        <f>'Data Tables (M) cb_zip'!K34-'Data Tables (M) no_cb_zip'!K34</f>
        <v>#VALUE!</v>
      </c>
      <c r="L34" t="e">
        <f>'Data Tables (M) cb_zip'!L34-'Data Tables (M) no_cb_zip'!L34</f>
        <v>#VALUE!</v>
      </c>
      <c r="M34" t="e">
        <f>'Data Tables (M) cb_zip'!M34-'Data Tables (M) no_cb_zip'!M34</f>
        <v>#VALUE!</v>
      </c>
      <c r="N34" t="e">
        <f>'Data Tables (M) cb_zip'!N34-'Data Tables (M) no_cb_zip'!N34</f>
        <v>#VALUE!</v>
      </c>
      <c r="O34" t="e">
        <f>'Data Tables (M) cb_zip'!O34-'Data Tables (M) no_cb_zip'!O34</f>
        <v>#VALUE!</v>
      </c>
      <c r="P34" t="e">
        <f>'Data Tables (M) cb_zip'!P34-'Data Tables (M) no_cb_zip'!P34</f>
        <v>#VALUE!</v>
      </c>
      <c r="Q34" t="e">
        <f>'Data Tables (M) cb_zip'!Q34-'Data Tables (M) no_cb_zip'!Q34</f>
        <v>#VALUE!</v>
      </c>
      <c r="R34" t="e">
        <f>'Data Tables (M) cb_zip'!R34-'Data Tables (M) no_cb_zip'!R34</f>
        <v>#VALUE!</v>
      </c>
      <c r="S34" t="e">
        <f>'Data Tables (M) cb_zip'!S34-'Data Tables (M) no_cb_zip'!S34</f>
        <v>#VALUE!</v>
      </c>
      <c r="T34" t="e">
        <f>'Data Tables (M) cb_zip'!T34-'Data Tables (M) no_cb_zip'!T34</f>
        <v>#VALUE!</v>
      </c>
      <c r="U34" t="e">
        <f>'Data Tables (M) cb_zip'!U34-'Data Tables (M) no_cb_zip'!U34</f>
        <v>#VALUE!</v>
      </c>
      <c r="V34" t="e">
        <f>'Data Tables (M) cb_zip'!V34-'Data Tables (M) no_cb_zip'!V34</f>
        <v>#VALUE!</v>
      </c>
    </row>
    <row r="35" spans="1:22" x14ac:dyDescent="0.35">
      <c r="A35" t="str">
        <f>'Data Tables (M) no_cb_zip'!A35</f>
        <v>Model Score</v>
      </c>
      <c r="B35">
        <f>'Data Tables (M) cb_zip'!B35-'Data Tables (M) no_cb_zip'!B35</f>
        <v>0</v>
      </c>
      <c r="C35">
        <f>'Data Tables (M) cb_zip'!C35-'Data Tables (M) no_cb_zip'!C35</f>
        <v>0</v>
      </c>
      <c r="D35">
        <f>'Data Tables (M) cb_zip'!D35-'Data Tables (M) no_cb_zip'!D35</f>
        <v>0</v>
      </c>
      <c r="E35">
        <f>'Data Tables (M) cb_zip'!E35-'Data Tables (M) no_cb_zip'!E35</f>
        <v>0</v>
      </c>
      <c r="F35">
        <f>'Data Tables (M) cb_zip'!F35-'Data Tables (M) no_cb_zip'!F35</f>
        <v>0</v>
      </c>
      <c r="G35">
        <f>'Data Tables (M) cb_zip'!G35-'Data Tables (M) no_cb_zip'!G35</f>
        <v>0</v>
      </c>
      <c r="H35">
        <f>'Data Tables (M) cb_zip'!H35-'Data Tables (M) no_cb_zip'!H35</f>
        <v>0</v>
      </c>
      <c r="I35">
        <f>'Data Tables (M) cb_zip'!I35-'Data Tables (M) no_cb_zip'!I35</f>
        <v>0</v>
      </c>
      <c r="J35">
        <f>'Data Tables (M) cb_zip'!J35-'Data Tables (M) no_cb_zip'!J35</f>
        <v>0</v>
      </c>
      <c r="K35">
        <f>'Data Tables (M) cb_zip'!K35-'Data Tables (M) no_cb_zip'!K35</f>
        <v>0</v>
      </c>
      <c r="L35">
        <f>'Data Tables (M) cb_zip'!L35-'Data Tables (M) no_cb_zip'!L35</f>
        <v>0</v>
      </c>
      <c r="M35">
        <f>'Data Tables (M) cb_zip'!M35-'Data Tables (M) no_cb_zip'!M35</f>
        <v>0</v>
      </c>
      <c r="N35">
        <f>'Data Tables (M) cb_zip'!N35-'Data Tables (M) no_cb_zip'!N35</f>
        <v>0</v>
      </c>
      <c r="O35">
        <f>'Data Tables (M) cb_zip'!O35-'Data Tables (M) no_cb_zip'!O35</f>
        <v>0</v>
      </c>
      <c r="P35">
        <f>'Data Tables (M) cb_zip'!P35-'Data Tables (M) no_cb_zip'!P35</f>
        <v>0</v>
      </c>
      <c r="Q35">
        <f>'Data Tables (M) cb_zip'!Q35-'Data Tables (M) no_cb_zip'!Q35</f>
        <v>0</v>
      </c>
      <c r="R35">
        <f>'Data Tables (M) cb_zip'!R35-'Data Tables (M) no_cb_zip'!R35</f>
        <v>0</v>
      </c>
      <c r="S35">
        <f>'Data Tables (M) cb_zip'!S35-'Data Tables (M) no_cb_zip'!S35</f>
        <v>0</v>
      </c>
      <c r="T35">
        <f>'Data Tables (M) cb_zip'!T35-'Data Tables (M) no_cb_zip'!T35</f>
        <v>0</v>
      </c>
      <c r="U35">
        <f>'Data Tables (M) cb_zip'!U35-'Data Tables (M) no_cb_zip'!U35</f>
        <v>0</v>
      </c>
      <c r="V35">
        <f>'Data Tables (M) cb_zip'!V35-'Data Tables (M) no_cb_zip'!V35</f>
        <v>0</v>
      </c>
    </row>
    <row r="36" spans="1:22" x14ac:dyDescent="0.35">
      <c r="A36" t="str">
        <f>'Data Tables (M) no_cb_zip'!A36</f>
        <v>Expected Gross Loss Impact</v>
      </c>
      <c r="B36">
        <f>'Data Tables (M) cb_zip'!B36-'Data Tables (M) no_cb_zip'!B36</f>
        <v>-2.2874318573202324E-2</v>
      </c>
      <c r="C36">
        <f>'Data Tables (M) cb_zip'!C36-'Data Tables (M) no_cb_zip'!C36</f>
        <v>2.4011495403585048E-2</v>
      </c>
      <c r="D36">
        <f>'Data Tables (M) cb_zip'!D36-'Data Tables (M) no_cb_zip'!D36</f>
        <v>0.13982024820970196</v>
      </c>
      <c r="E36">
        <f>'Data Tables (M) cb_zip'!E36-'Data Tables (M) no_cb_zip'!E36</f>
        <v>-3.4643316238345045E-2</v>
      </c>
      <c r="F36">
        <f>'Data Tables (M) cb_zip'!F36-'Data Tables (M) no_cb_zip'!F36</f>
        <v>-4.8108419780702905E-2</v>
      </c>
      <c r="G36">
        <f>'Data Tables (M) cb_zip'!G36-'Data Tables (M) no_cb_zip'!G36</f>
        <v>-7.0630305117588943E-2</v>
      </c>
      <c r="H36">
        <f>'Data Tables (M) cb_zip'!H36-'Data Tables (M) no_cb_zip'!H36</f>
        <v>2.0777935362787048E-2</v>
      </c>
      <c r="I36">
        <f>'Data Tables (M) cb_zip'!I36-'Data Tables (M) no_cb_zip'!I36</f>
        <v>-9.6566534216719901E-3</v>
      </c>
      <c r="J36">
        <f>'Data Tables (M) cb_zip'!J36-'Data Tables (M) no_cb_zip'!J36</f>
        <v>7.6018451248098806E-3</v>
      </c>
      <c r="K36">
        <f>'Data Tables (M) cb_zip'!K36-'Data Tables (M) no_cb_zip'!K36</f>
        <v>1.7914606344049844E-2</v>
      </c>
      <c r="L36">
        <f>'Data Tables (M) cb_zip'!L36-'Data Tables (M) no_cb_zip'!L36</f>
        <v>-2.5277001285047618E-2</v>
      </c>
      <c r="M36">
        <f>'Data Tables (M) cb_zip'!M36-'Data Tables (M) no_cb_zip'!M36</f>
        <v>-3.6728828030760052E-2</v>
      </c>
      <c r="N36">
        <f>'Data Tables (M) cb_zip'!N36-'Data Tables (M) no_cb_zip'!N36</f>
        <v>-0.12792337650495189</v>
      </c>
      <c r="O36">
        <f>'Data Tables (M) cb_zip'!O36-'Data Tables (M) no_cb_zip'!O36</f>
        <v>-0.11971641012942791</v>
      </c>
      <c r="P36">
        <f>'Data Tables (M) cb_zip'!P36-'Data Tables (M) no_cb_zip'!P36</f>
        <v>-6.4789435335000922E-2</v>
      </c>
      <c r="Q36">
        <f>'Data Tables (M) cb_zip'!Q36-'Data Tables (M) no_cb_zip'!Q36</f>
        <v>-8.8632271281056108E-2</v>
      </c>
      <c r="R36">
        <f>'Data Tables (M) cb_zip'!R36-'Data Tables (M) no_cb_zip'!R36</f>
        <v>-5.2723524681284051E-2</v>
      </c>
      <c r="S36">
        <f>'Data Tables (M) cb_zip'!S36-'Data Tables (M) no_cb_zip'!S36</f>
        <v>-8.0966552037693873E-2</v>
      </c>
      <c r="T36">
        <f>'Data Tables (M) cb_zip'!T36-'Data Tables (M) no_cb_zip'!T36</f>
        <v>-8.9608476153075101E-2</v>
      </c>
      <c r="U36">
        <f>'Data Tables (M) cb_zip'!U36-'Data Tables (M) no_cb_zip'!U36</f>
        <v>-3.1953410198128029E-2</v>
      </c>
      <c r="V36">
        <f>'Data Tables (M) cb_zip'!V36-'Data Tables (M) no_cb_zip'!V36</f>
        <v>-9.0050235519270938E-2</v>
      </c>
    </row>
    <row r="37" spans="1:22" x14ac:dyDescent="0.35">
      <c r="A37" t="str">
        <f>'Data Tables (M) no_cb_zip'!A37</f>
        <v>Recovery Impact</v>
      </c>
      <c r="B37">
        <f>'Data Tables (M) cb_zip'!B37-'Data Tables (M) no_cb_zip'!B37</f>
        <v>-5.3803667533092181E-4</v>
      </c>
      <c r="C37">
        <f>'Data Tables (M) cb_zip'!C37-'Data Tables (M) no_cb_zip'!C37</f>
        <v>5.7389701475596411E-4</v>
      </c>
      <c r="D37">
        <f>'Data Tables (M) cb_zip'!D37-'Data Tables (M) no_cb_zip'!D37</f>
        <v>1.4187308060880088E-3</v>
      </c>
      <c r="E37">
        <f>'Data Tables (M) cb_zip'!E37-'Data Tables (M) no_cb_zip'!E37</f>
        <v>-3.3777223663311595E-4</v>
      </c>
      <c r="F37">
        <f>'Data Tables (M) cb_zip'!F37-'Data Tables (M) no_cb_zip'!F37</f>
        <v>-4.7210145756104716E-4</v>
      </c>
      <c r="G37">
        <f>'Data Tables (M) cb_zip'!G37-'Data Tables (M) no_cb_zip'!G37</f>
        <v>-1.1897957053190744E-3</v>
      </c>
      <c r="H37">
        <f>'Data Tables (M) cb_zip'!H37-'Data Tables (M) no_cb_zip'!H37</f>
        <v>4.1670139921290428E-4</v>
      </c>
      <c r="I37">
        <f>'Data Tables (M) cb_zip'!I37-'Data Tables (M) no_cb_zip'!I37</f>
        <v>-1.2250973135086163E-4</v>
      </c>
      <c r="J37">
        <f>'Data Tables (M) cb_zip'!J37-'Data Tables (M) no_cb_zip'!J37</f>
        <v>1.3781880771812638E-4</v>
      </c>
      <c r="K37">
        <f>'Data Tables (M) cb_zip'!K37-'Data Tables (M) no_cb_zip'!K37</f>
        <v>3.4038561895899377E-4</v>
      </c>
      <c r="L37">
        <f>'Data Tables (M) cb_zip'!L37-'Data Tables (M) no_cb_zip'!L37</f>
        <v>-4.8072583265001967E-4</v>
      </c>
      <c r="M37">
        <f>'Data Tables (M) cb_zip'!M37-'Data Tables (M) no_cb_zip'!M37</f>
        <v>-7.8999350086084164E-4</v>
      </c>
      <c r="N37">
        <f>'Data Tables (M) cb_zip'!N37-'Data Tables (M) no_cb_zip'!N37</f>
        <v>-1.4212596697820157E-3</v>
      </c>
      <c r="O37">
        <f>'Data Tables (M) cb_zip'!O37-'Data Tables (M) no_cb_zip'!O37</f>
        <v>-1.0541678957469713E-3</v>
      </c>
      <c r="P37">
        <f>'Data Tables (M) cb_zip'!P37-'Data Tables (M) no_cb_zip'!P37</f>
        <v>-3.7628519437093999E-4</v>
      </c>
      <c r="Q37">
        <f>'Data Tables (M) cb_zip'!Q37-'Data Tables (M) no_cb_zip'!Q37</f>
        <v>-3.3992975709951079E-4</v>
      </c>
      <c r="R37">
        <f>'Data Tables (M) cb_zip'!R37-'Data Tables (M) no_cb_zip'!R37</f>
        <v>-1.9504739780495939E-4</v>
      </c>
      <c r="S37">
        <f>'Data Tables (M) cb_zip'!S37-'Data Tables (M) no_cb_zip'!S37</f>
        <v>-5.9015144690408028E-5</v>
      </c>
      <c r="T37">
        <f>'Data Tables (M) cb_zip'!T37-'Data Tables (M) no_cb_zip'!T37</f>
        <v>1.6684382734166725E-4</v>
      </c>
      <c r="U37">
        <f>'Data Tables (M) cb_zip'!U37-'Data Tables (M) no_cb_zip'!U37</f>
        <v>-7.2038311036803915E-5</v>
      </c>
      <c r="V37">
        <f>'Data Tables (M) cb_zip'!V37-'Data Tables (M) no_cb_zip'!V37</f>
        <v>-7.7812357256901166E-5</v>
      </c>
    </row>
    <row r="38" spans="1:22" x14ac:dyDescent="0.35">
      <c r="A38" t="str">
        <f>'Data Tables (M) no_cb_zip'!A38</f>
        <v>LTV Impact</v>
      </c>
      <c r="B38">
        <f>'Data Tables (M) cb_zip'!B38-'Data Tables (M) no_cb_zip'!B38</f>
        <v>0</v>
      </c>
      <c r="C38">
        <f>'Data Tables (M) cb_zip'!C38-'Data Tables (M) no_cb_zip'!C38</f>
        <v>0</v>
      </c>
      <c r="D38">
        <f>'Data Tables (M) cb_zip'!D38-'Data Tables (M) no_cb_zip'!D38</f>
        <v>0</v>
      </c>
      <c r="E38">
        <f>'Data Tables (M) cb_zip'!E38-'Data Tables (M) no_cb_zip'!E38</f>
        <v>0</v>
      </c>
      <c r="F38">
        <f>'Data Tables (M) cb_zip'!F38-'Data Tables (M) no_cb_zip'!F38</f>
        <v>0</v>
      </c>
      <c r="G38">
        <f>'Data Tables (M) cb_zip'!G38-'Data Tables (M) no_cb_zip'!G38</f>
        <v>0</v>
      </c>
      <c r="H38">
        <f>'Data Tables (M) cb_zip'!H38-'Data Tables (M) no_cb_zip'!H38</f>
        <v>0</v>
      </c>
      <c r="I38">
        <f>'Data Tables (M) cb_zip'!I38-'Data Tables (M) no_cb_zip'!I38</f>
        <v>0</v>
      </c>
      <c r="J38">
        <f>'Data Tables (M) cb_zip'!J38-'Data Tables (M) no_cb_zip'!J38</f>
        <v>0</v>
      </c>
      <c r="K38">
        <f>'Data Tables (M) cb_zip'!K38-'Data Tables (M) no_cb_zip'!K38</f>
        <v>0</v>
      </c>
      <c r="L38">
        <f>'Data Tables (M) cb_zip'!L38-'Data Tables (M) no_cb_zip'!L38</f>
        <v>0</v>
      </c>
      <c r="M38">
        <f>'Data Tables (M) cb_zip'!M38-'Data Tables (M) no_cb_zip'!M38</f>
        <v>0</v>
      </c>
      <c r="N38">
        <f>'Data Tables (M) cb_zip'!N38-'Data Tables (M) no_cb_zip'!N38</f>
        <v>0</v>
      </c>
      <c r="O38">
        <f>'Data Tables (M) cb_zip'!O38-'Data Tables (M) no_cb_zip'!O38</f>
        <v>0</v>
      </c>
      <c r="P38">
        <f>'Data Tables (M) cb_zip'!P38-'Data Tables (M) no_cb_zip'!P38</f>
        <v>0</v>
      </c>
      <c r="Q38">
        <f>'Data Tables (M) cb_zip'!Q38-'Data Tables (M) no_cb_zip'!Q38</f>
        <v>0</v>
      </c>
      <c r="R38">
        <f>'Data Tables (M) cb_zip'!R38-'Data Tables (M) no_cb_zip'!R38</f>
        <v>0</v>
      </c>
      <c r="S38">
        <f>'Data Tables (M) cb_zip'!S38-'Data Tables (M) no_cb_zip'!S38</f>
        <v>0</v>
      </c>
      <c r="T38">
        <f>'Data Tables (M) cb_zip'!T38-'Data Tables (M) no_cb_zip'!T38</f>
        <v>0</v>
      </c>
      <c r="U38">
        <f>'Data Tables (M) cb_zip'!U38-'Data Tables (M) no_cb_zip'!U38</f>
        <v>0</v>
      </c>
      <c r="V38">
        <f>'Data Tables (M) cb_zip'!V38-'Data Tables (M) no_cb_zip'!V38</f>
        <v>0</v>
      </c>
    </row>
    <row r="39" spans="1:22" x14ac:dyDescent="0.35">
      <c r="A39" t="str">
        <f>'Data Tables (M) no_cb_zip'!A39</f>
        <v>APR Impact</v>
      </c>
      <c r="B39">
        <f>'Data Tables (M) cb_zip'!B39-'Data Tables (M) no_cb_zip'!B39</f>
        <v>0</v>
      </c>
      <c r="C39">
        <f>'Data Tables (M) cb_zip'!C39-'Data Tables (M) no_cb_zip'!C39</f>
        <v>0</v>
      </c>
      <c r="D39">
        <f>'Data Tables (M) cb_zip'!D39-'Data Tables (M) no_cb_zip'!D39</f>
        <v>0</v>
      </c>
      <c r="E39">
        <f>'Data Tables (M) cb_zip'!E39-'Data Tables (M) no_cb_zip'!E39</f>
        <v>0</v>
      </c>
      <c r="F39">
        <f>'Data Tables (M) cb_zip'!F39-'Data Tables (M) no_cb_zip'!F39</f>
        <v>0</v>
      </c>
      <c r="G39">
        <f>'Data Tables (M) cb_zip'!G39-'Data Tables (M) no_cb_zip'!G39</f>
        <v>0</v>
      </c>
      <c r="H39">
        <f>'Data Tables (M) cb_zip'!H39-'Data Tables (M) no_cb_zip'!H39</f>
        <v>0</v>
      </c>
      <c r="I39">
        <f>'Data Tables (M) cb_zip'!I39-'Data Tables (M) no_cb_zip'!I39</f>
        <v>0</v>
      </c>
      <c r="J39">
        <f>'Data Tables (M) cb_zip'!J39-'Data Tables (M) no_cb_zip'!J39</f>
        <v>0</v>
      </c>
      <c r="K39">
        <f>'Data Tables (M) cb_zip'!K39-'Data Tables (M) no_cb_zip'!K39</f>
        <v>0</v>
      </c>
      <c r="L39">
        <f>'Data Tables (M) cb_zip'!L39-'Data Tables (M) no_cb_zip'!L39</f>
        <v>0</v>
      </c>
      <c r="M39">
        <f>'Data Tables (M) cb_zip'!M39-'Data Tables (M) no_cb_zip'!M39</f>
        <v>0</v>
      </c>
      <c r="N39">
        <f>'Data Tables (M) cb_zip'!N39-'Data Tables (M) no_cb_zip'!N39</f>
        <v>0</v>
      </c>
      <c r="O39">
        <f>'Data Tables (M) cb_zip'!O39-'Data Tables (M) no_cb_zip'!O39</f>
        <v>0</v>
      </c>
      <c r="P39">
        <f>'Data Tables (M) cb_zip'!P39-'Data Tables (M) no_cb_zip'!P39</f>
        <v>0</v>
      </c>
      <c r="Q39">
        <f>'Data Tables (M) cb_zip'!Q39-'Data Tables (M) no_cb_zip'!Q39</f>
        <v>0</v>
      </c>
      <c r="R39">
        <f>'Data Tables (M) cb_zip'!R39-'Data Tables (M) no_cb_zip'!R39</f>
        <v>0</v>
      </c>
      <c r="S39">
        <f>'Data Tables (M) cb_zip'!S39-'Data Tables (M) no_cb_zip'!S39</f>
        <v>0</v>
      </c>
      <c r="T39">
        <f>'Data Tables (M) cb_zip'!T39-'Data Tables (M) no_cb_zip'!T39</f>
        <v>0</v>
      </c>
      <c r="U39">
        <f>'Data Tables (M) cb_zip'!U39-'Data Tables (M) no_cb_zip'!U39</f>
        <v>0</v>
      </c>
      <c r="V39">
        <f>'Data Tables (M) cb_zip'!V39-'Data Tables (M) no_cb_zip'!V39</f>
        <v>0</v>
      </c>
    </row>
    <row r="40" spans="1:22" x14ac:dyDescent="0.35">
      <c r="A40" t="str">
        <f>'Data Tables (M) no_cb_zip'!A40</f>
        <v>RAGU Score</v>
      </c>
      <c r="B40">
        <f>'Data Tables (M) cb_zip'!B40-'Data Tables (M) no_cb_zip'!B40</f>
        <v>-2.3412355248609629E-2</v>
      </c>
      <c r="C40">
        <f>'Data Tables (M) cb_zip'!C40-'Data Tables (M) no_cb_zip'!C40</f>
        <v>2.4585392418288166E-2</v>
      </c>
      <c r="D40">
        <f>'Data Tables (M) cb_zip'!D40-'Data Tables (M) no_cb_zip'!D40</f>
        <v>0.14123897901569649</v>
      </c>
      <c r="E40">
        <f>'Data Tables (M) cb_zip'!E40-'Data Tables (M) no_cb_zip'!E40</f>
        <v>-3.498108847489334E-2</v>
      </c>
      <c r="F40">
        <f>'Data Tables (M) cb_zip'!F40-'Data Tables (M) no_cb_zip'!F40</f>
        <v>-4.8580521238307028E-2</v>
      </c>
      <c r="G40">
        <f>'Data Tables (M) cb_zip'!G40-'Data Tables (M) no_cb_zip'!G40</f>
        <v>-7.1820100822918675E-2</v>
      </c>
      <c r="H40">
        <f>'Data Tables (M) cb_zip'!H40-'Data Tables (M) no_cb_zip'!H40</f>
        <v>2.1194636762004393E-2</v>
      </c>
      <c r="I40">
        <f>'Data Tables (M) cb_zip'!I40-'Data Tables (M) no_cb_zip'!I40</f>
        <v>-9.7791631529844381E-3</v>
      </c>
      <c r="J40">
        <f>'Data Tables (M) cb_zip'!J40-'Data Tables (M) no_cb_zip'!J40</f>
        <v>7.739663932483154E-3</v>
      </c>
      <c r="K40">
        <f>'Data Tables (M) cb_zip'!K40-'Data Tables (M) no_cb_zip'!K40</f>
        <v>1.8254991963004841E-2</v>
      </c>
      <c r="L40">
        <f>'Data Tables (M) cb_zip'!L40-'Data Tables (M) no_cb_zip'!L40</f>
        <v>-2.5757727117706963E-2</v>
      </c>
      <c r="M40">
        <f>'Data Tables (M) cb_zip'!M40-'Data Tables (M) no_cb_zip'!M40</f>
        <v>-3.7518821531591584E-2</v>
      </c>
      <c r="N40">
        <f>'Data Tables (M) cb_zip'!N40-'Data Tables (M) no_cb_zip'!N40</f>
        <v>-0.12934463617472147</v>
      </c>
      <c r="O40">
        <f>'Data Tables (M) cb_zip'!O40-'Data Tables (M) no_cb_zip'!O40</f>
        <v>-0.12077057802508762</v>
      </c>
      <c r="P40">
        <f>'Data Tables (M) cb_zip'!P40-'Data Tables (M) no_cb_zip'!P40</f>
        <v>-6.5165720529392956E-2</v>
      </c>
      <c r="Q40">
        <f>'Data Tables (M) cb_zip'!Q40-'Data Tables (M) no_cb_zip'!Q40</f>
        <v>-8.8972201038103549E-2</v>
      </c>
      <c r="R40">
        <f>'Data Tables (M) cb_zip'!R40-'Data Tables (M) no_cb_zip'!R40</f>
        <v>-5.2918572079107662E-2</v>
      </c>
      <c r="S40">
        <f>'Data Tables (M) cb_zip'!S40-'Data Tables (M) no_cb_zip'!S40</f>
        <v>-8.1025567182393843E-2</v>
      </c>
      <c r="T40">
        <f>'Data Tables (M) cb_zip'!T40-'Data Tables (M) no_cb_zip'!T40</f>
        <v>-8.944163232581559E-2</v>
      </c>
      <c r="U40">
        <f>'Data Tables (M) cb_zip'!U40-'Data Tables (M) no_cb_zip'!U40</f>
        <v>-3.2025448509187981E-2</v>
      </c>
      <c r="V40">
        <f>'Data Tables (M) cb_zip'!V40-'Data Tables (M) no_cb_zip'!V40</f>
        <v>-9.0128047876504525E-2</v>
      </c>
    </row>
    <row r="41" spans="1:22" x14ac:dyDescent="0.35">
      <c r="A41" t="str">
        <f>'Data Tables (M) no_cb_zip'!A41</f>
        <v>Amount Financed</v>
      </c>
      <c r="B41">
        <f>'Data Tables (M) cb_zip'!B41-'Data Tables (M) no_cb_zip'!B41</f>
        <v>0</v>
      </c>
      <c r="C41">
        <f>'Data Tables (M) cb_zip'!C41-'Data Tables (M) no_cb_zip'!C41</f>
        <v>0</v>
      </c>
      <c r="D41">
        <f>'Data Tables (M) cb_zip'!D41-'Data Tables (M) no_cb_zip'!D41</f>
        <v>0</v>
      </c>
      <c r="E41">
        <f>'Data Tables (M) cb_zip'!E41-'Data Tables (M) no_cb_zip'!E41</f>
        <v>0</v>
      </c>
      <c r="F41">
        <f>'Data Tables (M) cb_zip'!F41-'Data Tables (M) no_cb_zip'!F41</f>
        <v>0</v>
      </c>
      <c r="G41">
        <f>'Data Tables (M) cb_zip'!G41-'Data Tables (M) no_cb_zip'!G41</f>
        <v>0</v>
      </c>
      <c r="H41">
        <f>'Data Tables (M) cb_zip'!H41-'Data Tables (M) no_cb_zip'!H41</f>
        <v>0</v>
      </c>
      <c r="I41">
        <f>'Data Tables (M) cb_zip'!I41-'Data Tables (M) no_cb_zip'!I41</f>
        <v>0</v>
      </c>
      <c r="J41">
        <f>'Data Tables (M) cb_zip'!J41-'Data Tables (M) no_cb_zip'!J41</f>
        <v>0</v>
      </c>
      <c r="K41">
        <f>'Data Tables (M) cb_zip'!K41-'Data Tables (M) no_cb_zip'!K41</f>
        <v>0</v>
      </c>
      <c r="L41">
        <f>'Data Tables (M) cb_zip'!L41-'Data Tables (M) no_cb_zip'!L41</f>
        <v>0</v>
      </c>
      <c r="M41">
        <f>'Data Tables (M) cb_zip'!M41-'Data Tables (M) no_cb_zip'!M41</f>
        <v>0</v>
      </c>
      <c r="N41">
        <f>'Data Tables (M) cb_zip'!N41-'Data Tables (M) no_cb_zip'!N41</f>
        <v>0</v>
      </c>
      <c r="O41">
        <f>'Data Tables (M) cb_zip'!O41-'Data Tables (M) no_cb_zip'!O41</f>
        <v>0</v>
      </c>
      <c r="P41">
        <f>'Data Tables (M) cb_zip'!P41-'Data Tables (M) no_cb_zip'!P41</f>
        <v>0</v>
      </c>
      <c r="Q41">
        <f>'Data Tables (M) cb_zip'!Q41-'Data Tables (M) no_cb_zip'!Q41</f>
        <v>0</v>
      </c>
      <c r="R41">
        <f>'Data Tables (M) cb_zip'!R41-'Data Tables (M) no_cb_zip'!R41</f>
        <v>0</v>
      </c>
      <c r="S41">
        <f>'Data Tables (M) cb_zip'!S41-'Data Tables (M) no_cb_zip'!S41</f>
        <v>0</v>
      </c>
      <c r="T41">
        <f>'Data Tables (M) cb_zip'!T41-'Data Tables (M) no_cb_zip'!T41</f>
        <v>0</v>
      </c>
      <c r="U41">
        <f>'Data Tables (M) cb_zip'!U41-'Data Tables (M) no_cb_zip'!U41</f>
        <v>0</v>
      </c>
      <c r="V41">
        <f>'Data Tables (M) cb_zip'!V41-'Data Tables (M) no_cb_zip'!V41</f>
        <v>0</v>
      </c>
    </row>
    <row r="42" spans="1:22" x14ac:dyDescent="0.35">
      <c r="A42" t="str">
        <f>'Data Tables (M) no_cb_zip'!A42</f>
        <v>Weighted LTV</v>
      </c>
      <c r="B42">
        <f>'Data Tables (M) cb_zip'!B42-'Data Tables (M) no_cb_zip'!B42</f>
        <v>0</v>
      </c>
      <c r="C42">
        <f>'Data Tables (M) cb_zip'!C42-'Data Tables (M) no_cb_zip'!C42</f>
        <v>0</v>
      </c>
      <c r="D42">
        <f>'Data Tables (M) cb_zip'!D42-'Data Tables (M) no_cb_zip'!D42</f>
        <v>0</v>
      </c>
      <c r="E42">
        <f>'Data Tables (M) cb_zip'!E42-'Data Tables (M) no_cb_zip'!E42</f>
        <v>0</v>
      </c>
      <c r="F42">
        <f>'Data Tables (M) cb_zip'!F42-'Data Tables (M) no_cb_zip'!F42</f>
        <v>0</v>
      </c>
      <c r="G42">
        <f>'Data Tables (M) cb_zip'!G42-'Data Tables (M) no_cb_zip'!G42</f>
        <v>0</v>
      </c>
      <c r="H42">
        <f>'Data Tables (M) cb_zip'!H42-'Data Tables (M) no_cb_zip'!H42</f>
        <v>0</v>
      </c>
      <c r="I42">
        <f>'Data Tables (M) cb_zip'!I42-'Data Tables (M) no_cb_zip'!I42</f>
        <v>0</v>
      </c>
      <c r="J42">
        <f>'Data Tables (M) cb_zip'!J42-'Data Tables (M) no_cb_zip'!J42</f>
        <v>0</v>
      </c>
      <c r="K42">
        <f>'Data Tables (M) cb_zip'!K42-'Data Tables (M) no_cb_zip'!K42</f>
        <v>0</v>
      </c>
      <c r="L42">
        <f>'Data Tables (M) cb_zip'!L42-'Data Tables (M) no_cb_zip'!L42</f>
        <v>0</v>
      </c>
      <c r="M42">
        <f>'Data Tables (M) cb_zip'!M42-'Data Tables (M) no_cb_zip'!M42</f>
        <v>0</v>
      </c>
      <c r="N42">
        <f>'Data Tables (M) cb_zip'!N42-'Data Tables (M) no_cb_zip'!N42</f>
        <v>0</v>
      </c>
      <c r="O42">
        <f>'Data Tables (M) cb_zip'!O42-'Data Tables (M) no_cb_zip'!O42</f>
        <v>0</v>
      </c>
      <c r="P42">
        <f>'Data Tables (M) cb_zip'!P42-'Data Tables (M) no_cb_zip'!P42</f>
        <v>0</v>
      </c>
      <c r="Q42">
        <f>'Data Tables (M) cb_zip'!Q42-'Data Tables (M) no_cb_zip'!Q42</f>
        <v>0</v>
      </c>
      <c r="R42">
        <f>'Data Tables (M) cb_zip'!R42-'Data Tables (M) no_cb_zip'!R42</f>
        <v>0</v>
      </c>
      <c r="S42">
        <f>'Data Tables (M) cb_zip'!S42-'Data Tables (M) no_cb_zip'!S42</f>
        <v>0</v>
      </c>
      <c r="T42">
        <f>'Data Tables (M) cb_zip'!T42-'Data Tables (M) no_cb_zip'!T42</f>
        <v>0</v>
      </c>
      <c r="U42">
        <f>'Data Tables (M) cb_zip'!U42-'Data Tables (M) no_cb_zip'!U42</f>
        <v>0</v>
      </c>
      <c r="V42">
        <f>'Data Tables (M) cb_zip'!V42-'Data Tables (M) no_cb_zip'!V42</f>
        <v>0</v>
      </c>
    </row>
    <row r="43" spans="1:22" x14ac:dyDescent="0.35">
      <c r="A43" t="str">
        <f>'Data Tables (M) no_cb_zip'!A43</f>
        <v>Weighted APR</v>
      </c>
      <c r="B43">
        <f>'Data Tables (M) cb_zip'!B43-'Data Tables (M) no_cb_zip'!B43</f>
        <v>0</v>
      </c>
      <c r="C43">
        <f>'Data Tables (M) cb_zip'!C43-'Data Tables (M) no_cb_zip'!C43</f>
        <v>0</v>
      </c>
      <c r="D43">
        <f>'Data Tables (M) cb_zip'!D43-'Data Tables (M) no_cb_zip'!D43</f>
        <v>0</v>
      </c>
      <c r="E43">
        <f>'Data Tables (M) cb_zip'!E43-'Data Tables (M) no_cb_zip'!E43</f>
        <v>0</v>
      </c>
      <c r="F43">
        <f>'Data Tables (M) cb_zip'!F43-'Data Tables (M) no_cb_zip'!F43</f>
        <v>0</v>
      </c>
      <c r="G43">
        <f>'Data Tables (M) cb_zip'!G43-'Data Tables (M) no_cb_zip'!G43</f>
        <v>0</v>
      </c>
      <c r="H43">
        <f>'Data Tables (M) cb_zip'!H43-'Data Tables (M) no_cb_zip'!H43</f>
        <v>0</v>
      </c>
      <c r="I43">
        <f>'Data Tables (M) cb_zip'!I43-'Data Tables (M) no_cb_zip'!I43</f>
        <v>0</v>
      </c>
      <c r="J43">
        <f>'Data Tables (M) cb_zip'!J43-'Data Tables (M) no_cb_zip'!J43</f>
        <v>0</v>
      </c>
      <c r="K43">
        <f>'Data Tables (M) cb_zip'!K43-'Data Tables (M) no_cb_zip'!K43</f>
        <v>0</v>
      </c>
      <c r="L43">
        <f>'Data Tables (M) cb_zip'!L43-'Data Tables (M) no_cb_zip'!L43</f>
        <v>0</v>
      </c>
      <c r="M43">
        <f>'Data Tables (M) cb_zip'!M43-'Data Tables (M) no_cb_zip'!M43</f>
        <v>0</v>
      </c>
      <c r="N43">
        <f>'Data Tables (M) cb_zip'!N43-'Data Tables (M) no_cb_zip'!N43</f>
        <v>0</v>
      </c>
      <c r="O43">
        <f>'Data Tables (M) cb_zip'!O43-'Data Tables (M) no_cb_zip'!O43</f>
        <v>0</v>
      </c>
      <c r="P43">
        <f>'Data Tables (M) cb_zip'!P43-'Data Tables (M) no_cb_zip'!P43</f>
        <v>0</v>
      </c>
      <c r="Q43">
        <f>'Data Tables (M) cb_zip'!Q43-'Data Tables (M) no_cb_zip'!Q43</f>
        <v>0</v>
      </c>
      <c r="R43">
        <f>'Data Tables (M) cb_zip'!R43-'Data Tables (M) no_cb_zip'!R43</f>
        <v>0</v>
      </c>
      <c r="S43">
        <f>'Data Tables (M) cb_zip'!S43-'Data Tables (M) no_cb_zip'!S43</f>
        <v>0</v>
      </c>
      <c r="T43">
        <f>'Data Tables (M) cb_zip'!T43-'Data Tables (M) no_cb_zip'!T43</f>
        <v>0</v>
      </c>
      <c r="U43">
        <f>'Data Tables (M) cb_zip'!U43-'Data Tables (M) no_cb_zip'!U43</f>
        <v>0</v>
      </c>
      <c r="V43">
        <f>'Data Tables (M) cb_zip'!V43-'Data Tables (M) no_cb_zip'!V43</f>
        <v>0</v>
      </c>
    </row>
    <row r="44" spans="1:22" x14ac:dyDescent="0.35">
      <c r="A44">
        <f>'Data Tables (M) no_cb_zip'!A44</f>
        <v>0</v>
      </c>
      <c r="B44">
        <f>'Data Tables (M) cb_zip'!B44-'Data Tables (M) no_cb_zip'!B44</f>
        <v>0</v>
      </c>
      <c r="C44">
        <f>'Data Tables (M) cb_zip'!C44-'Data Tables (M) no_cb_zip'!C44</f>
        <v>0</v>
      </c>
      <c r="D44">
        <f>'Data Tables (M) cb_zip'!D44-'Data Tables (M) no_cb_zip'!D44</f>
        <v>0</v>
      </c>
      <c r="E44">
        <f>'Data Tables (M) cb_zip'!E44-'Data Tables (M) no_cb_zip'!E44</f>
        <v>0</v>
      </c>
      <c r="F44">
        <f>'Data Tables (M) cb_zip'!F44-'Data Tables (M) no_cb_zip'!F44</f>
        <v>0</v>
      </c>
      <c r="G44">
        <f>'Data Tables (M) cb_zip'!G44-'Data Tables (M) no_cb_zip'!G44</f>
        <v>0</v>
      </c>
      <c r="H44">
        <f>'Data Tables (M) cb_zip'!H44-'Data Tables (M) no_cb_zip'!H44</f>
        <v>0</v>
      </c>
      <c r="I44">
        <f>'Data Tables (M) cb_zip'!I44-'Data Tables (M) no_cb_zip'!I44</f>
        <v>0</v>
      </c>
      <c r="J44">
        <f>'Data Tables (M) cb_zip'!J44-'Data Tables (M) no_cb_zip'!J44</f>
        <v>0</v>
      </c>
      <c r="K44">
        <f>'Data Tables (M) cb_zip'!K44-'Data Tables (M) no_cb_zip'!K44</f>
        <v>0</v>
      </c>
      <c r="L44">
        <f>'Data Tables (M) cb_zip'!L44-'Data Tables (M) no_cb_zip'!L44</f>
        <v>0</v>
      </c>
      <c r="M44">
        <f>'Data Tables (M) cb_zip'!M44-'Data Tables (M) no_cb_zip'!M44</f>
        <v>0</v>
      </c>
      <c r="N44">
        <f>'Data Tables (M) cb_zip'!N44-'Data Tables (M) no_cb_zip'!N44</f>
        <v>0</v>
      </c>
      <c r="O44">
        <f>'Data Tables (M) cb_zip'!O44-'Data Tables (M) no_cb_zip'!O44</f>
        <v>0</v>
      </c>
      <c r="P44">
        <f>'Data Tables (M) cb_zip'!P44-'Data Tables (M) no_cb_zip'!P44</f>
        <v>0</v>
      </c>
      <c r="Q44">
        <f>'Data Tables (M) cb_zip'!Q44-'Data Tables (M) no_cb_zip'!Q44</f>
        <v>0</v>
      </c>
      <c r="R44">
        <f>'Data Tables (M) cb_zip'!R44-'Data Tables (M) no_cb_zip'!R44</f>
        <v>0</v>
      </c>
      <c r="S44">
        <f>'Data Tables (M) cb_zip'!S44-'Data Tables (M) no_cb_zip'!S44</f>
        <v>0</v>
      </c>
      <c r="T44">
        <f>'Data Tables (M) cb_zip'!T44-'Data Tables (M) no_cb_zip'!T44</f>
        <v>0</v>
      </c>
      <c r="U44">
        <f>'Data Tables (M) cb_zip'!U44-'Data Tables (M) no_cb_zip'!U44</f>
        <v>0</v>
      </c>
      <c r="V44">
        <f>'Data Tables (M) cb_zip'!V44-'Data Tables (M) no_cb_zip'!V44</f>
        <v>0</v>
      </c>
    </row>
    <row r="45" spans="1:22" x14ac:dyDescent="0.35">
      <c r="A45" t="str">
        <f>'Data Tables (M) no_cb_zip'!A45</f>
        <v>ENT</v>
      </c>
      <c r="B45" t="e">
        <f>'Data Tables (M) cb_zip'!B45-'Data Tables (M) no_cb_zip'!B45</f>
        <v>#VALUE!</v>
      </c>
      <c r="C45" t="e">
        <f>'Data Tables (M) cb_zip'!C45-'Data Tables (M) no_cb_zip'!C45</f>
        <v>#VALUE!</v>
      </c>
      <c r="D45" t="e">
        <f>'Data Tables (M) cb_zip'!D45-'Data Tables (M) no_cb_zip'!D45</f>
        <v>#VALUE!</v>
      </c>
      <c r="E45" t="e">
        <f>'Data Tables (M) cb_zip'!E45-'Data Tables (M) no_cb_zip'!E45</f>
        <v>#VALUE!</v>
      </c>
      <c r="F45" t="e">
        <f>'Data Tables (M) cb_zip'!F45-'Data Tables (M) no_cb_zip'!F45</f>
        <v>#VALUE!</v>
      </c>
      <c r="G45" t="e">
        <f>'Data Tables (M) cb_zip'!G45-'Data Tables (M) no_cb_zip'!G45</f>
        <v>#VALUE!</v>
      </c>
      <c r="H45" t="e">
        <f>'Data Tables (M) cb_zip'!H45-'Data Tables (M) no_cb_zip'!H45</f>
        <v>#VALUE!</v>
      </c>
      <c r="I45" t="e">
        <f>'Data Tables (M) cb_zip'!I45-'Data Tables (M) no_cb_zip'!I45</f>
        <v>#VALUE!</v>
      </c>
      <c r="J45" t="e">
        <f>'Data Tables (M) cb_zip'!J45-'Data Tables (M) no_cb_zip'!J45</f>
        <v>#VALUE!</v>
      </c>
      <c r="K45" t="e">
        <f>'Data Tables (M) cb_zip'!K45-'Data Tables (M) no_cb_zip'!K45</f>
        <v>#VALUE!</v>
      </c>
      <c r="L45" t="e">
        <f>'Data Tables (M) cb_zip'!L45-'Data Tables (M) no_cb_zip'!L45</f>
        <v>#VALUE!</v>
      </c>
      <c r="M45" t="e">
        <f>'Data Tables (M) cb_zip'!M45-'Data Tables (M) no_cb_zip'!M45</f>
        <v>#VALUE!</v>
      </c>
      <c r="N45" t="e">
        <f>'Data Tables (M) cb_zip'!N45-'Data Tables (M) no_cb_zip'!N45</f>
        <v>#VALUE!</v>
      </c>
      <c r="O45" t="e">
        <f>'Data Tables (M) cb_zip'!O45-'Data Tables (M) no_cb_zip'!O45</f>
        <v>#VALUE!</v>
      </c>
      <c r="P45" t="e">
        <f>'Data Tables (M) cb_zip'!P45-'Data Tables (M) no_cb_zip'!P45</f>
        <v>#VALUE!</v>
      </c>
      <c r="Q45" t="e">
        <f>'Data Tables (M) cb_zip'!Q45-'Data Tables (M) no_cb_zip'!Q45</f>
        <v>#VALUE!</v>
      </c>
      <c r="R45" t="e">
        <f>'Data Tables (M) cb_zip'!R45-'Data Tables (M) no_cb_zip'!R45</f>
        <v>#VALUE!</v>
      </c>
      <c r="S45" t="e">
        <f>'Data Tables (M) cb_zip'!S45-'Data Tables (M) no_cb_zip'!S45</f>
        <v>#VALUE!</v>
      </c>
      <c r="T45" t="e">
        <f>'Data Tables (M) cb_zip'!T45-'Data Tables (M) no_cb_zip'!T45</f>
        <v>#VALUE!</v>
      </c>
      <c r="U45" t="e">
        <f>'Data Tables (M) cb_zip'!U45-'Data Tables (M) no_cb_zip'!U45</f>
        <v>#VALUE!</v>
      </c>
      <c r="V45" t="e">
        <f>'Data Tables (M) cb_zip'!V45-'Data Tables (M) no_cb_zip'!V45</f>
        <v>#VALUE!</v>
      </c>
    </row>
    <row r="46" spans="1:22" x14ac:dyDescent="0.35">
      <c r="A46" t="str">
        <f>'Data Tables (M) no_cb_zip'!A46</f>
        <v>Model Score</v>
      </c>
      <c r="B46">
        <f>'Data Tables (M) cb_zip'!B46-'Data Tables (M) no_cb_zip'!B46</f>
        <v>0</v>
      </c>
      <c r="C46">
        <f>'Data Tables (M) cb_zip'!C46-'Data Tables (M) no_cb_zip'!C46</f>
        <v>0</v>
      </c>
      <c r="D46">
        <f>'Data Tables (M) cb_zip'!D46-'Data Tables (M) no_cb_zip'!D46</f>
        <v>0</v>
      </c>
      <c r="E46">
        <f>'Data Tables (M) cb_zip'!E46-'Data Tables (M) no_cb_zip'!E46</f>
        <v>0</v>
      </c>
      <c r="F46">
        <f>'Data Tables (M) cb_zip'!F46-'Data Tables (M) no_cb_zip'!F46</f>
        <v>0</v>
      </c>
      <c r="G46">
        <f>'Data Tables (M) cb_zip'!G46-'Data Tables (M) no_cb_zip'!G46</f>
        <v>0</v>
      </c>
      <c r="H46">
        <f>'Data Tables (M) cb_zip'!H46-'Data Tables (M) no_cb_zip'!H46</f>
        <v>0</v>
      </c>
      <c r="I46">
        <f>'Data Tables (M) cb_zip'!I46-'Data Tables (M) no_cb_zip'!I46</f>
        <v>0</v>
      </c>
      <c r="J46">
        <f>'Data Tables (M) cb_zip'!J46-'Data Tables (M) no_cb_zip'!J46</f>
        <v>0</v>
      </c>
      <c r="K46">
        <f>'Data Tables (M) cb_zip'!K46-'Data Tables (M) no_cb_zip'!K46</f>
        <v>0</v>
      </c>
      <c r="L46">
        <f>'Data Tables (M) cb_zip'!L46-'Data Tables (M) no_cb_zip'!L46</f>
        <v>0</v>
      </c>
      <c r="M46">
        <f>'Data Tables (M) cb_zip'!M46-'Data Tables (M) no_cb_zip'!M46</f>
        <v>0</v>
      </c>
      <c r="N46">
        <f>'Data Tables (M) cb_zip'!N46-'Data Tables (M) no_cb_zip'!N46</f>
        <v>0</v>
      </c>
      <c r="O46">
        <f>'Data Tables (M) cb_zip'!O46-'Data Tables (M) no_cb_zip'!O46</f>
        <v>0</v>
      </c>
      <c r="P46">
        <f>'Data Tables (M) cb_zip'!P46-'Data Tables (M) no_cb_zip'!P46</f>
        <v>0</v>
      </c>
      <c r="Q46">
        <f>'Data Tables (M) cb_zip'!Q46-'Data Tables (M) no_cb_zip'!Q46</f>
        <v>0</v>
      </c>
      <c r="R46">
        <f>'Data Tables (M) cb_zip'!R46-'Data Tables (M) no_cb_zip'!R46</f>
        <v>0</v>
      </c>
      <c r="S46">
        <f>'Data Tables (M) cb_zip'!S46-'Data Tables (M) no_cb_zip'!S46</f>
        <v>0</v>
      </c>
      <c r="T46">
        <f>'Data Tables (M) cb_zip'!T46-'Data Tables (M) no_cb_zip'!T46</f>
        <v>0</v>
      </c>
      <c r="U46">
        <f>'Data Tables (M) cb_zip'!U46-'Data Tables (M) no_cb_zip'!U46</f>
        <v>0</v>
      </c>
      <c r="V46">
        <f>'Data Tables (M) cb_zip'!V46-'Data Tables (M) no_cb_zip'!V46</f>
        <v>0</v>
      </c>
    </row>
    <row r="47" spans="1:22" x14ac:dyDescent="0.35">
      <c r="A47" t="str">
        <f>'Data Tables (M) no_cb_zip'!A47</f>
        <v>Expected Gross Loss Impact</v>
      </c>
      <c r="B47">
        <f>'Data Tables (M) cb_zip'!B47-'Data Tables (M) no_cb_zip'!B47</f>
        <v>0.25701361603597683</v>
      </c>
      <c r="C47">
        <f>'Data Tables (M) cb_zip'!C47-'Data Tables (M) no_cb_zip'!C47</f>
        <v>0.17521881658262894</v>
      </c>
      <c r="D47">
        <f>'Data Tables (M) cb_zip'!D47-'Data Tables (M) no_cb_zip'!D47</f>
        <v>0.26733861824763405</v>
      </c>
      <c r="E47">
        <f>'Data Tables (M) cb_zip'!E47-'Data Tables (M) no_cb_zip'!E47</f>
        <v>0.23880406050434999</v>
      </c>
      <c r="F47">
        <f>'Data Tables (M) cb_zip'!F47-'Data Tables (M) no_cb_zip'!F47</f>
        <v>0.19385297085528919</v>
      </c>
      <c r="G47">
        <f>'Data Tables (M) cb_zip'!G47-'Data Tables (M) no_cb_zip'!G47</f>
        <v>0.21015308029913629</v>
      </c>
      <c r="H47">
        <f>'Data Tables (M) cb_zip'!H47-'Data Tables (M) no_cb_zip'!H47</f>
        <v>0.18857708669136741</v>
      </c>
      <c r="I47">
        <f>'Data Tables (M) cb_zip'!I47-'Data Tables (M) no_cb_zip'!I47</f>
        <v>0.19921271297303611</v>
      </c>
      <c r="J47">
        <f>'Data Tables (M) cb_zip'!J47-'Data Tables (M) no_cb_zip'!J47</f>
        <v>0.25365254753364685</v>
      </c>
      <c r="K47">
        <f>'Data Tables (M) cb_zip'!K47-'Data Tables (M) no_cb_zip'!K47</f>
        <v>0.17025694565916183</v>
      </c>
      <c r="L47">
        <f>'Data Tables (M) cb_zip'!L47-'Data Tables (M) no_cb_zip'!L47</f>
        <v>0.13078603845221443</v>
      </c>
      <c r="M47">
        <f>'Data Tables (M) cb_zip'!M47-'Data Tables (M) no_cb_zip'!M47</f>
        <v>0.14612366387669337</v>
      </c>
      <c r="N47">
        <f>'Data Tables (M) cb_zip'!N47-'Data Tables (M) no_cb_zip'!N47</f>
        <v>7.402933782020682E-2</v>
      </c>
      <c r="O47">
        <f>'Data Tables (M) cb_zip'!O47-'Data Tables (M) no_cb_zip'!O47</f>
        <v>0.15694529341962488</v>
      </c>
      <c r="P47">
        <f>'Data Tables (M) cb_zip'!P47-'Data Tables (M) no_cb_zip'!P47</f>
        <v>0.15633087154935765</v>
      </c>
      <c r="Q47">
        <f>'Data Tables (M) cb_zip'!Q47-'Data Tables (M) no_cb_zip'!Q47</f>
        <v>7.9078223460669506E-2</v>
      </c>
      <c r="R47">
        <f>'Data Tables (M) cb_zip'!R47-'Data Tables (M) no_cb_zip'!R47</f>
        <v>0.1483145600910234</v>
      </c>
      <c r="S47">
        <f>'Data Tables (M) cb_zip'!S47-'Data Tables (M) no_cb_zip'!S47</f>
        <v>9.8661129403069481E-2</v>
      </c>
      <c r="T47">
        <f>'Data Tables (M) cb_zip'!T47-'Data Tables (M) no_cb_zip'!T47</f>
        <v>0.12090864642817678</v>
      </c>
      <c r="U47">
        <f>'Data Tables (M) cb_zip'!U47-'Data Tables (M) no_cb_zip'!U47</f>
        <v>6.1088471299171887E-2</v>
      </c>
      <c r="V47">
        <f>'Data Tables (M) cb_zip'!V47-'Data Tables (M) no_cb_zip'!V47</f>
        <v>7.1006885690081817E-2</v>
      </c>
    </row>
    <row r="48" spans="1:22" x14ac:dyDescent="0.35">
      <c r="A48" t="str">
        <f>'Data Tables (M) no_cb_zip'!A48</f>
        <v>Recovery Impact</v>
      </c>
      <c r="B48">
        <f>'Data Tables (M) cb_zip'!B48-'Data Tables (M) no_cb_zip'!B48</f>
        <v>7.9916624894940114E-3</v>
      </c>
      <c r="C48">
        <f>'Data Tables (M) cb_zip'!C48-'Data Tables (M) no_cb_zip'!C48</f>
        <v>6.0698138107833088E-3</v>
      </c>
      <c r="D48">
        <f>'Data Tables (M) cb_zip'!D48-'Data Tables (M) no_cb_zip'!D48</f>
        <v>6.9673311432678631E-3</v>
      </c>
      <c r="E48">
        <f>'Data Tables (M) cb_zip'!E48-'Data Tables (M) no_cb_zip'!E48</f>
        <v>4.332198281134847E-3</v>
      </c>
      <c r="F48">
        <f>'Data Tables (M) cb_zip'!F48-'Data Tables (M) no_cb_zip'!F48</f>
        <v>4.1908482686232595E-3</v>
      </c>
      <c r="G48">
        <f>'Data Tables (M) cb_zip'!G48-'Data Tables (M) no_cb_zip'!G48</f>
        <v>4.7084367440599628E-3</v>
      </c>
      <c r="H48">
        <f>'Data Tables (M) cb_zip'!H48-'Data Tables (M) no_cb_zip'!H48</f>
        <v>4.1545142412320324E-3</v>
      </c>
      <c r="I48">
        <f>'Data Tables (M) cb_zip'!I48-'Data Tables (M) no_cb_zip'!I48</f>
        <v>4.2111943792209061E-3</v>
      </c>
      <c r="J48">
        <f>'Data Tables (M) cb_zip'!J48-'Data Tables (M) no_cb_zip'!J48</f>
        <v>5.6542618865749183E-3</v>
      </c>
      <c r="K48">
        <f>'Data Tables (M) cb_zip'!K48-'Data Tables (M) no_cb_zip'!K48</f>
        <v>4.5013033168648242E-3</v>
      </c>
      <c r="L48">
        <f>'Data Tables (M) cb_zip'!L48-'Data Tables (M) no_cb_zip'!L48</f>
        <v>3.7536660025239144E-3</v>
      </c>
      <c r="M48">
        <f>'Data Tables (M) cb_zip'!M48-'Data Tables (M) no_cb_zip'!M48</f>
        <v>4.8189306702495216E-3</v>
      </c>
      <c r="N48">
        <f>'Data Tables (M) cb_zip'!N48-'Data Tables (M) no_cb_zip'!N48</f>
        <v>1.6797423369689923E-3</v>
      </c>
      <c r="O48">
        <f>'Data Tables (M) cb_zip'!O48-'Data Tables (M) no_cb_zip'!O48</f>
        <v>3.5804600757658456E-3</v>
      </c>
      <c r="P48">
        <f>'Data Tables (M) cb_zip'!P48-'Data Tables (M) no_cb_zip'!P48</f>
        <v>3.1259813471731235E-3</v>
      </c>
      <c r="Q48">
        <f>'Data Tables (M) cb_zip'!Q48-'Data Tables (M) no_cb_zip'!Q48</f>
        <v>1.2318191518709831E-3</v>
      </c>
      <c r="R48">
        <f>'Data Tables (M) cb_zip'!R48-'Data Tables (M) no_cb_zip'!R48</f>
        <v>1.1875526171010176E-3</v>
      </c>
      <c r="S48">
        <f>'Data Tables (M) cb_zip'!S48-'Data Tables (M) no_cb_zip'!S48</f>
        <v>3.752655839566188E-4</v>
      </c>
      <c r="T48">
        <f>'Data Tables (M) cb_zip'!T48-'Data Tables (M) no_cb_zip'!T48</f>
        <v>-2.7268248988943089E-4</v>
      </c>
      <c r="U48">
        <f>'Data Tables (M) cb_zip'!U48-'Data Tables (M) no_cb_zip'!U48</f>
        <v>-5.6054866669197345E-4</v>
      </c>
      <c r="V48">
        <f>'Data Tables (M) cb_zip'!V48-'Data Tables (M) no_cb_zip'!V48</f>
        <v>-6.8460297811889781E-4</v>
      </c>
    </row>
    <row r="49" spans="1:22" x14ac:dyDescent="0.35">
      <c r="A49" t="str">
        <f>'Data Tables (M) no_cb_zip'!A49</f>
        <v>LTV Impact</v>
      </c>
      <c r="B49">
        <f>'Data Tables (M) cb_zip'!B49-'Data Tables (M) no_cb_zip'!B49</f>
        <v>0</v>
      </c>
      <c r="C49">
        <f>'Data Tables (M) cb_zip'!C49-'Data Tables (M) no_cb_zip'!C49</f>
        <v>0</v>
      </c>
      <c r="D49">
        <f>'Data Tables (M) cb_zip'!D49-'Data Tables (M) no_cb_zip'!D49</f>
        <v>0</v>
      </c>
      <c r="E49">
        <f>'Data Tables (M) cb_zip'!E49-'Data Tables (M) no_cb_zip'!E49</f>
        <v>0</v>
      </c>
      <c r="F49">
        <f>'Data Tables (M) cb_zip'!F49-'Data Tables (M) no_cb_zip'!F49</f>
        <v>0</v>
      </c>
      <c r="G49">
        <f>'Data Tables (M) cb_zip'!G49-'Data Tables (M) no_cb_zip'!G49</f>
        <v>0</v>
      </c>
      <c r="H49">
        <f>'Data Tables (M) cb_zip'!H49-'Data Tables (M) no_cb_zip'!H49</f>
        <v>0</v>
      </c>
      <c r="I49">
        <f>'Data Tables (M) cb_zip'!I49-'Data Tables (M) no_cb_zip'!I49</f>
        <v>0</v>
      </c>
      <c r="J49">
        <f>'Data Tables (M) cb_zip'!J49-'Data Tables (M) no_cb_zip'!J49</f>
        <v>0</v>
      </c>
      <c r="K49">
        <f>'Data Tables (M) cb_zip'!K49-'Data Tables (M) no_cb_zip'!K49</f>
        <v>0</v>
      </c>
      <c r="L49">
        <f>'Data Tables (M) cb_zip'!L49-'Data Tables (M) no_cb_zip'!L49</f>
        <v>0</v>
      </c>
      <c r="M49">
        <f>'Data Tables (M) cb_zip'!M49-'Data Tables (M) no_cb_zip'!M49</f>
        <v>0</v>
      </c>
      <c r="N49">
        <f>'Data Tables (M) cb_zip'!N49-'Data Tables (M) no_cb_zip'!N49</f>
        <v>0</v>
      </c>
      <c r="O49">
        <f>'Data Tables (M) cb_zip'!O49-'Data Tables (M) no_cb_zip'!O49</f>
        <v>0</v>
      </c>
      <c r="P49">
        <f>'Data Tables (M) cb_zip'!P49-'Data Tables (M) no_cb_zip'!P49</f>
        <v>0</v>
      </c>
      <c r="Q49">
        <f>'Data Tables (M) cb_zip'!Q49-'Data Tables (M) no_cb_zip'!Q49</f>
        <v>0</v>
      </c>
      <c r="R49">
        <f>'Data Tables (M) cb_zip'!R49-'Data Tables (M) no_cb_zip'!R49</f>
        <v>0</v>
      </c>
      <c r="S49">
        <f>'Data Tables (M) cb_zip'!S49-'Data Tables (M) no_cb_zip'!S49</f>
        <v>0</v>
      </c>
      <c r="T49">
        <f>'Data Tables (M) cb_zip'!T49-'Data Tables (M) no_cb_zip'!T49</f>
        <v>0</v>
      </c>
      <c r="U49">
        <f>'Data Tables (M) cb_zip'!U49-'Data Tables (M) no_cb_zip'!U49</f>
        <v>0</v>
      </c>
      <c r="V49">
        <f>'Data Tables (M) cb_zip'!V49-'Data Tables (M) no_cb_zip'!V49</f>
        <v>0</v>
      </c>
    </row>
    <row r="50" spans="1:22" x14ac:dyDescent="0.35">
      <c r="A50" t="str">
        <f>'Data Tables (M) no_cb_zip'!A50</f>
        <v>APR Impact</v>
      </c>
      <c r="B50">
        <f>'Data Tables (M) cb_zip'!B50-'Data Tables (M) no_cb_zip'!B50</f>
        <v>0</v>
      </c>
      <c r="C50">
        <f>'Data Tables (M) cb_zip'!C50-'Data Tables (M) no_cb_zip'!C50</f>
        <v>0</v>
      </c>
      <c r="D50">
        <f>'Data Tables (M) cb_zip'!D50-'Data Tables (M) no_cb_zip'!D50</f>
        <v>0</v>
      </c>
      <c r="E50">
        <f>'Data Tables (M) cb_zip'!E50-'Data Tables (M) no_cb_zip'!E50</f>
        <v>0</v>
      </c>
      <c r="F50">
        <f>'Data Tables (M) cb_zip'!F50-'Data Tables (M) no_cb_zip'!F50</f>
        <v>0</v>
      </c>
      <c r="G50">
        <f>'Data Tables (M) cb_zip'!G50-'Data Tables (M) no_cb_zip'!G50</f>
        <v>0</v>
      </c>
      <c r="H50">
        <f>'Data Tables (M) cb_zip'!H50-'Data Tables (M) no_cb_zip'!H50</f>
        <v>0</v>
      </c>
      <c r="I50">
        <f>'Data Tables (M) cb_zip'!I50-'Data Tables (M) no_cb_zip'!I50</f>
        <v>0</v>
      </c>
      <c r="J50">
        <f>'Data Tables (M) cb_zip'!J50-'Data Tables (M) no_cb_zip'!J50</f>
        <v>0</v>
      </c>
      <c r="K50">
        <f>'Data Tables (M) cb_zip'!K50-'Data Tables (M) no_cb_zip'!K50</f>
        <v>0</v>
      </c>
      <c r="L50">
        <f>'Data Tables (M) cb_zip'!L50-'Data Tables (M) no_cb_zip'!L50</f>
        <v>0</v>
      </c>
      <c r="M50">
        <f>'Data Tables (M) cb_zip'!M50-'Data Tables (M) no_cb_zip'!M50</f>
        <v>0</v>
      </c>
      <c r="N50">
        <f>'Data Tables (M) cb_zip'!N50-'Data Tables (M) no_cb_zip'!N50</f>
        <v>0</v>
      </c>
      <c r="O50">
        <f>'Data Tables (M) cb_zip'!O50-'Data Tables (M) no_cb_zip'!O50</f>
        <v>0</v>
      </c>
      <c r="P50">
        <f>'Data Tables (M) cb_zip'!P50-'Data Tables (M) no_cb_zip'!P50</f>
        <v>0</v>
      </c>
      <c r="Q50">
        <f>'Data Tables (M) cb_zip'!Q50-'Data Tables (M) no_cb_zip'!Q50</f>
        <v>0</v>
      </c>
      <c r="R50">
        <f>'Data Tables (M) cb_zip'!R50-'Data Tables (M) no_cb_zip'!R50</f>
        <v>0</v>
      </c>
      <c r="S50">
        <f>'Data Tables (M) cb_zip'!S50-'Data Tables (M) no_cb_zip'!S50</f>
        <v>0</v>
      </c>
      <c r="T50">
        <f>'Data Tables (M) cb_zip'!T50-'Data Tables (M) no_cb_zip'!T50</f>
        <v>0</v>
      </c>
      <c r="U50">
        <f>'Data Tables (M) cb_zip'!U50-'Data Tables (M) no_cb_zip'!U50</f>
        <v>0</v>
      </c>
      <c r="V50">
        <f>'Data Tables (M) cb_zip'!V50-'Data Tables (M) no_cb_zip'!V50</f>
        <v>0</v>
      </c>
    </row>
    <row r="51" spans="1:22" x14ac:dyDescent="0.35">
      <c r="A51" t="str">
        <f>'Data Tables (M) no_cb_zip'!A51</f>
        <v>RAGU Score</v>
      </c>
      <c r="B51">
        <f>'Data Tables (M) cb_zip'!B51-'Data Tables (M) no_cb_zip'!B51</f>
        <v>0.26500527852550704</v>
      </c>
      <c r="C51">
        <f>'Data Tables (M) cb_zip'!C51-'Data Tables (M) no_cb_zip'!C51</f>
        <v>0.18128863039339649</v>
      </c>
      <c r="D51">
        <f>'Data Tables (M) cb_zip'!D51-'Data Tables (M) no_cb_zip'!D51</f>
        <v>0.27430594939090724</v>
      </c>
      <c r="E51">
        <f>'Data Tables (M) cb_zip'!E51-'Data Tables (M) no_cb_zip'!E51</f>
        <v>0.24313625878551193</v>
      </c>
      <c r="F51">
        <f>'Data Tables (M) cb_zip'!F51-'Data Tables (M) no_cb_zip'!F51</f>
        <v>0.19804381912391023</v>
      </c>
      <c r="G51">
        <f>'Data Tables (M) cb_zip'!G51-'Data Tables (M) no_cb_zip'!G51</f>
        <v>0.21486151704309009</v>
      </c>
      <c r="H51">
        <f>'Data Tables (M) cb_zip'!H51-'Data Tables (M) no_cb_zip'!H51</f>
        <v>0.19273160093260344</v>
      </c>
      <c r="I51">
        <f>'Data Tables (M) cb_zip'!I51-'Data Tables (M) no_cb_zip'!I51</f>
        <v>0.20342390735220306</v>
      </c>
      <c r="J51">
        <f>'Data Tables (M) cb_zip'!J51-'Data Tables (M) no_cb_zip'!J51</f>
        <v>0.25930680942022377</v>
      </c>
      <c r="K51">
        <f>'Data Tables (M) cb_zip'!K51-'Data Tables (M) no_cb_zip'!K51</f>
        <v>0.17475824897610437</v>
      </c>
      <c r="L51">
        <f>'Data Tables (M) cb_zip'!L51-'Data Tables (M) no_cb_zip'!L51</f>
        <v>0.13453970445479513</v>
      </c>
      <c r="M51">
        <f>'Data Tables (M) cb_zip'!M51-'Data Tables (M) no_cb_zip'!M51</f>
        <v>0.15094259454701842</v>
      </c>
      <c r="N51">
        <f>'Data Tables (M) cb_zip'!N51-'Data Tables (M) no_cb_zip'!N51</f>
        <v>7.570908015719624E-2</v>
      </c>
      <c r="O51">
        <f>'Data Tables (M) cb_zip'!O51-'Data Tables (M) no_cb_zip'!O51</f>
        <v>0.16052575349539211</v>
      </c>
      <c r="P51">
        <f>'Data Tables (M) cb_zip'!P51-'Data Tables (M) no_cb_zip'!P51</f>
        <v>0.1594568528965965</v>
      </c>
      <c r="Q51">
        <f>'Data Tables (M) cb_zip'!Q51-'Data Tables (M) no_cb_zip'!Q51</f>
        <v>8.0310042612495636E-2</v>
      </c>
      <c r="R51">
        <f>'Data Tables (M) cb_zip'!R51-'Data Tables (M) no_cb_zip'!R51</f>
        <v>0.14950211270812019</v>
      </c>
      <c r="S51">
        <f>'Data Tables (M) cb_zip'!S51-'Data Tables (M) no_cb_zip'!S51</f>
        <v>9.9036394986995901E-2</v>
      </c>
      <c r="T51">
        <f>'Data Tables (M) cb_zip'!T51-'Data Tables (M) no_cb_zip'!T51</f>
        <v>0.12063596393829812</v>
      </c>
      <c r="U51">
        <f>'Data Tables (M) cb_zip'!U51-'Data Tables (M) no_cb_zip'!U51</f>
        <v>6.0527922632502396E-2</v>
      </c>
      <c r="V51">
        <f>'Data Tables (M) cb_zip'!V51-'Data Tables (M) no_cb_zip'!V51</f>
        <v>7.0322282711885009E-2</v>
      </c>
    </row>
    <row r="52" spans="1:22" x14ac:dyDescent="0.35">
      <c r="A52" t="str">
        <f>'Data Tables (M) no_cb_zip'!A52</f>
        <v>Amount Financed</v>
      </c>
      <c r="B52">
        <f>'Data Tables (M) cb_zip'!B52-'Data Tables (M) no_cb_zip'!B52</f>
        <v>0</v>
      </c>
      <c r="C52">
        <f>'Data Tables (M) cb_zip'!C52-'Data Tables (M) no_cb_zip'!C52</f>
        <v>0</v>
      </c>
      <c r="D52">
        <f>'Data Tables (M) cb_zip'!D52-'Data Tables (M) no_cb_zip'!D52</f>
        <v>0</v>
      </c>
      <c r="E52">
        <f>'Data Tables (M) cb_zip'!E52-'Data Tables (M) no_cb_zip'!E52</f>
        <v>0</v>
      </c>
      <c r="F52">
        <f>'Data Tables (M) cb_zip'!F52-'Data Tables (M) no_cb_zip'!F52</f>
        <v>0</v>
      </c>
      <c r="G52">
        <f>'Data Tables (M) cb_zip'!G52-'Data Tables (M) no_cb_zip'!G52</f>
        <v>0</v>
      </c>
      <c r="H52">
        <f>'Data Tables (M) cb_zip'!H52-'Data Tables (M) no_cb_zip'!H52</f>
        <v>0</v>
      </c>
      <c r="I52">
        <f>'Data Tables (M) cb_zip'!I52-'Data Tables (M) no_cb_zip'!I52</f>
        <v>0</v>
      </c>
      <c r="J52">
        <f>'Data Tables (M) cb_zip'!J52-'Data Tables (M) no_cb_zip'!J52</f>
        <v>0</v>
      </c>
      <c r="K52">
        <f>'Data Tables (M) cb_zip'!K52-'Data Tables (M) no_cb_zip'!K52</f>
        <v>0</v>
      </c>
      <c r="L52">
        <f>'Data Tables (M) cb_zip'!L52-'Data Tables (M) no_cb_zip'!L52</f>
        <v>0</v>
      </c>
      <c r="M52">
        <f>'Data Tables (M) cb_zip'!M52-'Data Tables (M) no_cb_zip'!M52</f>
        <v>0</v>
      </c>
      <c r="N52">
        <f>'Data Tables (M) cb_zip'!N52-'Data Tables (M) no_cb_zip'!N52</f>
        <v>0</v>
      </c>
      <c r="O52">
        <f>'Data Tables (M) cb_zip'!O52-'Data Tables (M) no_cb_zip'!O52</f>
        <v>0</v>
      </c>
      <c r="P52">
        <f>'Data Tables (M) cb_zip'!P52-'Data Tables (M) no_cb_zip'!P52</f>
        <v>0</v>
      </c>
      <c r="Q52">
        <f>'Data Tables (M) cb_zip'!Q52-'Data Tables (M) no_cb_zip'!Q52</f>
        <v>0</v>
      </c>
      <c r="R52">
        <f>'Data Tables (M) cb_zip'!R52-'Data Tables (M) no_cb_zip'!R52</f>
        <v>0</v>
      </c>
      <c r="S52">
        <f>'Data Tables (M) cb_zip'!S52-'Data Tables (M) no_cb_zip'!S52</f>
        <v>0</v>
      </c>
      <c r="T52">
        <f>'Data Tables (M) cb_zip'!T52-'Data Tables (M) no_cb_zip'!T52</f>
        <v>0</v>
      </c>
      <c r="U52">
        <f>'Data Tables (M) cb_zip'!U52-'Data Tables (M) no_cb_zip'!U52</f>
        <v>0</v>
      </c>
      <c r="V52">
        <f>'Data Tables (M) cb_zip'!V52-'Data Tables (M) no_cb_zip'!V52</f>
        <v>0</v>
      </c>
    </row>
    <row r="53" spans="1:22" x14ac:dyDescent="0.35">
      <c r="A53" t="str">
        <f>'Data Tables (M) no_cb_zip'!A53</f>
        <v>Weighted LTV</v>
      </c>
      <c r="B53">
        <f>'Data Tables (M) cb_zip'!B53-'Data Tables (M) no_cb_zip'!B53</f>
        <v>0</v>
      </c>
      <c r="C53">
        <f>'Data Tables (M) cb_zip'!C53-'Data Tables (M) no_cb_zip'!C53</f>
        <v>0</v>
      </c>
      <c r="D53">
        <f>'Data Tables (M) cb_zip'!D53-'Data Tables (M) no_cb_zip'!D53</f>
        <v>0</v>
      </c>
      <c r="E53">
        <f>'Data Tables (M) cb_zip'!E53-'Data Tables (M) no_cb_zip'!E53</f>
        <v>0</v>
      </c>
      <c r="F53">
        <f>'Data Tables (M) cb_zip'!F53-'Data Tables (M) no_cb_zip'!F53</f>
        <v>0</v>
      </c>
      <c r="G53">
        <f>'Data Tables (M) cb_zip'!G53-'Data Tables (M) no_cb_zip'!G53</f>
        <v>0</v>
      </c>
      <c r="H53">
        <f>'Data Tables (M) cb_zip'!H53-'Data Tables (M) no_cb_zip'!H53</f>
        <v>0</v>
      </c>
      <c r="I53">
        <f>'Data Tables (M) cb_zip'!I53-'Data Tables (M) no_cb_zip'!I53</f>
        <v>0</v>
      </c>
      <c r="J53">
        <f>'Data Tables (M) cb_zip'!J53-'Data Tables (M) no_cb_zip'!J53</f>
        <v>0</v>
      </c>
      <c r="K53">
        <f>'Data Tables (M) cb_zip'!K53-'Data Tables (M) no_cb_zip'!K53</f>
        <v>0</v>
      </c>
      <c r="L53">
        <f>'Data Tables (M) cb_zip'!L53-'Data Tables (M) no_cb_zip'!L53</f>
        <v>0</v>
      </c>
      <c r="M53">
        <f>'Data Tables (M) cb_zip'!M53-'Data Tables (M) no_cb_zip'!M53</f>
        <v>0</v>
      </c>
      <c r="N53">
        <f>'Data Tables (M) cb_zip'!N53-'Data Tables (M) no_cb_zip'!N53</f>
        <v>0</v>
      </c>
      <c r="O53">
        <f>'Data Tables (M) cb_zip'!O53-'Data Tables (M) no_cb_zip'!O53</f>
        <v>0</v>
      </c>
      <c r="P53">
        <f>'Data Tables (M) cb_zip'!P53-'Data Tables (M) no_cb_zip'!P53</f>
        <v>0</v>
      </c>
      <c r="Q53">
        <f>'Data Tables (M) cb_zip'!Q53-'Data Tables (M) no_cb_zip'!Q53</f>
        <v>0</v>
      </c>
      <c r="R53">
        <f>'Data Tables (M) cb_zip'!R53-'Data Tables (M) no_cb_zip'!R53</f>
        <v>0</v>
      </c>
      <c r="S53">
        <f>'Data Tables (M) cb_zip'!S53-'Data Tables (M) no_cb_zip'!S53</f>
        <v>0</v>
      </c>
      <c r="T53">
        <f>'Data Tables (M) cb_zip'!T53-'Data Tables (M) no_cb_zip'!T53</f>
        <v>0</v>
      </c>
      <c r="U53">
        <f>'Data Tables (M) cb_zip'!U53-'Data Tables (M) no_cb_zip'!U53</f>
        <v>0</v>
      </c>
      <c r="V53">
        <f>'Data Tables (M) cb_zip'!V53-'Data Tables (M) no_cb_zip'!V53</f>
        <v>0</v>
      </c>
    </row>
    <row r="54" spans="1:22" x14ac:dyDescent="0.35">
      <c r="A54" t="str">
        <f>'Data Tables (M) no_cb_zip'!A54</f>
        <v>Weighted APR</v>
      </c>
      <c r="B54">
        <f>'Data Tables (M) cb_zip'!B54-'Data Tables (M) no_cb_zip'!B54</f>
        <v>0</v>
      </c>
      <c r="C54">
        <f>'Data Tables (M) cb_zip'!C54-'Data Tables (M) no_cb_zip'!C54</f>
        <v>0</v>
      </c>
      <c r="D54">
        <f>'Data Tables (M) cb_zip'!D54-'Data Tables (M) no_cb_zip'!D54</f>
        <v>0</v>
      </c>
      <c r="E54">
        <f>'Data Tables (M) cb_zip'!E54-'Data Tables (M) no_cb_zip'!E54</f>
        <v>0</v>
      </c>
      <c r="F54">
        <f>'Data Tables (M) cb_zip'!F54-'Data Tables (M) no_cb_zip'!F54</f>
        <v>0</v>
      </c>
      <c r="G54">
        <f>'Data Tables (M) cb_zip'!G54-'Data Tables (M) no_cb_zip'!G54</f>
        <v>0</v>
      </c>
      <c r="H54">
        <f>'Data Tables (M) cb_zip'!H54-'Data Tables (M) no_cb_zip'!H54</f>
        <v>0</v>
      </c>
      <c r="I54">
        <f>'Data Tables (M) cb_zip'!I54-'Data Tables (M) no_cb_zip'!I54</f>
        <v>0</v>
      </c>
      <c r="J54">
        <f>'Data Tables (M) cb_zip'!J54-'Data Tables (M) no_cb_zip'!J54</f>
        <v>0</v>
      </c>
      <c r="K54">
        <f>'Data Tables (M) cb_zip'!K54-'Data Tables (M) no_cb_zip'!K54</f>
        <v>0</v>
      </c>
      <c r="L54">
        <f>'Data Tables (M) cb_zip'!L54-'Data Tables (M) no_cb_zip'!L54</f>
        <v>0</v>
      </c>
      <c r="M54">
        <f>'Data Tables (M) cb_zip'!M54-'Data Tables (M) no_cb_zip'!M54</f>
        <v>0</v>
      </c>
      <c r="N54">
        <f>'Data Tables (M) cb_zip'!N54-'Data Tables (M) no_cb_zip'!N54</f>
        <v>0</v>
      </c>
      <c r="O54">
        <f>'Data Tables (M) cb_zip'!O54-'Data Tables (M) no_cb_zip'!O54</f>
        <v>0</v>
      </c>
      <c r="P54">
        <f>'Data Tables (M) cb_zip'!P54-'Data Tables (M) no_cb_zip'!P54</f>
        <v>0</v>
      </c>
      <c r="Q54">
        <f>'Data Tables (M) cb_zip'!Q54-'Data Tables (M) no_cb_zip'!Q54</f>
        <v>0</v>
      </c>
      <c r="R54">
        <f>'Data Tables (M) cb_zip'!R54-'Data Tables (M) no_cb_zip'!R54</f>
        <v>0</v>
      </c>
      <c r="S54">
        <f>'Data Tables (M) cb_zip'!S54-'Data Tables (M) no_cb_zip'!S54</f>
        <v>0</v>
      </c>
      <c r="T54">
        <f>'Data Tables (M) cb_zip'!T54-'Data Tables (M) no_cb_zip'!T54</f>
        <v>0</v>
      </c>
      <c r="U54">
        <f>'Data Tables (M) cb_zip'!U54-'Data Tables (M) no_cb_zip'!U54</f>
        <v>0</v>
      </c>
      <c r="V54">
        <f>'Data Tables (M) cb_zip'!V54-'Data Tables (M) no_cb_zip'!V54</f>
        <v>0</v>
      </c>
    </row>
    <row r="55" spans="1:22" x14ac:dyDescent="0.35">
      <c r="A55">
        <f>'Data Tables (M) no_cb_zip'!A55</f>
        <v>0</v>
      </c>
      <c r="B55">
        <f>'Data Tables (M) cb_zip'!B55-'Data Tables (M) no_cb_zip'!B55</f>
        <v>0</v>
      </c>
      <c r="C55">
        <f>'Data Tables (M) cb_zip'!C55-'Data Tables (M) no_cb_zip'!C55</f>
        <v>0</v>
      </c>
      <c r="D55">
        <f>'Data Tables (M) cb_zip'!D55-'Data Tables (M) no_cb_zip'!D55</f>
        <v>0</v>
      </c>
      <c r="E55">
        <f>'Data Tables (M) cb_zip'!E55-'Data Tables (M) no_cb_zip'!E55</f>
        <v>0</v>
      </c>
      <c r="F55">
        <f>'Data Tables (M) cb_zip'!F55-'Data Tables (M) no_cb_zip'!F55</f>
        <v>0</v>
      </c>
      <c r="G55">
        <f>'Data Tables (M) cb_zip'!G55-'Data Tables (M) no_cb_zip'!G55</f>
        <v>0</v>
      </c>
      <c r="H55">
        <f>'Data Tables (M) cb_zip'!H55-'Data Tables (M) no_cb_zip'!H55</f>
        <v>0</v>
      </c>
      <c r="I55">
        <f>'Data Tables (M) cb_zip'!I55-'Data Tables (M) no_cb_zip'!I55</f>
        <v>0</v>
      </c>
      <c r="J55">
        <f>'Data Tables (M) cb_zip'!J55-'Data Tables (M) no_cb_zip'!J55</f>
        <v>0</v>
      </c>
      <c r="K55">
        <f>'Data Tables (M) cb_zip'!K55-'Data Tables (M) no_cb_zip'!K55</f>
        <v>0</v>
      </c>
      <c r="L55">
        <f>'Data Tables (M) cb_zip'!L55-'Data Tables (M) no_cb_zip'!L55</f>
        <v>0</v>
      </c>
      <c r="M55">
        <f>'Data Tables (M) cb_zip'!M55-'Data Tables (M) no_cb_zip'!M55</f>
        <v>0</v>
      </c>
      <c r="N55">
        <f>'Data Tables (M) cb_zip'!N55-'Data Tables (M) no_cb_zip'!N55</f>
        <v>0</v>
      </c>
      <c r="O55">
        <f>'Data Tables (M) cb_zip'!O55-'Data Tables (M) no_cb_zip'!O55</f>
        <v>0</v>
      </c>
      <c r="P55">
        <f>'Data Tables (M) cb_zip'!P55-'Data Tables (M) no_cb_zip'!P55</f>
        <v>0</v>
      </c>
      <c r="Q55">
        <f>'Data Tables (M) cb_zip'!Q55-'Data Tables (M) no_cb_zip'!Q55</f>
        <v>0</v>
      </c>
      <c r="R55">
        <f>'Data Tables (M) cb_zip'!R55-'Data Tables (M) no_cb_zip'!R55</f>
        <v>0</v>
      </c>
      <c r="S55">
        <f>'Data Tables (M) cb_zip'!S55-'Data Tables (M) no_cb_zip'!S55</f>
        <v>0</v>
      </c>
      <c r="T55">
        <f>'Data Tables (M) cb_zip'!T55-'Data Tables (M) no_cb_zip'!T55</f>
        <v>0</v>
      </c>
      <c r="U55">
        <f>'Data Tables (M) cb_zip'!U55-'Data Tables (M) no_cb_zip'!U55</f>
        <v>0</v>
      </c>
      <c r="V55">
        <f>'Data Tables (M) cb_zip'!V55-'Data Tables (M) no_cb_zip'!V55</f>
        <v>0</v>
      </c>
    </row>
    <row r="56" spans="1:22" x14ac:dyDescent="0.35">
      <c r="A56" t="str">
        <f>'Data Tables (M) no_cb_zip'!A56</f>
        <v>KMX</v>
      </c>
      <c r="B56" t="e">
        <f>'Data Tables (M) cb_zip'!B56-'Data Tables (M) no_cb_zip'!B56</f>
        <v>#VALUE!</v>
      </c>
      <c r="C56" t="e">
        <f>'Data Tables (M) cb_zip'!C56-'Data Tables (M) no_cb_zip'!C56</f>
        <v>#VALUE!</v>
      </c>
      <c r="D56" t="e">
        <f>'Data Tables (M) cb_zip'!D56-'Data Tables (M) no_cb_zip'!D56</f>
        <v>#VALUE!</v>
      </c>
      <c r="E56" t="e">
        <f>'Data Tables (M) cb_zip'!E56-'Data Tables (M) no_cb_zip'!E56</f>
        <v>#VALUE!</v>
      </c>
      <c r="F56" t="e">
        <f>'Data Tables (M) cb_zip'!F56-'Data Tables (M) no_cb_zip'!F56</f>
        <v>#VALUE!</v>
      </c>
      <c r="G56" t="e">
        <f>'Data Tables (M) cb_zip'!G56-'Data Tables (M) no_cb_zip'!G56</f>
        <v>#VALUE!</v>
      </c>
      <c r="H56" t="e">
        <f>'Data Tables (M) cb_zip'!H56-'Data Tables (M) no_cb_zip'!H56</f>
        <v>#VALUE!</v>
      </c>
      <c r="I56" t="e">
        <f>'Data Tables (M) cb_zip'!I56-'Data Tables (M) no_cb_zip'!I56</f>
        <v>#VALUE!</v>
      </c>
      <c r="J56" t="e">
        <f>'Data Tables (M) cb_zip'!J56-'Data Tables (M) no_cb_zip'!J56</f>
        <v>#VALUE!</v>
      </c>
      <c r="K56" t="e">
        <f>'Data Tables (M) cb_zip'!K56-'Data Tables (M) no_cb_zip'!K56</f>
        <v>#VALUE!</v>
      </c>
      <c r="L56" t="e">
        <f>'Data Tables (M) cb_zip'!L56-'Data Tables (M) no_cb_zip'!L56</f>
        <v>#VALUE!</v>
      </c>
      <c r="M56" t="e">
        <f>'Data Tables (M) cb_zip'!M56-'Data Tables (M) no_cb_zip'!M56</f>
        <v>#VALUE!</v>
      </c>
      <c r="N56" t="e">
        <f>'Data Tables (M) cb_zip'!N56-'Data Tables (M) no_cb_zip'!N56</f>
        <v>#VALUE!</v>
      </c>
      <c r="O56" t="e">
        <f>'Data Tables (M) cb_zip'!O56-'Data Tables (M) no_cb_zip'!O56</f>
        <v>#VALUE!</v>
      </c>
      <c r="P56" t="e">
        <f>'Data Tables (M) cb_zip'!P56-'Data Tables (M) no_cb_zip'!P56</f>
        <v>#VALUE!</v>
      </c>
      <c r="Q56" t="e">
        <f>'Data Tables (M) cb_zip'!Q56-'Data Tables (M) no_cb_zip'!Q56</f>
        <v>#VALUE!</v>
      </c>
      <c r="R56" t="e">
        <f>'Data Tables (M) cb_zip'!R56-'Data Tables (M) no_cb_zip'!R56</f>
        <v>#VALUE!</v>
      </c>
      <c r="S56" t="e">
        <f>'Data Tables (M) cb_zip'!S56-'Data Tables (M) no_cb_zip'!S56</f>
        <v>#VALUE!</v>
      </c>
      <c r="T56" t="e">
        <f>'Data Tables (M) cb_zip'!T56-'Data Tables (M) no_cb_zip'!T56</f>
        <v>#VALUE!</v>
      </c>
      <c r="U56" t="e">
        <f>'Data Tables (M) cb_zip'!U56-'Data Tables (M) no_cb_zip'!U56</f>
        <v>#VALUE!</v>
      </c>
      <c r="V56" t="e">
        <f>'Data Tables (M) cb_zip'!V56-'Data Tables (M) no_cb_zip'!V56</f>
        <v>#VALUE!</v>
      </c>
    </row>
    <row r="57" spans="1:22" x14ac:dyDescent="0.35">
      <c r="A57" t="str">
        <f>'Data Tables (M) no_cb_zip'!A57</f>
        <v>Model Score</v>
      </c>
      <c r="B57">
        <f>'Data Tables (M) cb_zip'!B57-'Data Tables (M) no_cb_zip'!B57</f>
        <v>0</v>
      </c>
      <c r="C57">
        <f>'Data Tables (M) cb_zip'!C57-'Data Tables (M) no_cb_zip'!C57</f>
        <v>0</v>
      </c>
      <c r="D57">
        <f>'Data Tables (M) cb_zip'!D57-'Data Tables (M) no_cb_zip'!D57</f>
        <v>0</v>
      </c>
      <c r="E57">
        <f>'Data Tables (M) cb_zip'!E57-'Data Tables (M) no_cb_zip'!E57</f>
        <v>0</v>
      </c>
      <c r="F57">
        <f>'Data Tables (M) cb_zip'!F57-'Data Tables (M) no_cb_zip'!F57</f>
        <v>0</v>
      </c>
      <c r="G57">
        <f>'Data Tables (M) cb_zip'!G57-'Data Tables (M) no_cb_zip'!G57</f>
        <v>0</v>
      </c>
      <c r="H57">
        <f>'Data Tables (M) cb_zip'!H57-'Data Tables (M) no_cb_zip'!H57</f>
        <v>0</v>
      </c>
      <c r="I57">
        <f>'Data Tables (M) cb_zip'!I57-'Data Tables (M) no_cb_zip'!I57</f>
        <v>0</v>
      </c>
      <c r="J57">
        <f>'Data Tables (M) cb_zip'!J57-'Data Tables (M) no_cb_zip'!J57</f>
        <v>0</v>
      </c>
      <c r="K57">
        <f>'Data Tables (M) cb_zip'!K57-'Data Tables (M) no_cb_zip'!K57</f>
        <v>0</v>
      </c>
      <c r="L57">
        <f>'Data Tables (M) cb_zip'!L57-'Data Tables (M) no_cb_zip'!L57</f>
        <v>0</v>
      </c>
      <c r="M57">
        <f>'Data Tables (M) cb_zip'!M57-'Data Tables (M) no_cb_zip'!M57</f>
        <v>0</v>
      </c>
      <c r="N57">
        <f>'Data Tables (M) cb_zip'!N57-'Data Tables (M) no_cb_zip'!N57</f>
        <v>0</v>
      </c>
      <c r="O57">
        <f>'Data Tables (M) cb_zip'!O57-'Data Tables (M) no_cb_zip'!O57</f>
        <v>0</v>
      </c>
      <c r="P57">
        <f>'Data Tables (M) cb_zip'!P57-'Data Tables (M) no_cb_zip'!P57</f>
        <v>0</v>
      </c>
      <c r="Q57">
        <f>'Data Tables (M) cb_zip'!Q57-'Data Tables (M) no_cb_zip'!Q57</f>
        <v>0</v>
      </c>
      <c r="R57">
        <f>'Data Tables (M) cb_zip'!R57-'Data Tables (M) no_cb_zip'!R57</f>
        <v>0</v>
      </c>
      <c r="S57">
        <f>'Data Tables (M) cb_zip'!S57-'Data Tables (M) no_cb_zip'!S57</f>
        <v>0</v>
      </c>
      <c r="T57">
        <f>'Data Tables (M) cb_zip'!T57-'Data Tables (M) no_cb_zip'!T57</f>
        <v>0</v>
      </c>
      <c r="U57">
        <f>'Data Tables (M) cb_zip'!U57-'Data Tables (M) no_cb_zip'!U57</f>
        <v>0</v>
      </c>
      <c r="V57">
        <f>'Data Tables (M) cb_zip'!V57-'Data Tables (M) no_cb_zip'!V57</f>
        <v>0</v>
      </c>
    </row>
    <row r="58" spans="1:22" x14ac:dyDescent="0.35">
      <c r="A58" t="str">
        <f>'Data Tables (M) no_cb_zip'!A58</f>
        <v>Expected Gross Loss Impact</v>
      </c>
      <c r="B58">
        <f>'Data Tables (M) cb_zip'!B58-'Data Tables (M) no_cb_zip'!B58</f>
        <v>0</v>
      </c>
      <c r="C58">
        <f>'Data Tables (M) cb_zip'!C58-'Data Tables (M) no_cb_zip'!C58</f>
        <v>0</v>
      </c>
      <c r="D58">
        <f>'Data Tables (M) cb_zip'!D58-'Data Tables (M) no_cb_zip'!D58</f>
        <v>0</v>
      </c>
      <c r="E58">
        <f>'Data Tables (M) cb_zip'!E58-'Data Tables (M) no_cb_zip'!E58</f>
        <v>0</v>
      </c>
      <c r="F58">
        <f>'Data Tables (M) cb_zip'!F58-'Data Tables (M) no_cb_zip'!F58</f>
        <v>0</v>
      </c>
      <c r="G58">
        <f>'Data Tables (M) cb_zip'!G58-'Data Tables (M) no_cb_zip'!G58</f>
        <v>0</v>
      </c>
      <c r="H58">
        <f>'Data Tables (M) cb_zip'!H58-'Data Tables (M) no_cb_zip'!H58</f>
        <v>0</v>
      </c>
      <c r="I58">
        <f>'Data Tables (M) cb_zip'!I58-'Data Tables (M) no_cb_zip'!I58</f>
        <v>0</v>
      </c>
      <c r="J58">
        <f>'Data Tables (M) cb_zip'!J58-'Data Tables (M) no_cb_zip'!J58</f>
        <v>0</v>
      </c>
      <c r="K58">
        <f>'Data Tables (M) cb_zip'!K58-'Data Tables (M) no_cb_zip'!K58</f>
        <v>0</v>
      </c>
      <c r="L58">
        <f>'Data Tables (M) cb_zip'!L58-'Data Tables (M) no_cb_zip'!L58</f>
        <v>0</v>
      </c>
      <c r="M58">
        <f>'Data Tables (M) cb_zip'!M58-'Data Tables (M) no_cb_zip'!M58</f>
        <v>0</v>
      </c>
      <c r="N58">
        <f>'Data Tables (M) cb_zip'!N58-'Data Tables (M) no_cb_zip'!N58</f>
        <v>0</v>
      </c>
      <c r="O58">
        <f>'Data Tables (M) cb_zip'!O58-'Data Tables (M) no_cb_zip'!O58</f>
        <v>0</v>
      </c>
      <c r="P58">
        <f>'Data Tables (M) cb_zip'!P58-'Data Tables (M) no_cb_zip'!P58</f>
        <v>0</v>
      </c>
      <c r="Q58">
        <f>'Data Tables (M) cb_zip'!Q58-'Data Tables (M) no_cb_zip'!Q58</f>
        <v>0</v>
      </c>
      <c r="R58">
        <f>'Data Tables (M) cb_zip'!R58-'Data Tables (M) no_cb_zip'!R58</f>
        <v>0</v>
      </c>
      <c r="S58">
        <f>'Data Tables (M) cb_zip'!S58-'Data Tables (M) no_cb_zip'!S58</f>
        <v>0</v>
      </c>
      <c r="T58">
        <f>'Data Tables (M) cb_zip'!T58-'Data Tables (M) no_cb_zip'!T58</f>
        <v>0</v>
      </c>
      <c r="U58">
        <f>'Data Tables (M) cb_zip'!U58-'Data Tables (M) no_cb_zip'!U58</f>
        <v>0</v>
      </c>
      <c r="V58">
        <f>'Data Tables (M) cb_zip'!V58-'Data Tables (M) no_cb_zip'!V58</f>
        <v>0</v>
      </c>
    </row>
    <row r="59" spans="1:22" x14ac:dyDescent="0.35">
      <c r="A59" t="str">
        <f>'Data Tables (M) no_cb_zip'!A59</f>
        <v>Recovery Impact</v>
      </c>
      <c r="B59">
        <f>'Data Tables (M) cb_zip'!B59-'Data Tables (M) no_cb_zip'!B59</f>
        <v>0</v>
      </c>
      <c r="C59">
        <f>'Data Tables (M) cb_zip'!C59-'Data Tables (M) no_cb_zip'!C59</f>
        <v>0</v>
      </c>
      <c r="D59">
        <f>'Data Tables (M) cb_zip'!D59-'Data Tables (M) no_cb_zip'!D59</f>
        <v>0</v>
      </c>
      <c r="E59">
        <f>'Data Tables (M) cb_zip'!E59-'Data Tables (M) no_cb_zip'!E59</f>
        <v>0</v>
      </c>
      <c r="F59">
        <f>'Data Tables (M) cb_zip'!F59-'Data Tables (M) no_cb_zip'!F59</f>
        <v>0</v>
      </c>
      <c r="G59">
        <f>'Data Tables (M) cb_zip'!G59-'Data Tables (M) no_cb_zip'!G59</f>
        <v>0</v>
      </c>
      <c r="H59">
        <f>'Data Tables (M) cb_zip'!H59-'Data Tables (M) no_cb_zip'!H59</f>
        <v>0</v>
      </c>
      <c r="I59">
        <f>'Data Tables (M) cb_zip'!I59-'Data Tables (M) no_cb_zip'!I59</f>
        <v>0</v>
      </c>
      <c r="J59">
        <f>'Data Tables (M) cb_zip'!J59-'Data Tables (M) no_cb_zip'!J59</f>
        <v>0</v>
      </c>
      <c r="K59">
        <f>'Data Tables (M) cb_zip'!K59-'Data Tables (M) no_cb_zip'!K59</f>
        <v>0</v>
      </c>
      <c r="L59">
        <f>'Data Tables (M) cb_zip'!L59-'Data Tables (M) no_cb_zip'!L59</f>
        <v>0</v>
      </c>
      <c r="M59">
        <f>'Data Tables (M) cb_zip'!M59-'Data Tables (M) no_cb_zip'!M59</f>
        <v>0</v>
      </c>
      <c r="N59">
        <f>'Data Tables (M) cb_zip'!N59-'Data Tables (M) no_cb_zip'!N59</f>
        <v>0</v>
      </c>
      <c r="O59">
        <f>'Data Tables (M) cb_zip'!O59-'Data Tables (M) no_cb_zip'!O59</f>
        <v>0</v>
      </c>
      <c r="P59">
        <f>'Data Tables (M) cb_zip'!P59-'Data Tables (M) no_cb_zip'!P59</f>
        <v>0</v>
      </c>
      <c r="Q59">
        <f>'Data Tables (M) cb_zip'!Q59-'Data Tables (M) no_cb_zip'!Q59</f>
        <v>0</v>
      </c>
      <c r="R59">
        <f>'Data Tables (M) cb_zip'!R59-'Data Tables (M) no_cb_zip'!R59</f>
        <v>0</v>
      </c>
      <c r="S59">
        <f>'Data Tables (M) cb_zip'!S59-'Data Tables (M) no_cb_zip'!S59</f>
        <v>0</v>
      </c>
      <c r="T59">
        <f>'Data Tables (M) cb_zip'!T59-'Data Tables (M) no_cb_zip'!T59</f>
        <v>0</v>
      </c>
      <c r="U59">
        <f>'Data Tables (M) cb_zip'!U59-'Data Tables (M) no_cb_zip'!U59</f>
        <v>0</v>
      </c>
      <c r="V59">
        <f>'Data Tables (M) cb_zip'!V59-'Data Tables (M) no_cb_zip'!V59</f>
        <v>0</v>
      </c>
    </row>
    <row r="60" spans="1:22" x14ac:dyDescent="0.35">
      <c r="A60" t="str">
        <f>'Data Tables (M) no_cb_zip'!A60</f>
        <v>LTV Impact</v>
      </c>
      <c r="B60">
        <f>'Data Tables (M) cb_zip'!B60-'Data Tables (M) no_cb_zip'!B60</f>
        <v>0</v>
      </c>
      <c r="C60">
        <f>'Data Tables (M) cb_zip'!C60-'Data Tables (M) no_cb_zip'!C60</f>
        <v>0</v>
      </c>
      <c r="D60">
        <f>'Data Tables (M) cb_zip'!D60-'Data Tables (M) no_cb_zip'!D60</f>
        <v>0</v>
      </c>
      <c r="E60">
        <f>'Data Tables (M) cb_zip'!E60-'Data Tables (M) no_cb_zip'!E60</f>
        <v>0</v>
      </c>
      <c r="F60">
        <f>'Data Tables (M) cb_zip'!F60-'Data Tables (M) no_cb_zip'!F60</f>
        <v>0</v>
      </c>
      <c r="G60">
        <f>'Data Tables (M) cb_zip'!G60-'Data Tables (M) no_cb_zip'!G60</f>
        <v>0</v>
      </c>
      <c r="H60">
        <f>'Data Tables (M) cb_zip'!H60-'Data Tables (M) no_cb_zip'!H60</f>
        <v>0</v>
      </c>
      <c r="I60">
        <f>'Data Tables (M) cb_zip'!I60-'Data Tables (M) no_cb_zip'!I60</f>
        <v>0</v>
      </c>
      <c r="J60">
        <f>'Data Tables (M) cb_zip'!J60-'Data Tables (M) no_cb_zip'!J60</f>
        <v>0</v>
      </c>
      <c r="K60">
        <f>'Data Tables (M) cb_zip'!K60-'Data Tables (M) no_cb_zip'!K60</f>
        <v>0</v>
      </c>
      <c r="L60">
        <f>'Data Tables (M) cb_zip'!L60-'Data Tables (M) no_cb_zip'!L60</f>
        <v>0</v>
      </c>
      <c r="M60">
        <f>'Data Tables (M) cb_zip'!M60-'Data Tables (M) no_cb_zip'!M60</f>
        <v>0</v>
      </c>
      <c r="N60">
        <f>'Data Tables (M) cb_zip'!N60-'Data Tables (M) no_cb_zip'!N60</f>
        <v>0</v>
      </c>
      <c r="O60">
        <f>'Data Tables (M) cb_zip'!O60-'Data Tables (M) no_cb_zip'!O60</f>
        <v>0</v>
      </c>
      <c r="P60">
        <f>'Data Tables (M) cb_zip'!P60-'Data Tables (M) no_cb_zip'!P60</f>
        <v>0</v>
      </c>
      <c r="Q60">
        <f>'Data Tables (M) cb_zip'!Q60-'Data Tables (M) no_cb_zip'!Q60</f>
        <v>0</v>
      </c>
      <c r="R60">
        <f>'Data Tables (M) cb_zip'!R60-'Data Tables (M) no_cb_zip'!R60</f>
        <v>0</v>
      </c>
      <c r="S60">
        <f>'Data Tables (M) cb_zip'!S60-'Data Tables (M) no_cb_zip'!S60</f>
        <v>0</v>
      </c>
      <c r="T60">
        <f>'Data Tables (M) cb_zip'!T60-'Data Tables (M) no_cb_zip'!T60</f>
        <v>0</v>
      </c>
      <c r="U60">
        <f>'Data Tables (M) cb_zip'!U60-'Data Tables (M) no_cb_zip'!U60</f>
        <v>0</v>
      </c>
      <c r="V60">
        <f>'Data Tables (M) cb_zip'!V60-'Data Tables (M) no_cb_zip'!V60</f>
        <v>0</v>
      </c>
    </row>
    <row r="61" spans="1:22" x14ac:dyDescent="0.35">
      <c r="A61" t="str">
        <f>'Data Tables (M) no_cb_zip'!A61</f>
        <v>APR Impact</v>
      </c>
      <c r="B61">
        <f>'Data Tables (M) cb_zip'!B61-'Data Tables (M) no_cb_zip'!B61</f>
        <v>0</v>
      </c>
      <c r="C61">
        <f>'Data Tables (M) cb_zip'!C61-'Data Tables (M) no_cb_zip'!C61</f>
        <v>0</v>
      </c>
      <c r="D61">
        <f>'Data Tables (M) cb_zip'!D61-'Data Tables (M) no_cb_zip'!D61</f>
        <v>0</v>
      </c>
      <c r="E61">
        <f>'Data Tables (M) cb_zip'!E61-'Data Tables (M) no_cb_zip'!E61</f>
        <v>0</v>
      </c>
      <c r="F61">
        <f>'Data Tables (M) cb_zip'!F61-'Data Tables (M) no_cb_zip'!F61</f>
        <v>0</v>
      </c>
      <c r="G61">
        <f>'Data Tables (M) cb_zip'!G61-'Data Tables (M) no_cb_zip'!G61</f>
        <v>0</v>
      </c>
      <c r="H61">
        <f>'Data Tables (M) cb_zip'!H61-'Data Tables (M) no_cb_zip'!H61</f>
        <v>0</v>
      </c>
      <c r="I61">
        <f>'Data Tables (M) cb_zip'!I61-'Data Tables (M) no_cb_zip'!I61</f>
        <v>0</v>
      </c>
      <c r="J61">
        <f>'Data Tables (M) cb_zip'!J61-'Data Tables (M) no_cb_zip'!J61</f>
        <v>0</v>
      </c>
      <c r="K61">
        <f>'Data Tables (M) cb_zip'!K61-'Data Tables (M) no_cb_zip'!K61</f>
        <v>0</v>
      </c>
      <c r="L61">
        <f>'Data Tables (M) cb_zip'!L61-'Data Tables (M) no_cb_zip'!L61</f>
        <v>0</v>
      </c>
      <c r="M61">
        <f>'Data Tables (M) cb_zip'!M61-'Data Tables (M) no_cb_zip'!M61</f>
        <v>0</v>
      </c>
      <c r="N61">
        <f>'Data Tables (M) cb_zip'!N61-'Data Tables (M) no_cb_zip'!N61</f>
        <v>0</v>
      </c>
      <c r="O61">
        <f>'Data Tables (M) cb_zip'!O61-'Data Tables (M) no_cb_zip'!O61</f>
        <v>0</v>
      </c>
      <c r="P61">
        <f>'Data Tables (M) cb_zip'!P61-'Data Tables (M) no_cb_zip'!P61</f>
        <v>0</v>
      </c>
      <c r="Q61">
        <f>'Data Tables (M) cb_zip'!Q61-'Data Tables (M) no_cb_zip'!Q61</f>
        <v>0</v>
      </c>
      <c r="R61">
        <f>'Data Tables (M) cb_zip'!R61-'Data Tables (M) no_cb_zip'!R61</f>
        <v>0</v>
      </c>
      <c r="S61">
        <f>'Data Tables (M) cb_zip'!S61-'Data Tables (M) no_cb_zip'!S61</f>
        <v>0</v>
      </c>
      <c r="T61">
        <f>'Data Tables (M) cb_zip'!T61-'Data Tables (M) no_cb_zip'!T61</f>
        <v>0</v>
      </c>
      <c r="U61">
        <f>'Data Tables (M) cb_zip'!U61-'Data Tables (M) no_cb_zip'!U61</f>
        <v>0</v>
      </c>
      <c r="V61">
        <f>'Data Tables (M) cb_zip'!V61-'Data Tables (M) no_cb_zip'!V61</f>
        <v>0</v>
      </c>
    </row>
    <row r="62" spans="1:22" x14ac:dyDescent="0.35">
      <c r="A62" t="str">
        <f>'Data Tables (M) no_cb_zip'!A62</f>
        <v>RAGU Score</v>
      </c>
      <c r="B62">
        <f>'Data Tables (M) cb_zip'!B62-'Data Tables (M) no_cb_zip'!B62</f>
        <v>0</v>
      </c>
      <c r="C62">
        <f>'Data Tables (M) cb_zip'!C62-'Data Tables (M) no_cb_zip'!C62</f>
        <v>0</v>
      </c>
      <c r="D62">
        <f>'Data Tables (M) cb_zip'!D62-'Data Tables (M) no_cb_zip'!D62</f>
        <v>0</v>
      </c>
      <c r="E62">
        <f>'Data Tables (M) cb_zip'!E62-'Data Tables (M) no_cb_zip'!E62</f>
        <v>0</v>
      </c>
      <c r="F62">
        <f>'Data Tables (M) cb_zip'!F62-'Data Tables (M) no_cb_zip'!F62</f>
        <v>0</v>
      </c>
      <c r="G62">
        <f>'Data Tables (M) cb_zip'!G62-'Data Tables (M) no_cb_zip'!G62</f>
        <v>0</v>
      </c>
      <c r="H62">
        <f>'Data Tables (M) cb_zip'!H62-'Data Tables (M) no_cb_zip'!H62</f>
        <v>0</v>
      </c>
      <c r="I62">
        <f>'Data Tables (M) cb_zip'!I62-'Data Tables (M) no_cb_zip'!I62</f>
        <v>0</v>
      </c>
      <c r="J62">
        <f>'Data Tables (M) cb_zip'!J62-'Data Tables (M) no_cb_zip'!J62</f>
        <v>0</v>
      </c>
      <c r="K62">
        <f>'Data Tables (M) cb_zip'!K62-'Data Tables (M) no_cb_zip'!K62</f>
        <v>0</v>
      </c>
      <c r="L62">
        <f>'Data Tables (M) cb_zip'!L62-'Data Tables (M) no_cb_zip'!L62</f>
        <v>0</v>
      </c>
      <c r="M62">
        <f>'Data Tables (M) cb_zip'!M62-'Data Tables (M) no_cb_zip'!M62</f>
        <v>0</v>
      </c>
      <c r="N62">
        <f>'Data Tables (M) cb_zip'!N62-'Data Tables (M) no_cb_zip'!N62</f>
        <v>0</v>
      </c>
      <c r="O62">
        <f>'Data Tables (M) cb_zip'!O62-'Data Tables (M) no_cb_zip'!O62</f>
        <v>0</v>
      </c>
      <c r="P62">
        <f>'Data Tables (M) cb_zip'!P62-'Data Tables (M) no_cb_zip'!P62</f>
        <v>0</v>
      </c>
      <c r="Q62">
        <f>'Data Tables (M) cb_zip'!Q62-'Data Tables (M) no_cb_zip'!Q62</f>
        <v>0</v>
      </c>
      <c r="R62">
        <f>'Data Tables (M) cb_zip'!R62-'Data Tables (M) no_cb_zip'!R62</f>
        <v>0</v>
      </c>
      <c r="S62">
        <f>'Data Tables (M) cb_zip'!S62-'Data Tables (M) no_cb_zip'!S62</f>
        <v>0</v>
      </c>
      <c r="T62">
        <f>'Data Tables (M) cb_zip'!T62-'Data Tables (M) no_cb_zip'!T62</f>
        <v>0</v>
      </c>
      <c r="U62">
        <f>'Data Tables (M) cb_zip'!U62-'Data Tables (M) no_cb_zip'!U62</f>
        <v>0</v>
      </c>
      <c r="V62">
        <f>'Data Tables (M) cb_zip'!V62-'Data Tables (M) no_cb_zip'!V62</f>
        <v>0</v>
      </c>
    </row>
    <row r="63" spans="1:22" x14ac:dyDescent="0.35">
      <c r="A63" t="str">
        <f>'Data Tables (M) no_cb_zip'!A63</f>
        <v>Amount Financed</v>
      </c>
      <c r="B63">
        <f>'Data Tables (M) cb_zip'!B63-'Data Tables (M) no_cb_zip'!B63</f>
        <v>0</v>
      </c>
      <c r="C63">
        <f>'Data Tables (M) cb_zip'!C63-'Data Tables (M) no_cb_zip'!C63</f>
        <v>0</v>
      </c>
      <c r="D63">
        <f>'Data Tables (M) cb_zip'!D63-'Data Tables (M) no_cb_zip'!D63</f>
        <v>0</v>
      </c>
      <c r="E63">
        <f>'Data Tables (M) cb_zip'!E63-'Data Tables (M) no_cb_zip'!E63</f>
        <v>0</v>
      </c>
      <c r="F63">
        <f>'Data Tables (M) cb_zip'!F63-'Data Tables (M) no_cb_zip'!F63</f>
        <v>0</v>
      </c>
      <c r="G63">
        <f>'Data Tables (M) cb_zip'!G63-'Data Tables (M) no_cb_zip'!G63</f>
        <v>0</v>
      </c>
      <c r="H63">
        <f>'Data Tables (M) cb_zip'!H63-'Data Tables (M) no_cb_zip'!H63</f>
        <v>0</v>
      </c>
      <c r="I63">
        <f>'Data Tables (M) cb_zip'!I63-'Data Tables (M) no_cb_zip'!I63</f>
        <v>0</v>
      </c>
      <c r="J63">
        <f>'Data Tables (M) cb_zip'!J63-'Data Tables (M) no_cb_zip'!J63</f>
        <v>0</v>
      </c>
      <c r="K63">
        <f>'Data Tables (M) cb_zip'!K63-'Data Tables (M) no_cb_zip'!K63</f>
        <v>0</v>
      </c>
      <c r="L63">
        <f>'Data Tables (M) cb_zip'!L63-'Data Tables (M) no_cb_zip'!L63</f>
        <v>0</v>
      </c>
      <c r="M63">
        <f>'Data Tables (M) cb_zip'!M63-'Data Tables (M) no_cb_zip'!M63</f>
        <v>0</v>
      </c>
      <c r="N63">
        <f>'Data Tables (M) cb_zip'!N63-'Data Tables (M) no_cb_zip'!N63</f>
        <v>0</v>
      </c>
      <c r="O63">
        <f>'Data Tables (M) cb_zip'!O63-'Data Tables (M) no_cb_zip'!O63</f>
        <v>0</v>
      </c>
      <c r="P63">
        <f>'Data Tables (M) cb_zip'!P63-'Data Tables (M) no_cb_zip'!P63</f>
        <v>0</v>
      </c>
      <c r="Q63">
        <f>'Data Tables (M) cb_zip'!Q63-'Data Tables (M) no_cb_zip'!Q63</f>
        <v>0</v>
      </c>
      <c r="R63">
        <f>'Data Tables (M) cb_zip'!R63-'Data Tables (M) no_cb_zip'!R63</f>
        <v>0</v>
      </c>
      <c r="S63">
        <f>'Data Tables (M) cb_zip'!S63-'Data Tables (M) no_cb_zip'!S63</f>
        <v>0</v>
      </c>
      <c r="T63">
        <f>'Data Tables (M) cb_zip'!T63-'Data Tables (M) no_cb_zip'!T63</f>
        <v>0</v>
      </c>
      <c r="U63">
        <f>'Data Tables (M) cb_zip'!U63-'Data Tables (M) no_cb_zip'!U63</f>
        <v>0</v>
      </c>
      <c r="V63">
        <f>'Data Tables (M) cb_zip'!V63-'Data Tables (M) no_cb_zip'!V63</f>
        <v>0</v>
      </c>
    </row>
    <row r="64" spans="1:22" x14ac:dyDescent="0.35">
      <c r="A64" t="str">
        <f>'Data Tables (M) no_cb_zip'!A64</f>
        <v>Weighted LTV</v>
      </c>
      <c r="B64">
        <f>'Data Tables (M) cb_zip'!B64-'Data Tables (M) no_cb_zip'!B64</f>
        <v>0</v>
      </c>
      <c r="C64">
        <f>'Data Tables (M) cb_zip'!C64-'Data Tables (M) no_cb_zip'!C64</f>
        <v>0</v>
      </c>
      <c r="D64">
        <f>'Data Tables (M) cb_zip'!D64-'Data Tables (M) no_cb_zip'!D64</f>
        <v>0</v>
      </c>
      <c r="E64">
        <f>'Data Tables (M) cb_zip'!E64-'Data Tables (M) no_cb_zip'!E64</f>
        <v>0</v>
      </c>
      <c r="F64">
        <f>'Data Tables (M) cb_zip'!F64-'Data Tables (M) no_cb_zip'!F64</f>
        <v>0</v>
      </c>
      <c r="G64">
        <f>'Data Tables (M) cb_zip'!G64-'Data Tables (M) no_cb_zip'!G64</f>
        <v>0</v>
      </c>
      <c r="H64">
        <f>'Data Tables (M) cb_zip'!H64-'Data Tables (M) no_cb_zip'!H64</f>
        <v>0</v>
      </c>
      <c r="I64">
        <f>'Data Tables (M) cb_zip'!I64-'Data Tables (M) no_cb_zip'!I64</f>
        <v>0</v>
      </c>
      <c r="J64">
        <f>'Data Tables (M) cb_zip'!J64-'Data Tables (M) no_cb_zip'!J64</f>
        <v>0</v>
      </c>
      <c r="K64">
        <f>'Data Tables (M) cb_zip'!K64-'Data Tables (M) no_cb_zip'!K64</f>
        <v>0</v>
      </c>
      <c r="L64">
        <f>'Data Tables (M) cb_zip'!L64-'Data Tables (M) no_cb_zip'!L64</f>
        <v>0</v>
      </c>
      <c r="M64">
        <f>'Data Tables (M) cb_zip'!M64-'Data Tables (M) no_cb_zip'!M64</f>
        <v>0</v>
      </c>
      <c r="N64">
        <f>'Data Tables (M) cb_zip'!N64-'Data Tables (M) no_cb_zip'!N64</f>
        <v>0</v>
      </c>
      <c r="O64">
        <f>'Data Tables (M) cb_zip'!O64-'Data Tables (M) no_cb_zip'!O64</f>
        <v>0</v>
      </c>
      <c r="P64">
        <f>'Data Tables (M) cb_zip'!P64-'Data Tables (M) no_cb_zip'!P64</f>
        <v>0</v>
      </c>
      <c r="Q64">
        <f>'Data Tables (M) cb_zip'!Q64-'Data Tables (M) no_cb_zip'!Q64</f>
        <v>0</v>
      </c>
      <c r="R64">
        <f>'Data Tables (M) cb_zip'!R64-'Data Tables (M) no_cb_zip'!R64</f>
        <v>0</v>
      </c>
      <c r="S64">
        <f>'Data Tables (M) cb_zip'!S64-'Data Tables (M) no_cb_zip'!S64</f>
        <v>0</v>
      </c>
      <c r="T64">
        <f>'Data Tables (M) cb_zip'!T64-'Data Tables (M) no_cb_zip'!T64</f>
        <v>0</v>
      </c>
      <c r="U64">
        <f>'Data Tables (M) cb_zip'!U64-'Data Tables (M) no_cb_zip'!U64</f>
        <v>0</v>
      </c>
      <c r="V64">
        <f>'Data Tables (M) cb_zip'!V64-'Data Tables (M) no_cb_zip'!V64</f>
        <v>0</v>
      </c>
    </row>
    <row r="65" spans="1:22" x14ac:dyDescent="0.35">
      <c r="A65" t="str">
        <f>'Data Tables (M) no_cb_zip'!A65</f>
        <v>Weighted APR</v>
      </c>
      <c r="B65">
        <f>'Data Tables (M) cb_zip'!B65-'Data Tables (M) no_cb_zip'!B65</f>
        <v>0</v>
      </c>
      <c r="C65">
        <f>'Data Tables (M) cb_zip'!C65-'Data Tables (M) no_cb_zip'!C65</f>
        <v>0</v>
      </c>
      <c r="D65">
        <f>'Data Tables (M) cb_zip'!D65-'Data Tables (M) no_cb_zip'!D65</f>
        <v>0</v>
      </c>
      <c r="E65">
        <f>'Data Tables (M) cb_zip'!E65-'Data Tables (M) no_cb_zip'!E65</f>
        <v>0</v>
      </c>
      <c r="F65">
        <f>'Data Tables (M) cb_zip'!F65-'Data Tables (M) no_cb_zip'!F65</f>
        <v>0</v>
      </c>
      <c r="G65">
        <f>'Data Tables (M) cb_zip'!G65-'Data Tables (M) no_cb_zip'!G65</f>
        <v>0</v>
      </c>
      <c r="H65">
        <f>'Data Tables (M) cb_zip'!H65-'Data Tables (M) no_cb_zip'!H65</f>
        <v>0</v>
      </c>
      <c r="I65">
        <f>'Data Tables (M) cb_zip'!I65-'Data Tables (M) no_cb_zip'!I65</f>
        <v>0</v>
      </c>
      <c r="J65">
        <f>'Data Tables (M) cb_zip'!J65-'Data Tables (M) no_cb_zip'!J65</f>
        <v>0</v>
      </c>
      <c r="K65">
        <f>'Data Tables (M) cb_zip'!K65-'Data Tables (M) no_cb_zip'!K65</f>
        <v>0</v>
      </c>
      <c r="L65">
        <f>'Data Tables (M) cb_zip'!L65-'Data Tables (M) no_cb_zip'!L65</f>
        <v>0</v>
      </c>
      <c r="M65">
        <f>'Data Tables (M) cb_zip'!M65-'Data Tables (M) no_cb_zip'!M65</f>
        <v>0</v>
      </c>
      <c r="N65">
        <f>'Data Tables (M) cb_zip'!N65-'Data Tables (M) no_cb_zip'!N65</f>
        <v>0</v>
      </c>
      <c r="O65">
        <f>'Data Tables (M) cb_zip'!O65-'Data Tables (M) no_cb_zip'!O65</f>
        <v>0</v>
      </c>
      <c r="P65">
        <f>'Data Tables (M) cb_zip'!P65-'Data Tables (M) no_cb_zip'!P65</f>
        <v>0</v>
      </c>
      <c r="Q65">
        <f>'Data Tables (M) cb_zip'!Q65-'Data Tables (M) no_cb_zip'!Q65</f>
        <v>0</v>
      </c>
      <c r="R65">
        <f>'Data Tables (M) cb_zip'!R65-'Data Tables (M) no_cb_zip'!R65</f>
        <v>0</v>
      </c>
      <c r="S65">
        <f>'Data Tables (M) cb_zip'!S65-'Data Tables (M) no_cb_zip'!S65</f>
        <v>0</v>
      </c>
      <c r="T65">
        <f>'Data Tables (M) cb_zip'!T65-'Data Tables (M) no_cb_zip'!T65</f>
        <v>0</v>
      </c>
      <c r="U65">
        <f>'Data Tables (M) cb_zip'!U65-'Data Tables (M) no_cb_zip'!U65</f>
        <v>0</v>
      </c>
      <c r="V65">
        <f>'Data Tables (M) cb_zip'!V65-'Data Tables (M) no_cb_zip'!V65</f>
        <v>0</v>
      </c>
    </row>
    <row r="66" spans="1:22" x14ac:dyDescent="0.35">
      <c r="A66">
        <f>'Data Tables (M) no_cb_zip'!A66</f>
        <v>0</v>
      </c>
      <c r="B66">
        <f>'Data Tables (M) cb_zip'!B66-'Data Tables (M) no_cb_zip'!B66</f>
        <v>0</v>
      </c>
      <c r="C66">
        <f>'Data Tables (M) cb_zip'!C66-'Data Tables (M) no_cb_zip'!C66</f>
        <v>0</v>
      </c>
      <c r="D66">
        <f>'Data Tables (M) cb_zip'!D66-'Data Tables (M) no_cb_zip'!D66</f>
        <v>0</v>
      </c>
      <c r="E66">
        <f>'Data Tables (M) cb_zip'!E66-'Data Tables (M) no_cb_zip'!E66</f>
        <v>0</v>
      </c>
      <c r="F66">
        <f>'Data Tables (M) cb_zip'!F66-'Data Tables (M) no_cb_zip'!F66</f>
        <v>0</v>
      </c>
      <c r="G66">
        <f>'Data Tables (M) cb_zip'!G66-'Data Tables (M) no_cb_zip'!G66</f>
        <v>0</v>
      </c>
      <c r="H66">
        <f>'Data Tables (M) cb_zip'!H66-'Data Tables (M) no_cb_zip'!H66</f>
        <v>0</v>
      </c>
      <c r="I66">
        <f>'Data Tables (M) cb_zip'!I66-'Data Tables (M) no_cb_zip'!I66</f>
        <v>0</v>
      </c>
      <c r="J66">
        <f>'Data Tables (M) cb_zip'!J66-'Data Tables (M) no_cb_zip'!J66</f>
        <v>0</v>
      </c>
      <c r="K66">
        <f>'Data Tables (M) cb_zip'!K66-'Data Tables (M) no_cb_zip'!K66</f>
        <v>0</v>
      </c>
      <c r="L66">
        <f>'Data Tables (M) cb_zip'!L66-'Data Tables (M) no_cb_zip'!L66</f>
        <v>0</v>
      </c>
      <c r="M66">
        <f>'Data Tables (M) cb_zip'!M66-'Data Tables (M) no_cb_zip'!M66</f>
        <v>0</v>
      </c>
      <c r="N66">
        <f>'Data Tables (M) cb_zip'!N66-'Data Tables (M) no_cb_zip'!N66</f>
        <v>0</v>
      </c>
      <c r="O66">
        <f>'Data Tables (M) cb_zip'!O66-'Data Tables (M) no_cb_zip'!O66</f>
        <v>0</v>
      </c>
      <c r="P66">
        <f>'Data Tables (M) cb_zip'!P66-'Data Tables (M) no_cb_zip'!P66</f>
        <v>0</v>
      </c>
      <c r="Q66">
        <f>'Data Tables (M) cb_zip'!Q66-'Data Tables (M) no_cb_zip'!Q66</f>
        <v>0</v>
      </c>
      <c r="R66">
        <f>'Data Tables (M) cb_zip'!R66-'Data Tables (M) no_cb_zip'!R66</f>
        <v>0</v>
      </c>
      <c r="S66">
        <f>'Data Tables (M) cb_zip'!S66-'Data Tables (M) no_cb_zip'!S66</f>
        <v>0</v>
      </c>
      <c r="T66">
        <f>'Data Tables (M) cb_zip'!T66-'Data Tables (M) no_cb_zip'!T66</f>
        <v>0</v>
      </c>
      <c r="U66">
        <f>'Data Tables (M) cb_zip'!U66-'Data Tables (M) no_cb_zip'!U66</f>
        <v>0</v>
      </c>
      <c r="V66">
        <f>'Data Tables (M) cb_zip'!V66-'Data Tables (M) no_cb_zip'!V66</f>
        <v>0</v>
      </c>
    </row>
    <row r="67" spans="1:22" x14ac:dyDescent="0.35">
      <c r="A67" t="str">
        <f>'Data Tables (M) no_cb_zip'!A67</f>
        <v>Franchise Independent</v>
      </c>
      <c r="B67" t="e">
        <f>'Data Tables (M) cb_zip'!B67-'Data Tables (M) no_cb_zip'!B67</f>
        <v>#VALUE!</v>
      </c>
      <c r="C67" t="e">
        <f>'Data Tables (M) cb_zip'!C67-'Data Tables (M) no_cb_zip'!C67</f>
        <v>#VALUE!</v>
      </c>
      <c r="D67" t="e">
        <f>'Data Tables (M) cb_zip'!D67-'Data Tables (M) no_cb_zip'!D67</f>
        <v>#VALUE!</v>
      </c>
      <c r="E67" t="e">
        <f>'Data Tables (M) cb_zip'!E67-'Data Tables (M) no_cb_zip'!E67</f>
        <v>#VALUE!</v>
      </c>
      <c r="F67" t="e">
        <f>'Data Tables (M) cb_zip'!F67-'Data Tables (M) no_cb_zip'!F67</f>
        <v>#VALUE!</v>
      </c>
      <c r="G67" t="e">
        <f>'Data Tables (M) cb_zip'!G67-'Data Tables (M) no_cb_zip'!G67</f>
        <v>#VALUE!</v>
      </c>
      <c r="H67" t="e">
        <f>'Data Tables (M) cb_zip'!H67-'Data Tables (M) no_cb_zip'!H67</f>
        <v>#VALUE!</v>
      </c>
      <c r="I67" t="e">
        <f>'Data Tables (M) cb_zip'!I67-'Data Tables (M) no_cb_zip'!I67</f>
        <v>#VALUE!</v>
      </c>
      <c r="J67" t="e">
        <f>'Data Tables (M) cb_zip'!J67-'Data Tables (M) no_cb_zip'!J67</f>
        <v>#VALUE!</v>
      </c>
      <c r="K67" t="e">
        <f>'Data Tables (M) cb_zip'!K67-'Data Tables (M) no_cb_zip'!K67</f>
        <v>#VALUE!</v>
      </c>
      <c r="L67" t="e">
        <f>'Data Tables (M) cb_zip'!L67-'Data Tables (M) no_cb_zip'!L67</f>
        <v>#VALUE!</v>
      </c>
      <c r="M67" t="e">
        <f>'Data Tables (M) cb_zip'!M67-'Data Tables (M) no_cb_zip'!M67</f>
        <v>#VALUE!</v>
      </c>
      <c r="N67" t="e">
        <f>'Data Tables (M) cb_zip'!N67-'Data Tables (M) no_cb_zip'!N67</f>
        <v>#VALUE!</v>
      </c>
      <c r="O67" t="e">
        <f>'Data Tables (M) cb_zip'!O67-'Data Tables (M) no_cb_zip'!O67</f>
        <v>#VALUE!</v>
      </c>
      <c r="P67" t="e">
        <f>'Data Tables (M) cb_zip'!P67-'Data Tables (M) no_cb_zip'!P67</f>
        <v>#VALUE!</v>
      </c>
      <c r="Q67" t="e">
        <f>'Data Tables (M) cb_zip'!Q67-'Data Tables (M) no_cb_zip'!Q67</f>
        <v>#VALUE!</v>
      </c>
      <c r="R67" t="e">
        <f>'Data Tables (M) cb_zip'!R67-'Data Tables (M) no_cb_zip'!R67</f>
        <v>#VALUE!</v>
      </c>
      <c r="S67" t="e">
        <f>'Data Tables (M) cb_zip'!S67-'Data Tables (M) no_cb_zip'!S67</f>
        <v>#VALUE!</v>
      </c>
      <c r="T67" t="e">
        <f>'Data Tables (M) cb_zip'!T67-'Data Tables (M) no_cb_zip'!T67</f>
        <v>#VALUE!</v>
      </c>
      <c r="U67" t="e">
        <f>'Data Tables (M) cb_zip'!U67-'Data Tables (M) no_cb_zip'!U67</f>
        <v>#VALUE!</v>
      </c>
      <c r="V67" t="e">
        <f>'Data Tables (M) cb_zip'!V67-'Data Tables (M) no_cb_zip'!V67</f>
        <v>#VALUE!</v>
      </c>
    </row>
    <row r="68" spans="1:22" x14ac:dyDescent="0.35">
      <c r="A68" t="str">
        <f>'Data Tables (M) no_cb_zip'!A68</f>
        <v>Model Score</v>
      </c>
      <c r="B68">
        <f>'Data Tables (M) cb_zip'!B68-'Data Tables (M) no_cb_zip'!B68</f>
        <v>0</v>
      </c>
      <c r="C68">
        <f>'Data Tables (M) cb_zip'!C68-'Data Tables (M) no_cb_zip'!C68</f>
        <v>0</v>
      </c>
      <c r="D68">
        <f>'Data Tables (M) cb_zip'!D68-'Data Tables (M) no_cb_zip'!D68</f>
        <v>0</v>
      </c>
      <c r="E68">
        <f>'Data Tables (M) cb_zip'!E68-'Data Tables (M) no_cb_zip'!E68</f>
        <v>0</v>
      </c>
      <c r="F68">
        <f>'Data Tables (M) cb_zip'!F68-'Data Tables (M) no_cb_zip'!F68</f>
        <v>0</v>
      </c>
      <c r="G68">
        <f>'Data Tables (M) cb_zip'!G68-'Data Tables (M) no_cb_zip'!G68</f>
        <v>0</v>
      </c>
      <c r="H68">
        <f>'Data Tables (M) cb_zip'!H68-'Data Tables (M) no_cb_zip'!H68</f>
        <v>0</v>
      </c>
      <c r="I68">
        <f>'Data Tables (M) cb_zip'!I68-'Data Tables (M) no_cb_zip'!I68</f>
        <v>0</v>
      </c>
      <c r="J68">
        <f>'Data Tables (M) cb_zip'!J68-'Data Tables (M) no_cb_zip'!J68</f>
        <v>0</v>
      </c>
      <c r="K68">
        <f>'Data Tables (M) cb_zip'!K68-'Data Tables (M) no_cb_zip'!K68</f>
        <v>0</v>
      </c>
      <c r="L68">
        <f>'Data Tables (M) cb_zip'!L68-'Data Tables (M) no_cb_zip'!L68</f>
        <v>0</v>
      </c>
      <c r="M68">
        <f>'Data Tables (M) cb_zip'!M68-'Data Tables (M) no_cb_zip'!M68</f>
        <v>0</v>
      </c>
      <c r="N68">
        <f>'Data Tables (M) cb_zip'!N68-'Data Tables (M) no_cb_zip'!N68</f>
        <v>0</v>
      </c>
      <c r="O68">
        <f>'Data Tables (M) cb_zip'!O68-'Data Tables (M) no_cb_zip'!O68</f>
        <v>0</v>
      </c>
      <c r="P68">
        <f>'Data Tables (M) cb_zip'!P68-'Data Tables (M) no_cb_zip'!P68</f>
        <v>0</v>
      </c>
      <c r="Q68">
        <f>'Data Tables (M) cb_zip'!Q68-'Data Tables (M) no_cb_zip'!Q68</f>
        <v>0</v>
      </c>
      <c r="R68">
        <f>'Data Tables (M) cb_zip'!R68-'Data Tables (M) no_cb_zip'!R68</f>
        <v>0</v>
      </c>
      <c r="S68">
        <f>'Data Tables (M) cb_zip'!S68-'Data Tables (M) no_cb_zip'!S68</f>
        <v>0</v>
      </c>
      <c r="T68">
        <f>'Data Tables (M) cb_zip'!T68-'Data Tables (M) no_cb_zip'!T68</f>
        <v>0</v>
      </c>
      <c r="U68">
        <f>'Data Tables (M) cb_zip'!U68-'Data Tables (M) no_cb_zip'!U68</f>
        <v>0</v>
      </c>
      <c r="V68">
        <f>'Data Tables (M) cb_zip'!V68-'Data Tables (M) no_cb_zip'!V68</f>
        <v>0</v>
      </c>
    </row>
    <row r="69" spans="1:22" x14ac:dyDescent="0.35">
      <c r="A69" t="str">
        <f>'Data Tables (M) no_cb_zip'!A69</f>
        <v>Expected Gross Loss Impact</v>
      </c>
      <c r="B69" s="1">
        <f>'Data Tables (M) cb_zip'!B69-'Data Tables (M) no_cb_zip'!B69</f>
        <v>0.11818617564977729</v>
      </c>
      <c r="C69" s="1">
        <f>'Data Tables (M) cb_zip'!C69-'Data Tables (M) no_cb_zip'!C69</f>
        <v>0.1261986652010752</v>
      </c>
      <c r="D69" s="1">
        <f>'Data Tables (M) cb_zip'!D69-'Data Tables (M) no_cb_zip'!D69</f>
        <v>0.16259011082587088</v>
      </c>
      <c r="E69" s="1">
        <f>'Data Tables (M) cb_zip'!E69-'Data Tables (M) no_cb_zip'!E69</f>
        <v>8.323723565511576E-2</v>
      </c>
      <c r="F69" s="1">
        <f>'Data Tables (M) cb_zip'!F69-'Data Tables (M) no_cb_zip'!F69</f>
        <v>7.0866216208764987E-2</v>
      </c>
      <c r="G69" s="1">
        <f>'Data Tables (M) cb_zip'!G69-'Data Tables (M) no_cb_zip'!G69</f>
        <v>7.6955068428274931E-2</v>
      </c>
      <c r="H69" s="1">
        <f>'Data Tables (M) cb_zip'!H69-'Data Tables (M) no_cb_zip'!H69</f>
        <v>6.048954957839181E-2</v>
      </c>
      <c r="I69" s="1">
        <f>'Data Tables (M) cb_zip'!I69-'Data Tables (M) no_cb_zip'!I69</f>
        <v>9.6282591011362051E-2</v>
      </c>
      <c r="J69" s="1">
        <f>'Data Tables (M) cb_zip'!J69-'Data Tables (M) no_cb_zip'!J69</f>
        <v>0.14427200634798409</v>
      </c>
      <c r="K69" s="1">
        <f>'Data Tables (M) cb_zip'!K69-'Data Tables (M) no_cb_zip'!K69</f>
        <v>9.858204577640084E-3</v>
      </c>
      <c r="L69" s="1">
        <f>'Data Tables (M) cb_zip'!L69-'Data Tables (M) no_cb_zip'!L69</f>
        <v>-1.0071322292787066E-2</v>
      </c>
      <c r="M69" s="1">
        <f>'Data Tables (M) cb_zip'!M69-'Data Tables (M) no_cb_zip'!M69</f>
        <v>-1.4779350377324141E-2</v>
      </c>
      <c r="N69" s="1">
        <f>'Data Tables (M) cb_zip'!N69-'Data Tables (M) no_cb_zip'!N69</f>
        <v>-7.4536181969930837E-3</v>
      </c>
      <c r="O69" s="1">
        <f>'Data Tables (M) cb_zip'!O69-'Data Tables (M) no_cb_zip'!O69</f>
        <v>-3.7933758337330925E-2</v>
      </c>
      <c r="P69" s="1">
        <f>'Data Tables (M) cb_zip'!P69-'Data Tables (M) no_cb_zip'!P69</f>
        <v>3.289140181791117E-2</v>
      </c>
      <c r="Q69" s="1">
        <f>'Data Tables (M) cb_zip'!Q69-'Data Tables (M) no_cb_zip'!Q69</f>
        <v>-3.2929131779970922E-2</v>
      </c>
      <c r="R69" s="1">
        <f>'Data Tables (M) cb_zip'!R69-'Data Tables (M) no_cb_zip'!R69</f>
        <v>1.7310180928924002E-2</v>
      </c>
      <c r="S69" s="1">
        <f>'Data Tables (M) cb_zip'!S69-'Data Tables (M) no_cb_zip'!S69</f>
        <v>4.2042504144279125E-2</v>
      </c>
      <c r="T69" s="1">
        <f>'Data Tables (M) cb_zip'!T69-'Data Tables (M) no_cb_zip'!T69</f>
        <v>2.0552933293580988E-2</v>
      </c>
      <c r="U69" s="1">
        <f>'Data Tables (M) cb_zip'!U69-'Data Tables (M) no_cb_zip'!U69</f>
        <v>-2.8128969971430884E-2</v>
      </c>
      <c r="V69" s="1">
        <f>'Data Tables (M) cb_zip'!V69-'Data Tables (M) no_cb_zip'!V69</f>
        <v>4.2454136587601887E-3</v>
      </c>
    </row>
    <row r="70" spans="1:22" x14ac:dyDescent="0.35">
      <c r="A70" t="str">
        <f>'Data Tables (M) no_cb_zip'!A70</f>
        <v>Recovery Impact</v>
      </c>
      <c r="B70">
        <f>'Data Tables (M) cb_zip'!B70-'Data Tables (M) no_cb_zip'!B70</f>
        <v>1.5855559890030069E-3</v>
      </c>
      <c r="C70">
        <f>'Data Tables (M) cb_zip'!C70-'Data Tables (M) no_cb_zip'!C70</f>
        <v>1.4510596661188035E-3</v>
      </c>
      <c r="D70">
        <f>'Data Tables (M) cb_zip'!D70-'Data Tables (M) no_cb_zip'!D70</f>
        <v>1.6298638272660426E-3</v>
      </c>
      <c r="E70">
        <f>'Data Tables (M) cb_zip'!E70-'Data Tables (M) no_cb_zip'!E70</f>
        <v>1.1101957944619212E-3</v>
      </c>
      <c r="F70">
        <f>'Data Tables (M) cb_zip'!F70-'Data Tables (M) no_cb_zip'!F70</f>
        <v>1.1369010732780183E-3</v>
      </c>
      <c r="G70">
        <f>'Data Tables (M) cb_zip'!G70-'Data Tables (M) no_cb_zip'!G70</f>
        <v>1.4306576666602844E-3</v>
      </c>
      <c r="H70">
        <f>'Data Tables (M) cb_zip'!H70-'Data Tables (M) no_cb_zip'!H70</f>
        <v>1.184895084011206E-3</v>
      </c>
      <c r="I70">
        <f>'Data Tables (M) cb_zip'!I70-'Data Tables (M) no_cb_zip'!I70</f>
        <v>1.6357950595917714E-3</v>
      </c>
      <c r="J70">
        <f>'Data Tables (M) cb_zip'!J70-'Data Tables (M) no_cb_zip'!J70</f>
        <v>2.7543574167920859E-3</v>
      </c>
      <c r="K70">
        <f>'Data Tables (M) cb_zip'!K70-'Data Tables (M) no_cb_zip'!K70</f>
        <v>2.1321086657000166E-4</v>
      </c>
      <c r="L70">
        <f>'Data Tables (M) cb_zip'!L70-'Data Tables (M) no_cb_zip'!L70</f>
        <v>-2.4061405821296233E-4</v>
      </c>
      <c r="M70">
        <f>'Data Tables (M) cb_zip'!M70-'Data Tables (M) no_cb_zip'!M70</f>
        <v>-5.0374219315685309E-4</v>
      </c>
      <c r="N70">
        <f>'Data Tables (M) cb_zip'!N70-'Data Tables (M) no_cb_zip'!N70</f>
        <v>1.2250887574039027E-4</v>
      </c>
      <c r="O70">
        <f>'Data Tables (M) cb_zip'!O70-'Data Tables (M) no_cb_zip'!O70</f>
        <v>-5.2506286591880169E-4</v>
      </c>
      <c r="P70">
        <f>'Data Tables (M) cb_zip'!P70-'Data Tables (M) no_cb_zip'!P70</f>
        <v>7.4570874143686794E-4</v>
      </c>
      <c r="Q70">
        <f>'Data Tables (M) cb_zip'!Q70-'Data Tables (M) no_cb_zip'!Q70</f>
        <v>-3.9292207067509466E-4</v>
      </c>
      <c r="R70">
        <f>'Data Tables (M) cb_zip'!R70-'Data Tables (M) no_cb_zip'!R70</f>
        <v>6.7395855050600417E-4</v>
      </c>
      <c r="S70">
        <f>'Data Tables (M) cb_zip'!S70-'Data Tables (M) no_cb_zip'!S70</f>
        <v>1.3264680621078995E-3</v>
      </c>
      <c r="T70">
        <f>'Data Tables (M) cb_zip'!T70-'Data Tables (M) no_cb_zip'!T70</f>
        <v>7.5793335538598683E-4</v>
      </c>
      <c r="U70">
        <f>'Data Tables (M) cb_zip'!U70-'Data Tables (M) no_cb_zip'!U70</f>
        <v>-4.9650338202722466E-4</v>
      </c>
      <c r="V70">
        <f>'Data Tables (M) cb_zip'!V70-'Data Tables (M) no_cb_zip'!V70</f>
        <v>2.5086496323023511E-4</v>
      </c>
    </row>
    <row r="71" spans="1:22" x14ac:dyDescent="0.35">
      <c r="A71" t="str">
        <f>'Data Tables (M) no_cb_zip'!A71</f>
        <v>LTV Impact</v>
      </c>
      <c r="B71">
        <f>'Data Tables (M) cb_zip'!B71-'Data Tables (M) no_cb_zip'!B71</f>
        <v>0</v>
      </c>
      <c r="C71">
        <f>'Data Tables (M) cb_zip'!C71-'Data Tables (M) no_cb_zip'!C71</f>
        <v>0</v>
      </c>
      <c r="D71">
        <f>'Data Tables (M) cb_zip'!D71-'Data Tables (M) no_cb_zip'!D71</f>
        <v>0</v>
      </c>
      <c r="E71">
        <f>'Data Tables (M) cb_zip'!E71-'Data Tables (M) no_cb_zip'!E71</f>
        <v>0</v>
      </c>
      <c r="F71">
        <f>'Data Tables (M) cb_zip'!F71-'Data Tables (M) no_cb_zip'!F71</f>
        <v>0</v>
      </c>
      <c r="G71">
        <f>'Data Tables (M) cb_zip'!G71-'Data Tables (M) no_cb_zip'!G71</f>
        <v>0</v>
      </c>
      <c r="H71">
        <f>'Data Tables (M) cb_zip'!H71-'Data Tables (M) no_cb_zip'!H71</f>
        <v>0</v>
      </c>
      <c r="I71">
        <f>'Data Tables (M) cb_zip'!I71-'Data Tables (M) no_cb_zip'!I71</f>
        <v>0</v>
      </c>
      <c r="J71">
        <f>'Data Tables (M) cb_zip'!J71-'Data Tables (M) no_cb_zip'!J71</f>
        <v>0</v>
      </c>
      <c r="K71">
        <f>'Data Tables (M) cb_zip'!K71-'Data Tables (M) no_cb_zip'!K71</f>
        <v>0</v>
      </c>
      <c r="L71">
        <f>'Data Tables (M) cb_zip'!L71-'Data Tables (M) no_cb_zip'!L71</f>
        <v>0</v>
      </c>
      <c r="M71">
        <f>'Data Tables (M) cb_zip'!M71-'Data Tables (M) no_cb_zip'!M71</f>
        <v>0</v>
      </c>
      <c r="N71">
        <f>'Data Tables (M) cb_zip'!N71-'Data Tables (M) no_cb_zip'!N71</f>
        <v>0</v>
      </c>
      <c r="O71">
        <f>'Data Tables (M) cb_zip'!O71-'Data Tables (M) no_cb_zip'!O71</f>
        <v>0</v>
      </c>
      <c r="P71">
        <f>'Data Tables (M) cb_zip'!P71-'Data Tables (M) no_cb_zip'!P71</f>
        <v>0</v>
      </c>
      <c r="Q71">
        <f>'Data Tables (M) cb_zip'!Q71-'Data Tables (M) no_cb_zip'!Q71</f>
        <v>0</v>
      </c>
      <c r="R71">
        <f>'Data Tables (M) cb_zip'!R71-'Data Tables (M) no_cb_zip'!R71</f>
        <v>0</v>
      </c>
      <c r="S71">
        <f>'Data Tables (M) cb_zip'!S71-'Data Tables (M) no_cb_zip'!S71</f>
        <v>0</v>
      </c>
      <c r="T71">
        <f>'Data Tables (M) cb_zip'!T71-'Data Tables (M) no_cb_zip'!T71</f>
        <v>0</v>
      </c>
      <c r="U71">
        <f>'Data Tables (M) cb_zip'!U71-'Data Tables (M) no_cb_zip'!U71</f>
        <v>0</v>
      </c>
      <c r="V71">
        <f>'Data Tables (M) cb_zip'!V71-'Data Tables (M) no_cb_zip'!V71</f>
        <v>0</v>
      </c>
    </row>
    <row r="72" spans="1:22" x14ac:dyDescent="0.35">
      <c r="A72" t="str">
        <f>'Data Tables (M) no_cb_zip'!A72</f>
        <v>APR Impact</v>
      </c>
      <c r="B72">
        <f>'Data Tables (M) cb_zip'!B72-'Data Tables (M) no_cb_zip'!B72</f>
        <v>0</v>
      </c>
      <c r="C72">
        <f>'Data Tables (M) cb_zip'!C72-'Data Tables (M) no_cb_zip'!C72</f>
        <v>0</v>
      </c>
      <c r="D72">
        <f>'Data Tables (M) cb_zip'!D72-'Data Tables (M) no_cb_zip'!D72</f>
        <v>0</v>
      </c>
      <c r="E72">
        <f>'Data Tables (M) cb_zip'!E72-'Data Tables (M) no_cb_zip'!E72</f>
        <v>0</v>
      </c>
      <c r="F72">
        <f>'Data Tables (M) cb_zip'!F72-'Data Tables (M) no_cb_zip'!F72</f>
        <v>0</v>
      </c>
      <c r="G72">
        <f>'Data Tables (M) cb_zip'!G72-'Data Tables (M) no_cb_zip'!G72</f>
        <v>0</v>
      </c>
      <c r="H72">
        <f>'Data Tables (M) cb_zip'!H72-'Data Tables (M) no_cb_zip'!H72</f>
        <v>0</v>
      </c>
      <c r="I72">
        <f>'Data Tables (M) cb_zip'!I72-'Data Tables (M) no_cb_zip'!I72</f>
        <v>0</v>
      </c>
      <c r="J72">
        <f>'Data Tables (M) cb_zip'!J72-'Data Tables (M) no_cb_zip'!J72</f>
        <v>0</v>
      </c>
      <c r="K72">
        <f>'Data Tables (M) cb_zip'!K72-'Data Tables (M) no_cb_zip'!K72</f>
        <v>0</v>
      </c>
      <c r="L72">
        <f>'Data Tables (M) cb_zip'!L72-'Data Tables (M) no_cb_zip'!L72</f>
        <v>0</v>
      </c>
      <c r="M72">
        <f>'Data Tables (M) cb_zip'!M72-'Data Tables (M) no_cb_zip'!M72</f>
        <v>0</v>
      </c>
      <c r="N72">
        <f>'Data Tables (M) cb_zip'!N72-'Data Tables (M) no_cb_zip'!N72</f>
        <v>0</v>
      </c>
      <c r="O72">
        <f>'Data Tables (M) cb_zip'!O72-'Data Tables (M) no_cb_zip'!O72</f>
        <v>0</v>
      </c>
      <c r="P72">
        <f>'Data Tables (M) cb_zip'!P72-'Data Tables (M) no_cb_zip'!P72</f>
        <v>0</v>
      </c>
      <c r="Q72">
        <f>'Data Tables (M) cb_zip'!Q72-'Data Tables (M) no_cb_zip'!Q72</f>
        <v>0</v>
      </c>
      <c r="R72">
        <f>'Data Tables (M) cb_zip'!R72-'Data Tables (M) no_cb_zip'!R72</f>
        <v>0</v>
      </c>
      <c r="S72">
        <f>'Data Tables (M) cb_zip'!S72-'Data Tables (M) no_cb_zip'!S72</f>
        <v>0</v>
      </c>
      <c r="T72">
        <f>'Data Tables (M) cb_zip'!T72-'Data Tables (M) no_cb_zip'!T72</f>
        <v>0</v>
      </c>
      <c r="U72">
        <f>'Data Tables (M) cb_zip'!U72-'Data Tables (M) no_cb_zip'!U72</f>
        <v>0</v>
      </c>
      <c r="V72">
        <f>'Data Tables (M) cb_zip'!V72-'Data Tables (M) no_cb_zip'!V72</f>
        <v>0</v>
      </c>
    </row>
    <row r="73" spans="1:22" x14ac:dyDescent="0.35">
      <c r="A73" t="str">
        <f>'Data Tables (M) no_cb_zip'!A73</f>
        <v>RAGU Score</v>
      </c>
      <c r="B73">
        <f>'Data Tables (M) cb_zip'!B73-'Data Tables (M) no_cb_zip'!B73</f>
        <v>0.11977173163879229</v>
      </c>
      <c r="C73">
        <f>'Data Tables (M) cb_zip'!C73-'Data Tables (M) no_cb_zip'!C73</f>
        <v>0.12764972486718307</v>
      </c>
      <c r="D73">
        <f>'Data Tables (M) cb_zip'!D73-'Data Tables (M) no_cb_zip'!D73</f>
        <v>0.16421997465320715</v>
      </c>
      <c r="E73">
        <f>'Data Tables (M) cb_zip'!E73-'Data Tables (M) no_cb_zip'!E73</f>
        <v>8.4347431449600663E-2</v>
      </c>
      <c r="F73">
        <f>'Data Tables (M) cb_zip'!F73-'Data Tables (M) no_cb_zip'!F73</f>
        <v>7.2003117282093854E-2</v>
      </c>
      <c r="G73">
        <f>'Data Tables (M) cb_zip'!G73-'Data Tables (M) no_cb_zip'!G73</f>
        <v>7.8385726095007158E-2</v>
      </c>
      <c r="H73">
        <f>'Data Tables (M) cb_zip'!H73-'Data Tables (M) no_cb_zip'!H73</f>
        <v>6.1674444662401129E-2</v>
      </c>
      <c r="I73">
        <f>'Data Tables (M) cb_zip'!I73-'Data Tables (M) no_cb_zip'!I73</f>
        <v>9.7918386071000896E-2</v>
      </c>
      <c r="J73">
        <f>'Data Tables (M) cb_zip'!J73-'Data Tables (M) no_cb_zip'!J73</f>
        <v>0.14702636376480882</v>
      </c>
      <c r="K73">
        <f>'Data Tables (M) cb_zip'!K73-'Data Tables (M) no_cb_zip'!K73</f>
        <v>1.0071415444201648E-2</v>
      </c>
      <c r="L73">
        <f>'Data Tables (M) cb_zip'!L73-'Data Tables (M) no_cb_zip'!L73</f>
        <v>-1.0311936351001805E-2</v>
      </c>
      <c r="M73">
        <f>'Data Tables (M) cb_zip'!M73-'Data Tables (M) no_cb_zip'!M73</f>
        <v>-1.5283092570484769E-2</v>
      </c>
      <c r="N73">
        <f>'Data Tables (M) cb_zip'!N73-'Data Tables (M) no_cb_zip'!N73</f>
        <v>-7.3311093211998468E-3</v>
      </c>
      <c r="O73">
        <f>'Data Tables (M) cb_zip'!O73-'Data Tables (M) no_cb_zip'!O73</f>
        <v>-3.8458821203278148E-2</v>
      </c>
      <c r="P73">
        <f>'Data Tables (M) cb_zip'!P73-'Data Tables (M) no_cb_zip'!P73</f>
        <v>3.3637110559311623E-2</v>
      </c>
      <c r="Q73">
        <f>'Data Tables (M) cb_zip'!Q73-'Data Tables (M) no_cb_zip'!Q73</f>
        <v>-3.3322053850582734E-2</v>
      </c>
      <c r="R73">
        <f>'Data Tables (M) cb_zip'!R73-'Data Tables (M) no_cb_zip'!R73</f>
        <v>1.7984139479381156E-2</v>
      </c>
      <c r="S73">
        <f>'Data Tables (M) cb_zip'!S73-'Data Tables (M) no_cb_zip'!S73</f>
        <v>4.3368972206394574E-2</v>
      </c>
      <c r="T73">
        <f>'Data Tables (M) cb_zip'!T73-'Data Tables (M) no_cb_zip'!T73</f>
        <v>2.1310866649002946E-2</v>
      </c>
      <c r="U73">
        <f>'Data Tables (M) cb_zip'!U73-'Data Tables (M) no_cb_zip'!U73</f>
        <v>-2.8625473353400821E-2</v>
      </c>
      <c r="V73">
        <f>'Data Tables (M) cb_zip'!V73-'Data Tables (M) no_cb_zip'!V73</f>
        <v>4.4962786219002737E-3</v>
      </c>
    </row>
    <row r="74" spans="1:22" x14ac:dyDescent="0.35">
      <c r="A74" t="str">
        <f>'Data Tables (M) no_cb_zip'!A74</f>
        <v>Amount Financed</v>
      </c>
      <c r="B74">
        <f>'Data Tables (M) cb_zip'!B74-'Data Tables (M) no_cb_zip'!B74</f>
        <v>0</v>
      </c>
      <c r="C74">
        <f>'Data Tables (M) cb_zip'!C74-'Data Tables (M) no_cb_zip'!C74</f>
        <v>0</v>
      </c>
      <c r="D74">
        <f>'Data Tables (M) cb_zip'!D74-'Data Tables (M) no_cb_zip'!D74</f>
        <v>0</v>
      </c>
      <c r="E74">
        <f>'Data Tables (M) cb_zip'!E74-'Data Tables (M) no_cb_zip'!E74</f>
        <v>0</v>
      </c>
      <c r="F74">
        <f>'Data Tables (M) cb_zip'!F74-'Data Tables (M) no_cb_zip'!F74</f>
        <v>0</v>
      </c>
      <c r="G74">
        <f>'Data Tables (M) cb_zip'!G74-'Data Tables (M) no_cb_zip'!G74</f>
        <v>0</v>
      </c>
      <c r="H74">
        <f>'Data Tables (M) cb_zip'!H74-'Data Tables (M) no_cb_zip'!H74</f>
        <v>0</v>
      </c>
      <c r="I74">
        <f>'Data Tables (M) cb_zip'!I74-'Data Tables (M) no_cb_zip'!I74</f>
        <v>0</v>
      </c>
      <c r="J74">
        <f>'Data Tables (M) cb_zip'!J74-'Data Tables (M) no_cb_zip'!J74</f>
        <v>0</v>
      </c>
      <c r="K74">
        <f>'Data Tables (M) cb_zip'!K74-'Data Tables (M) no_cb_zip'!K74</f>
        <v>0</v>
      </c>
      <c r="L74">
        <f>'Data Tables (M) cb_zip'!L74-'Data Tables (M) no_cb_zip'!L74</f>
        <v>0</v>
      </c>
      <c r="M74">
        <f>'Data Tables (M) cb_zip'!M74-'Data Tables (M) no_cb_zip'!M74</f>
        <v>0</v>
      </c>
      <c r="N74">
        <f>'Data Tables (M) cb_zip'!N74-'Data Tables (M) no_cb_zip'!N74</f>
        <v>0</v>
      </c>
      <c r="O74">
        <f>'Data Tables (M) cb_zip'!O74-'Data Tables (M) no_cb_zip'!O74</f>
        <v>0</v>
      </c>
      <c r="P74">
        <f>'Data Tables (M) cb_zip'!P74-'Data Tables (M) no_cb_zip'!P74</f>
        <v>0</v>
      </c>
      <c r="Q74">
        <f>'Data Tables (M) cb_zip'!Q74-'Data Tables (M) no_cb_zip'!Q74</f>
        <v>0</v>
      </c>
      <c r="R74">
        <f>'Data Tables (M) cb_zip'!R74-'Data Tables (M) no_cb_zip'!R74</f>
        <v>0</v>
      </c>
      <c r="S74">
        <f>'Data Tables (M) cb_zip'!S74-'Data Tables (M) no_cb_zip'!S74</f>
        <v>0</v>
      </c>
      <c r="T74">
        <f>'Data Tables (M) cb_zip'!T74-'Data Tables (M) no_cb_zip'!T74</f>
        <v>0</v>
      </c>
      <c r="U74">
        <f>'Data Tables (M) cb_zip'!U74-'Data Tables (M) no_cb_zip'!U74</f>
        <v>0</v>
      </c>
      <c r="V74">
        <f>'Data Tables (M) cb_zip'!V74-'Data Tables (M) no_cb_zip'!V74</f>
        <v>0</v>
      </c>
    </row>
    <row r="75" spans="1:22" x14ac:dyDescent="0.35">
      <c r="A75" t="str">
        <f>'Data Tables (M) no_cb_zip'!A75</f>
        <v>Weighted LTV</v>
      </c>
      <c r="B75">
        <f>'Data Tables (M) cb_zip'!B75-'Data Tables (M) no_cb_zip'!B75</f>
        <v>0</v>
      </c>
      <c r="C75">
        <f>'Data Tables (M) cb_zip'!C75-'Data Tables (M) no_cb_zip'!C75</f>
        <v>0</v>
      </c>
      <c r="D75">
        <f>'Data Tables (M) cb_zip'!D75-'Data Tables (M) no_cb_zip'!D75</f>
        <v>0</v>
      </c>
      <c r="E75">
        <f>'Data Tables (M) cb_zip'!E75-'Data Tables (M) no_cb_zip'!E75</f>
        <v>0</v>
      </c>
      <c r="F75">
        <f>'Data Tables (M) cb_zip'!F75-'Data Tables (M) no_cb_zip'!F75</f>
        <v>0</v>
      </c>
      <c r="G75">
        <f>'Data Tables (M) cb_zip'!G75-'Data Tables (M) no_cb_zip'!G75</f>
        <v>0</v>
      </c>
      <c r="H75">
        <f>'Data Tables (M) cb_zip'!H75-'Data Tables (M) no_cb_zip'!H75</f>
        <v>0</v>
      </c>
      <c r="I75">
        <f>'Data Tables (M) cb_zip'!I75-'Data Tables (M) no_cb_zip'!I75</f>
        <v>0</v>
      </c>
      <c r="J75">
        <f>'Data Tables (M) cb_zip'!J75-'Data Tables (M) no_cb_zip'!J75</f>
        <v>0</v>
      </c>
      <c r="K75">
        <f>'Data Tables (M) cb_zip'!K75-'Data Tables (M) no_cb_zip'!K75</f>
        <v>0</v>
      </c>
      <c r="L75">
        <f>'Data Tables (M) cb_zip'!L75-'Data Tables (M) no_cb_zip'!L75</f>
        <v>0</v>
      </c>
      <c r="M75">
        <f>'Data Tables (M) cb_zip'!M75-'Data Tables (M) no_cb_zip'!M75</f>
        <v>0</v>
      </c>
      <c r="N75">
        <f>'Data Tables (M) cb_zip'!N75-'Data Tables (M) no_cb_zip'!N75</f>
        <v>0</v>
      </c>
      <c r="O75">
        <f>'Data Tables (M) cb_zip'!O75-'Data Tables (M) no_cb_zip'!O75</f>
        <v>0</v>
      </c>
      <c r="P75">
        <f>'Data Tables (M) cb_zip'!P75-'Data Tables (M) no_cb_zip'!P75</f>
        <v>0</v>
      </c>
      <c r="Q75">
        <f>'Data Tables (M) cb_zip'!Q75-'Data Tables (M) no_cb_zip'!Q75</f>
        <v>0</v>
      </c>
      <c r="R75">
        <f>'Data Tables (M) cb_zip'!R75-'Data Tables (M) no_cb_zip'!R75</f>
        <v>0</v>
      </c>
      <c r="S75">
        <f>'Data Tables (M) cb_zip'!S75-'Data Tables (M) no_cb_zip'!S75</f>
        <v>0</v>
      </c>
      <c r="T75">
        <f>'Data Tables (M) cb_zip'!T75-'Data Tables (M) no_cb_zip'!T75</f>
        <v>0</v>
      </c>
      <c r="U75">
        <f>'Data Tables (M) cb_zip'!U75-'Data Tables (M) no_cb_zip'!U75</f>
        <v>0</v>
      </c>
      <c r="V75">
        <f>'Data Tables (M) cb_zip'!V75-'Data Tables (M) no_cb_zip'!V75</f>
        <v>0</v>
      </c>
    </row>
    <row r="76" spans="1:22" x14ac:dyDescent="0.35">
      <c r="A76" t="str">
        <f>'Data Tables (M) no_cb_zip'!A76</f>
        <v>Weighted APR</v>
      </c>
      <c r="B76">
        <f>'Data Tables (M) cb_zip'!B76-'Data Tables (M) no_cb_zip'!B76</f>
        <v>0</v>
      </c>
      <c r="C76">
        <f>'Data Tables (M) cb_zip'!C76-'Data Tables (M) no_cb_zip'!C76</f>
        <v>0</v>
      </c>
      <c r="D76">
        <f>'Data Tables (M) cb_zip'!D76-'Data Tables (M) no_cb_zip'!D76</f>
        <v>0</v>
      </c>
      <c r="E76">
        <f>'Data Tables (M) cb_zip'!E76-'Data Tables (M) no_cb_zip'!E76</f>
        <v>0</v>
      </c>
      <c r="F76">
        <f>'Data Tables (M) cb_zip'!F76-'Data Tables (M) no_cb_zip'!F76</f>
        <v>0</v>
      </c>
      <c r="G76">
        <f>'Data Tables (M) cb_zip'!G76-'Data Tables (M) no_cb_zip'!G76</f>
        <v>0</v>
      </c>
      <c r="H76">
        <f>'Data Tables (M) cb_zip'!H76-'Data Tables (M) no_cb_zip'!H76</f>
        <v>0</v>
      </c>
      <c r="I76">
        <f>'Data Tables (M) cb_zip'!I76-'Data Tables (M) no_cb_zip'!I76</f>
        <v>0</v>
      </c>
      <c r="J76">
        <f>'Data Tables (M) cb_zip'!J76-'Data Tables (M) no_cb_zip'!J76</f>
        <v>0</v>
      </c>
      <c r="K76">
        <f>'Data Tables (M) cb_zip'!K76-'Data Tables (M) no_cb_zip'!K76</f>
        <v>0</v>
      </c>
      <c r="L76">
        <f>'Data Tables (M) cb_zip'!L76-'Data Tables (M) no_cb_zip'!L76</f>
        <v>0</v>
      </c>
      <c r="M76">
        <f>'Data Tables (M) cb_zip'!M76-'Data Tables (M) no_cb_zip'!M76</f>
        <v>0</v>
      </c>
      <c r="N76">
        <f>'Data Tables (M) cb_zip'!N76-'Data Tables (M) no_cb_zip'!N76</f>
        <v>0</v>
      </c>
      <c r="O76">
        <f>'Data Tables (M) cb_zip'!O76-'Data Tables (M) no_cb_zip'!O76</f>
        <v>0</v>
      </c>
      <c r="P76">
        <f>'Data Tables (M) cb_zip'!P76-'Data Tables (M) no_cb_zip'!P76</f>
        <v>0</v>
      </c>
      <c r="Q76">
        <f>'Data Tables (M) cb_zip'!Q76-'Data Tables (M) no_cb_zip'!Q76</f>
        <v>0</v>
      </c>
      <c r="R76">
        <f>'Data Tables (M) cb_zip'!R76-'Data Tables (M) no_cb_zip'!R76</f>
        <v>0</v>
      </c>
      <c r="S76">
        <f>'Data Tables (M) cb_zip'!S76-'Data Tables (M) no_cb_zip'!S76</f>
        <v>0</v>
      </c>
      <c r="T76">
        <f>'Data Tables (M) cb_zip'!T76-'Data Tables (M) no_cb_zip'!T76</f>
        <v>0</v>
      </c>
      <c r="U76">
        <f>'Data Tables (M) cb_zip'!U76-'Data Tables (M) no_cb_zip'!U76</f>
        <v>0</v>
      </c>
      <c r="V76">
        <f>'Data Tables (M) cb_zip'!V76-'Data Tables (M) no_cb_zip'!V76</f>
        <v>0</v>
      </c>
    </row>
    <row r="77" spans="1:22" x14ac:dyDescent="0.35">
      <c r="A77">
        <f>'Data Tables (M) no_cb_zip'!A77</f>
        <v>0</v>
      </c>
      <c r="B77">
        <f>'Data Tables (M) cb_zip'!B77-'Data Tables (M) no_cb_zip'!B77</f>
        <v>0</v>
      </c>
      <c r="C77">
        <f>'Data Tables (M) cb_zip'!C77-'Data Tables (M) no_cb_zip'!C77</f>
        <v>0</v>
      </c>
      <c r="D77">
        <f>'Data Tables (M) cb_zip'!D77-'Data Tables (M) no_cb_zip'!D77</f>
        <v>0</v>
      </c>
      <c r="E77">
        <f>'Data Tables (M) cb_zip'!E77-'Data Tables (M) no_cb_zip'!E77</f>
        <v>0</v>
      </c>
      <c r="F77">
        <f>'Data Tables (M) cb_zip'!F77-'Data Tables (M) no_cb_zip'!F77</f>
        <v>0</v>
      </c>
      <c r="G77">
        <f>'Data Tables (M) cb_zip'!G77-'Data Tables (M) no_cb_zip'!G77</f>
        <v>0</v>
      </c>
      <c r="H77">
        <f>'Data Tables (M) cb_zip'!H77-'Data Tables (M) no_cb_zip'!H77</f>
        <v>0</v>
      </c>
      <c r="I77">
        <f>'Data Tables (M) cb_zip'!I77-'Data Tables (M) no_cb_zip'!I77</f>
        <v>0</v>
      </c>
      <c r="J77">
        <f>'Data Tables (M) cb_zip'!J77-'Data Tables (M) no_cb_zip'!J77</f>
        <v>0</v>
      </c>
      <c r="K77">
        <f>'Data Tables (M) cb_zip'!K77-'Data Tables (M) no_cb_zip'!K77</f>
        <v>0</v>
      </c>
      <c r="L77">
        <f>'Data Tables (M) cb_zip'!L77-'Data Tables (M) no_cb_zip'!L77</f>
        <v>0</v>
      </c>
      <c r="M77">
        <f>'Data Tables (M) cb_zip'!M77-'Data Tables (M) no_cb_zip'!M77</f>
        <v>0</v>
      </c>
      <c r="N77">
        <f>'Data Tables (M) cb_zip'!N77-'Data Tables (M) no_cb_zip'!N77</f>
        <v>0</v>
      </c>
      <c r="O77">
        <f>'Data Tables (M) cb_zip'!O77-'Data Tables (M) no_cb_zip'!O77</f>
        <v>0</v>
      </c>
      <c r="P77">
        <f>'Data Tables (M) cb_zip'!P77-'Data Tables (M) no_cb_zip'!P77</f>
        <v>0</v>
      </c>
      <c r="Q77">
        <f>'Data Tables (M) cb_zip'!Q77-'Data Tables (M) no_cb_zip'!Q77</f>
        <v>0</v>
      </c>
      <c r="R77">
        <f>'Data Tables (M) cb_zip'!R77-'Data Tables (M) no_cb_zip'!R77</f>
        <v>0</v>
      </c>
      <c r="S77">
        <f>'Data Tables (M) cb_zip'!S77-'Data Tables (M) no_cb_zip'!S77</f>
        <v>0</v>
      </c>
      <c r="T77">
        <f>'Data Tables (M) cb_zip'!T77-'Data Tables (M) no_cb_zip'!T77</f>
        <v>0</v>
      </c>
      <c r="U77">
        <f>'Data Tables (M) cb_zip'!U77-'Data Tables (M) no_cb_zip'!U77</f>
        <v>0</v>
      </c>
      <c r="V77">
        <f>'Data Tables (M) cb_zip'!V77-'Data Tables (M) no_cb_zip'!V77</f>
        <v>0</v>
      </c>
    </row>
    <row r="78" spans="1:22" x14ac:dyDescent="0.35">
      <c r="A78" t="str">
        <f>'Data Tables (M) no_cb_zip'!A78</f>
        <v>nonKMX</v>
      </c>
      <c r="B78" t="e">
        <f>'Data Tables (M) cb_zip'!B78-'Data Tables (M) no_cb_zip'!B78</f>
        <v>#VALUE!</v>
      </c>
      <c r="C78" t="e">
        <f>'Data Tables (M) cb_zip'!C78-'Data Tables (M) no_cb_zip'!C78</f>
        <v>#VALUE!</v>
      </c>
      <c r="D78" t="e">
        <f>'Data Tables (M) cb_zip'!D78-'Data Tables (M) no_cb_zip'!D78</f>
        <v>#VALUE!</v>
      </c>
      <c r="E78" t="e">
        <f>'Data Tables (M) cb_zip'!E78-'Data Tables (M) no_cb_zip'!E78</f>
        <v>#VALUE!</v>
      </c>
      <c r="F78" t="e">
        <f>'Data Tables (M) cb_zip'!F78-'Data Tables (M) no_cb_zip'!F78</f>
        <v>#VALUE!</v>
      </c>
      <c r="G78" t="e">
        <f>'Data Tables (M) cb_zip'!G78-'Data Tables (M) no_cb_zip'!G78</f>
        <v>#VALUE!</v>
      </c>
      <c r="H78" t="e">
        <f>'Data Tables (M) cb_zip'!H78-'Data Tables (M) no_cb_zip'!H78</f>
        <v>#VALUE!</v>
      </c>
      <c r="I78" t="e">
        <f>'Data Tables (M) cb_zip'!I78-'Data Tables (M) no_cb_zip'!I78</f>
        <v>#VALUE!</v>
      </c>
      <c r="J78" t="e">
        <f>'Data Tables (M) cb_zip'!J78-'Data Tables (M) no_cb_zip'!J78</f>
        <v>#VALUE!</v>
      </c>
      <c r="K78" t="e">
        <f>'Data Tables (M) cb_zip'!K78-'Data Tables (M) no_cb_zip'!K78</f>
        <v>#VALUE!</v>
      </c>
      <c r="L78" t="e">
        <f>'Data Tables (M) cb_zip'!L78-'Data Tables (M) no_cb_zip'!L78</f>
        <v>#VALUE!</v>
      </c>
      <c r="M78" t="e">
        <f>'Data Tables (M) cb_zip'!M78-'Data Tables (M) no_cb_zip'!M78</f>
        <v>#VALUE!</v>
      </c>
      <c r="N78" t="e">
        <f>'Data Tables (M) cb_zip'!N78-'Data Tables (M) no_cb_zip'!N78</f>
        <v>#VALUE!</v>
      </c>
      <c r="O78" t="e">
        <f>'Data Tables (M) cb_zip'!O78-'Data Tables (M) no_cb_zip'!O78</f>
        <v>#VALUE!</v>
      </c>
      <c r="P78" t="e">
        <f>'Data Tables (M) cb_zip'!P78-'Data Tables (M) no_cb_zip'!P78</f>
        <v>#VALUE!</v>
      </c>
      <c r="Q78" t="e">
        <f>'Data Tables (M) cb_zip'!Q78-'Data Tables (M) no_cb_zip'!Q78</f>
        <v>#VALUE!</v>
      </c>
      <c r="R78" t="e">
        <f>'Data Tables (M) cb_zip'!R78-'Data Tables (M) no_cb_zip'!R78</f>
        <v>#VALUE!</v>
      </c>
      <c r="S78" t="e">
        <f>'Data Tables (M) cb_zip'!S78-'Data Tables (M) no_cb_zip'!S78</f>
        <v>#VALUE!</v>
      </c>
      <c r="T78" t="e">
        <f>'Data Tables (M) cb_zip'!T78-'Data Tables (M) no_cb_zip'!T78</f>
        <v>#VALUE!</v>
      </c>
      <c r="U78" t="e">
        <f>'Data Tables (M) cb_zip'!U78-'Data Tables (M) no_cb_zip'!U78</f>
        <v>#VALUE!</v>
      </c>
      <c r="V78" t="e">
        <f>'Data Tables (M) cb_zip'!V78-'Data Tables (M) no_cb_zip'!V78</f>
        <v>#VALUE!</v>
      </c>
    </row>
    <row r="79" spans="1:22" x14ac:dyDescent="0.35">
      <c r="A79" t="str">
        <f>'Data Tables (M) no_cb_zip'!A79</f>
        <v>Model Score</v>
      </c>
      <c r="B79">
        <f>'Data Tables (M) cb_zip'!B79-'Data Tables (M) no_cb_zip'!B79</f>
        <v>0</v>
      </c>
      <c r="C79">
        <f>'Data Tables (M) cb_zip'!C79-'Data Tables (M) no_cb_zip'!C79</f>
        <v>0</v>
      </c>
      <c r="D79">
        <f>'Data Tables (M) cb_zip'!D79-'Data Tables (M) no_cb_zip'!D79</f>
        <v>0</v>
      </c>
      <c r="E79">
        <f>'Data Tables (M) cb_zip'!E79-'Data Tables (M) no_cb_zip'!E79</f>
        <v>0</v>
      </c>
      <c r="F79">
        <f>'Data Tables (M) cb_zip'!F79-'Data Tables (M) no_cb_zip'!F79</f>
        <v>0</v>
      </c>
      <c r="G79">
        <f>'Data Tables (M) cb_zip'!G79-'Data Tables (M) no_cb_zip'!G79</f>
        <v>0</v>
      </c>
      <c r="H79">
        <f>'Data Tables (M) cb_zip'!H79-'Data Tables (M) no_cb_zip'!H79</f>
        <v>0</v>
      </c>
      <c r="I79">
        <f>'Data Tables (M) cb_zip'!I79-'Data Tables (M) no_cb_zip'!I79</f>
        <v>0</v>
      </c>
      <c r="J79">
        <f>'Data Tables (M) cb_zip'!J79-'Data Tables (M) no_cb_zip'!J79</f>
        <v>0</v>
      </c>
      <c r="K79">
        <f>'Data Tables (M) cb_zip'!K79-'Data Tables (M) no_cb_zip'!K79</f>
        <v>0</v>
      </c>
      <c r="L79">
        <f>'Data Tables (M) cb_zip'!L79-'Data Tables (M) no_cb_zip'!L79</f>
        <v>0</v>
      </c>
      <c r="M79">
        <f>'Data Tables (M) cb_zip'!M79-'Data Tables (M) no_cb_zip'!M79</f>
        <v>0</v>
      </c>
      <c r="N79">
        <f>'Data Tables (M) cb_zip'!N79-'Data Tables (M) no_cb_zip'!N79</f>
        <v>0</v>
      </c>
      <c r="O79">
        <f>'Data Tables (M) cb_zip'!O79-'Data Tables (M) no_cb_zip'!O79</f>
        <v>0</v>
      </c>
      <c r="P79">
        <f>'Data Tables (M) cb_zip'!P79-'Data Tables (M) no_cb_zip'!P79</f>
        <v>0</v>
      </c>
      <c r="Q79">
        <f>'Data Tables (M) cb_zip'!Q79-'Data Tables (M) no_cb_zip'!Q79</f>
        <v>0</v>
      </c>
      <c r="R79">
        <f>'Data Tables (M) cb_zip'!R79-'Data Tables (M) no_cb_zip'!R79</f>
        <v>0</v>
      </c>
      <c r="S79">
        <f>'Data Tables (M) cb_zip'!S79-'Data Tables (M) no_cb_zip'!S79</f>
        <v>0</v>
      </c>
      <c r="T79">
        <f>'Data Tables (M) cb_zip'!T79-'Data Tables (M) no_cb_zip'!T79</f>
        <v>0</v>
      </c>
      <c r="U79">
        <f>'Data Tables (M) cb_zip'!U79-'Data Tables (M) no_cb_zip'!U79</f>
        <v>0</v>
      </c>
      <c r="V79">
        <f>'Data Tables (M) cb_zip'!V79-'Data Tables (M) no_cb_zip'!V79</f>
        <v>0</v>
      </c>
    </row>
    <row r="80" spans="1:22" x14ac:dyDescent="0.35">
      <c r="A80" t="str">
        <f>'Data Tables (M) no_cb_zip'!A80</f>
        <v>Expected Gross Loss Impact</v>
      </c>
      <c r="B80">
        <f>'Data Tables (M) cb_zip'!B80-'Data Tables (M) no_cb_zip'!B80</f>
        <v>0.15675523415716636</v>
      </c>
      <c r="C80">
        <f>'Data Tables (M) cb_zip'!C80-'Data Tables (M) no_cb_zip'!C80</f>
        <v>0.1406780330212013</v>
      </c>
      <c r="D80">
        <f>'Data Tables (M) cb_zip'!D80-'Data Tables (M) no_cb_zip'!D80</f>
        <v>0.19198034893715493</v>
      </c>
      <c r="E80">
        <f>'Data Tables (M) cb_zip'!E80-'Data Tables (M) no_cb_zip'!E80</f>
        <v>0.12525402373233904</v>
      </c>
      <c r="F80">
        <f>'Data Tables (M) cb_zip'!F80-'Data Tables (M) no_cb_zip'!F80</f>
        <v>9.9771833002357146E-2</v>
      </c>
      <c r="G80">
        <f>'Data Tables (M) cb_zip'!G80-'Data Tables (M) no_cb_zip'!G80</f>
        <v>0.10917609669967299</v>
      </c>
      <c r="H80">
        <f>'Data Tables (M) cb_zip'!H80-'Data Tables (M) no_cb_zip'!H80</f>
        <v>9.1859208079784815E-2</v>
      </c>
      <c r="I80">
        <f>'Data Tables (M) cb_zip'!I80-'Data Tables (M) no_cb_zip'!I80</f>
        <v>0.12052165770515932</v>
      </c>
      <c r="J80">
        <f>'Data Tables (M) cb_zip'!J80-'Data Tables (M) no_cb_zip'!J80</f>
        <v>0.17245853069707362</v>
      </c>
      <c r="K80">
        <f>'Data Tables (M) cb_zip'!K80-'Data Tables (M) no_cb_zip'!K80</f>
        <v>5.3772427033237591E-2</v>
      </c>
      <c r="L80">
        <f>'Data Tables (M) cb_zip'!L80-'Data Tables (M) no_cb_zip'!L80</f>
        <v>2.6625305518565456E-2</v>
      </c>
      <c r="M80">
        <f>'Data Tables (M) cb_zip'!M80-'Data Tables (M) no_cb_zip'!M80</f>
        <v>2.1117351831444031E-2</v>
      </c>
      <c r="N80">
        <f>'Data Tables (M) cb_zip'!N80-'Data Tables (M) no_cb_zip'!N80</f>
        <v>1.2220049483715023E-2</v>
      </c>
      <c r="O80">
        <f>'Data Tables (M) cb_zip'!O80-'Data Tables (M) no_cb_zip'!O80</f>
        <v>-1.6131911938499499E-4</v>
      </c>
      <c r="P80">
        <f>'Data Tables (M) cb_zip'!P80-'Data Tables (M) no_cb_zip'!P80</f>
        <v>5.5840724358177996E-2</v>
      </c>
      <c r="Q80">
        <f>'Data Tables (M) cb_zip'!Q80-'Data Tables (M) no_cb_zip'!Q80</f>
        <v>-1.575958169215208E-2</v>
      </c>
      <c r="R80">
        <f>'Data Tables (M) cb_zip'!R80-'Data Tables (M) no_cb_zip'!R80</f>
        <v>3.2142561485491994E-2</v>
      </c>
      <c r="S80">
        <f>'Data Tables (M) cb_zip'!S80-'Data Tables (M) no_cb_zip'!S80</f>
        <v>4.8624974034590984E-2</v>
      </c>
      <c r="T80">
        <f>'Data Tables (M) cb_zip'!T80-'Data Tables (M) no_cb_zip'!T80</f>
        <v>3.1976977205335988E-2</v>
      </c>
      <c r="U80">
        <f>'Data Tables (M) cb_zip'!U80-'Data Tables (M) no_cb_zip'!U80</f>
        <v>-1.7495349761760037E-2</v>
      </c>
      <c r="V80">
        <f>'Data Tables (M) cb_zip'!V80-'Data Tables (M) no_cb_zip'!V80</f>
        <v>1.2399749873132304E-2</v>
      </c>
    </row>
    <row r="81" spans="1:22" x14ac:dyDescent="0.35">
      <c r="A81" t="str">
        <f>'Data Tables (M) no_cb_zip'!A81</f>
        <v>Recovery Impact</v>
      </c>
      <c r="B81">
        <f>'Data Tables (M) cb_zip'!B81-'Data Tables (M) no_cb_zip'!B81</f>
        <v>3.3653013746026694E-3</v>
      </c>
      <c r="C81">
        <f>'Data Tables (M) cb_zip'!C81-'Data Tables (M) no_cb_zip'!C81</f>
        <v>2.8153279975398071E-3</v>
      </c>
      <c r="D81">
        <f>'Data Tables (M) cb_zip'!D81-'Data Tables (M) no_cb_zip'!D81</f>
        <v>3.1274454080409964E-3</v>
      </c>
      <c r="E81">
        <f>'Data Tables (M) cb_zip'!E81-'Data Tables (M) no_cb_zip'!E81</f>
        <v>1.9804211513021475E-3</v>
      </c>
      <c r="F81">
        <f>'Data Tables (M) cb_zip'!F81-'Data Tables (M) no_cb_zip'!F81</f>
        <v>1.8546712721119185E-3</v>
      </c>
      <c r="G81">
        <f>'Data Tables (M) cb_zip'!G81-'Data Tables (M) no_cb_zip'!G81</f>
        <v>2.223562987368144E-3</v>
      </c>
      <c r="H81">
        <f>'Data Tables (M) cb_zip'!H81-'Data Tables (M) no_cb_zip'!H81</f>
        <v>1.9121784789524199E-3</v>
      </c>
      <c r="I81">
        <f>'Data Tables (M) cb_zip'!I81-'Data Tables (M) no_cb_zip'!I81</f>
        <v>2.2422771532859542E-3</v>
      </c>
      <c r="J81">
        <f>'Data Tables (M) cb_zip'!J81-'Data Tables (M) no_cb_zip'!J81</f>
        <v>3.5016404989711702E-3</v>
      </c>
      <c r="K81">
        <f>'Data Tables (M) cb_zip'!K81-'Data Tables (M) no_cb_zip'!K81</f>
        <v>1.3872116380388988E-3</v>
      </c>
      <c r="L81">
        <f>'Data Tables (M) cb_zip'!L81-'Data Tables (M) no_cb_zip'!L81</f>
        <v>7.9998905963485356E-4</v>
      </c>
      <c r="M81">
        <f>'Data Tables (M) cb_zip'!M81-'Data Tables (M) no_cb_zip'!M81</f>
        <v>6.8372097288893485E-4</v>
      </c>
      <c r="N81">
        <f>'Data Tables (M) cb_zip'!N81-'Data Tables (M) no_cb_zip'!N81</f>
        <v>4.9849540243185331E-4</v>
      </c>
      <c r="O81">
        <f>'Data Tables (M) cb_zip'!O81-'Data Tables (M) no_cb_zip'!O81</f>
        <v>2.7069026595682999E-4</v>
      </c>
      <c r="P81">
        <f>'Data Tables (M) cb_zip'!P81-'Data Tables (M) no_cb_zip'!P81</f>
        <v>1.1882385407120388E-3</v>
      </c>
      <c r="Q81">
        <f>'Data Tables (M) cb_zip'!Q81-'Data Tables (M) no_cb_zip'!Q81</f>
        <v>-1.4386632125207299E-4</v>
      </c>
      <c r="R81">
        <f>'Data Tables (M) cb_zip'!R81-'Data Tables (M) no_cb_zip'!R81</f>
        <v>7.3210792456590568E-4</v>
      </c>
      <c r="S81">
        <f>'Data Tables (M) cb_zip'!S81-'Data Tables (M) no_cb_zip'!S81</f>
        <v>1.2158814549008135E-3</v>
      </c>
      <c r="T81">
        <f>'Data Tables (M) cb_zip'!T81-'Data Tables (M) no_cb_zip'!T81</f>
        <v>6.406126737350526E-4</v>
      </c>
      <c r="U81">
        <f>'Data Tables (M) cb_zip'!U81-'Data Tables (M) no_cb_zip'!U81</f>
        <v>-5.0413679118621602E-4</v>
      </c>
      <c r="V81">
        <f>'Data Tables (M) cb_zip'!V81-'Data Tables (M) no_cb_zip'!V81</f>
        <v>1.3660564749917725E-4</v>
      </c>
    </row>
    <row r="82" spans="1:22" x14ac:dyDescent="0.35">
      <c r="A82" t="str">
        <f>'Data Tables (M) no_cb_zip'!A82</f>
        <v>LTV Impact</v>
      </c>
      <c r="B82">
        <f>'Data Tables (M) cb_zip'!B82-'Data Tables (M) no_cb_zip'!B82</f>
        <v>0</v>
      </c>
      <c r="C82">
        <f>'Data Tables (M) cb_zip'!C82-'Data Tables (M) no_cb_zip'!C82</f>
        <v>0</v>
      </c>
      <c r="D82">
        <f>'Data Tables (M) cb_zip'!D82-'Data Tables (M) no_cb_zip'!D82</f>
        <v>0</v>
      </c>
      <c r="E82">
        <f>'Data Tables (M) cb_zip'!E82-'Data Tables (M) no_cb_zip'!E82</f>
        <v>0</v>
      </c>
      <c r="F82">
        <f>'Data Tables (M) cb_zip'!F82-'Data Tables (M) no_cb_zip'!F82</f>
        <v>0</v>
      </c>
      <c r="G82">
        <f>'Data Tables (M) cb_zip'!G82-'Data Tables (M) no_cb_zip'!G82</f>
        <v>0</v>
      </c>
      <c r="H82">
        <f>'Data Tables (M) cb_zip'!H82-'Data Tables (M) no_cb_zip'!H82</f>
        <v>0</v>
      </c>
      <c r="I82">
        <f>'Data Tables (M) cb_zip'!I82-'Data Tables (M) no_cb_zip'!I82</f>
        <v>0</v>
      </c>
      <c r="J82">
        <f>'Data Tables (M) cb_zip'!J82-'Data Tables (M) no_cb_zip'!J82</f>
        <v>0</v>
      </c>
      <c r="K82">
        <f>'Data Tables (M) cb_zip'!K82-'Data Tables (M) no_cb_zip'!K82</f>
        <v>0</v>
      </c>
      <c r="L82">
        <f>'Data Tables (M) cb_zip'!L82-'Data Tables (M) no_cb_zip'!L82</f>
        <v>0</v>
      </c>
      <c r="M82">
        <f>'Data Tables (M) cb_zip'!M82-'Data Tables (M) no_cb_zip'!M82</f>
        <v>0</v>
      </c>
      <c r="N82">
        <f>'Data Tables (M) cb_zip'!N82-'Data Tables (M) no_cb_zip'!N82</f>
        <v>0</v>
      </c>
      <c r="O82">
        <f>'Data Tables (M) cb_zip'!O82-'Data Tables (M) no_cb_zip'!O82</f>
        <v>0</v>
      </c>
      <c r="P82">
        <f>'Data Tables (M) cb_zip'!P82-'Data Tables (M) no_cb_zip'!P82</f>
        <v>0</v>
      </c>
      <c r="Q82">
        <f>'Data Tables (M) cb_zip'!Q82-'Data Tables (M) no_cb_zip'!Q82</f>
        <v>0</v>
      </c>
      <c r="R82">
        <f>'Data Tables (M) cb_zip'!R82-'Data Tables (M) no_cb_zip'!R82</f>
        <v>0</v>
      </c>
      <c r="S82">
        <f>'Data Tables (M) cb_zip'!S82-'Data Tables (M) no_cb_zip'!S82</f>
        <v>0</v>
      </c>
      <c r="T82">
        <f>'Data Tables (M) cb_zip'!T82-'Data Tables (M) no_cb_zip'!T82</f>
        <v>0</v>
      </c>
      <c r="U82">
        <f>'Data Tables (M) cb_zip'!U82-'Data Tables (M) no_cb_zip'!U82</f>
        <v>0</v>
      </c>
      <c r="V82">
        <f>'Data Tables (M) cb_zip'!V82-'Data Tables (M) no_cb_zip'!V82</f>
        <v>0</v>
      </c>
    </row>
    <row r="83" spans="1:22" x14ac:dyDescent="0.35">
      <c r="A83" t="str">
        <f>'Data Tables (M) no_cb_zip'!A83</f>
        <v>APR Impact</v>
      </c>
      <c r="B83">
        <f>'Data Tables (M) cb_zip'!B83-'Data Tables (M) no_cb_zip'!B83</f>
        <v>0</v>
      </c>
      <c r="C83">
        <f>'Data Tables (M) cb_zip'!C83-'Data Tables (M) no_cb_zip'!C83</f>
        <v>0</v>
      </c>
      <c r="D83">
        <f>'Data Tables (M) cb_zip'!D83-'Data Tables (M) no_cb_zip'!D83</f>
        <v>0</v>
      </c>
      <c r="E83">
        <f>'Data Tables (M) cb_zip'!E83-'Data Tables (M) no_cb_zip'!E83</f>
        <v>0</v>
      </c>
      <c r="F83">
        <f>'Data Tables (M) cb_zip'!F83-'Data Tables (M) no_cb_zip'!F83</f>
        <v>0</v>
      </c>
      <c r="G83">
        <f>'Data Tables (M) cb_zip'!G83-'Data Tables (M) no_cb_zip'!G83</f>
        <v>0</v>
      </c>
      <c r="H83">
        <f>'Data Tables (M) cb_zip'!H83-'Data Tables (M) no_cb_zip'!H83</f>
        <v>0</v>
      </c>
      <c r="I83">
        <f>'Data Tables (M) cb_zip'!I83-'Data Tables (M) no_cb_zip'!I83</f>
        <v>0</v>
      </c>
      <c r="J83">
        <f>'Data Tables (M) cb_zip'!J83-'Data Tables (M) no_cb_zip'!J83</f>
        <v>0</v>
      </c>
      <c r="K83">
        <f>'Data Tables (M) cb_zip'!K83-'Data Tables (M) no_cb_zip'!K83</f>
        <v>0</v>
      </c>
      <c r="L83">
        <f>'Data Tables (M) cb_zip'!L83-'Data Tables (M) no_cb_zip'!L83</f>
        <v>0</v>
      </c>
      <c r="M83">
        <f>'Data Tables (M) cb_zip'!M83-'Data Tables (M) no_cb_zip'!M83</f>
        <v>0</v>
      </c>
      <c r="N83">
        <f>'Data Tables (M) cb_zip'!N83-'Data Tables (M) no_cb_zip'!N83</f>
        <v>0</v>
      </c>
      <c r="O83">
        <f>'Data Tables (M) cb_zip'!O83-'Data Tables (M) no_cb_zip'!O83</f>
        <v>0</v>
      </c>
      <c r="P83">
        <f>'Data Tables (M) cb_zip'!P83-'Data Tables (M) no_cb_zip'!P83</f>
        <v>0</v>
      </c>
      <c r="Q83">
        <f>'Data Tables (M) cb_zip'!Q83-'Data Tables (M) no_cb_zip'!Q83</f>
        <v>0</v>
      </c>
      <c r="R83">
        <f>'Data Tables (M) cb_zip'!R83-'Data Tables (M) no_cb_zip'!R83</f>
        <v>0</v>
      </c>
      <c r="S83">
        <f>'Data Tables (M) cb_zip'!S83-'Data Tables (M) no_cb_zip'!S83</f>
        <v>0</v>
      </c>
      <c r="T83">
        <f>'Data Tables (M) cb_zip'!T83-'Data Tables (M) no_cb_zip'!T83</f>
        <v>0</v>
      </c>
      <c r="U83">
        <f>'Data Tables (M) cb_zip'!U83-'Data Tables (M) no_cb_zip'!U83</f>
        <v>0</v>
      </c>
      <c r="V83">
        <f>'Data Tables (M) cb_zip'!V83-'Data Tables (M) no_cb_zip'!V83</f>
        <v>0</v>
      </c>
    </row>
    <row r="84" spans="1:22" x14ac:dyDescent="0.35">
      <c r="A84" t="str">
        <f>'Data Tables (M) no_cb_zip'!A84</f>
        <v>RAGU Score</v>
      </c>
      <c r="B84">
        <f>'Data Tables (M) cb_zip'!B84-'Data Tables (M) no_cb_zip'!B84</f>
        <v>0.16012053553177452</v>
      </c>
      <c r="C84">
        <f>'Data Tables (M) cb_zip'!C84-'Data Tables (M) no_cb_zip'!C84</f>
        <v>0.14349336101881249</v>
      </c>
      <c r="D84">
        <f>'Data Tables (M) cb_zip'!D84-'Data Tables (M) no_cb_zip'!D84</f>
        <v>0.19510779434520487</v>
      </c>
      <c r="E84">
        <f>'Data Tables (M) cb_zip'!E84-'Data Tables (M) no_cb_zip'!E84</f>
        <v>0.12723444488361224</v>
      </c>
      <c r="F84">
        <f>'Data Tables (M) cb_zip'!F84-'Data Tables (M) no_cb_zip'!F84</f>
        <v>0.10162650427449194</v>
      </c>
      <c r="G84">
        <f>'Data Tables (M) cb_zip'!G84-'Data Tables (M) no_cb_zip'!G84</f>
        <v>0.11139965968709475</v>
      </c>
      <c r="H84">
        <f>'Data Tables (M) cb_zip'!H84-'Data Tables (M) no_cb_zip'!H84</f>
        <v>9.3771386558699987E-2</v>
      </c>
      <c r="I84">
        <f>'Data Tables (M) cb_zip'!I84-'Data Tables (M) no_cb_zip'!I84</f>
        <v>0.12276393485839776</v>
      </c>
      <c r="J84">
        <f>'Data Tables (M) cb_zip'!J84-'Data Tables (M) no_cb_zip'!J84</f>
        <v>0.17596017119598173</v>
      </c>
      <c r="K84">
        <f>'Data Tables (M) cb_zip'!K84-'Data Tables (M) no_cb_zip'!K84</f>
        <v>5.5159638671312905E-2</v>
      </c>
      <c r="L84">
        <f>'Data Tables (M) cb_zip'!L84-'Data Tables (M) no_cb_zip'!L84</f>
        <v>2.7425294578193871E-2</v>
      </c>
      <c r="M84">
        <f>'Data Tables (M) cb_zip'!M84-'Data Tables (M) no_cb_zip'!M84</f>
        <v>2.1801072804407795E-2</v>
      </c>
      <c r="N84">
        <f>'Data Tables (M) cb_zip'!N84-'Data Tables (M) no_cb_zip'!N84</f>
        <v>1.2718544886098471E-2</v>
      </c>
      <c r="O84">
        <f>'Data Tables (M) cb_zip'!O84-'Data Tables (M) no_cb_zip'!O84</f>
        <v>1.0937114660691805E-4</v>
      </c>
      <c r="P84">
        <f>'Data Tables (M) cb_zip'!P84-'Data Tables (M) no_cb_zip'!P84</f>
        <v>5.7028962898812097E-2</v>
      </c>
      <c r="Q84">
        <f>'Data Tables (M) cb_zip'!Q84-'Data Tables (M) no_cb_zip'!Q84</f>
        <v>-1.5903448013403931E-2</v>
      </c>
      <c r="R84">
        <f>'Data Tables (M) cb_zip'!R84-'Data Tables (M) no_cb_zip'!R84</f>
        <v>3.287466941011985E-2</v>
      </c>
      <c r="S84">
        <f>'Data Tables (M) cb_zip'!S84-'Data Tables (M) no_cb_zip'!S84</f>
        <v>4.9840855489492242E-2</v>
      </c>
      <c r="T84">
        <f>'Data Tables (M) cb_zip'!T84-'Data Tables (M) no_cb_zip'!T84</f>
        <v>3.2617589879123443E-2</v>
      </c>
      <c r="U84">
        <f>'Data Tables (M) cb_zip'!U84-'Data Tables (M) no_cb_zip'!U84</f>
        <v>-1.7999486552895405E-2</v>
      </c>
      <c r="V84">
        <f>'Data Tables (M) cb_zip'!V84-'Data Tables (M) no_cb_zip'!V84</f>
        <v>1.2536355520609277E-2</v>
      </c>
    </row>
    <row r="85" spans="1:22" x14ac:dyDescent="0.35">
      <c r="A85" t="str">
        <f>'Data Tables (M) no_cb_zip'!A85</f>
        <v>Amount Financed</v>
      </c>
      <c r="B85">
        <f>'Data Tables (M) cb_zip'!B85-'Data Tables (M) no_cb_zip'!B85</f>
        <v>0</v>
      </c>
      <c r="C85">
        <f>'Data Tables (M) cb_zip'!C85-'Data Tables (M) no_cb_zip'!C85</f>
        <v>0</v>
      </c>
      <c r="D85">
        <f>'Data Tables (M) cb_zip'!D85-'Data Tables (M) no_cb_zip'!D85</f>
        <v>0</v>
      </c>
      <c r="E85">
        <f>'Data Tables (M) cb_zip'!E85-'Data Tables (M) no_cb_zip'!E85</f>
        <v>0</v>
      </c>
      <c r="F85">
        <f>'Data Tables (M) cb_zip'!F85-'Data Tables (M) no_cb_zip'!F85</f>
        <v>0</v>
      </c>
      <c r="G85">
        <f>'Data Tables (M) cb_zip'!G85-'Data Tables (M) no_cb_zip'!G85</f>
        <v>0</v>
      </c>
      <c r="H85">
        <f>'Data Tables (M) cb_zip'!H85-'Data Tables (M) no_cb_zip'!H85</f>
        <v>0</v>
      </c>
      <c r="I85">
        <f>'Data Tables (M) cb_zip'!I85-'Data Tables (M) no_cb_zip'!I85</f>
        <v>0</v>
      </c>
      <c r="J85">
        <f>'Data Tables (M) cb_zip'!J85-'Data Tables (M) no_cb_zip'!J85</f>
        <v>0</v>
      </c>
      <c r="K85">
        <f>'Data Tables (M) cb_zip'!K85-'Data Tables (M) no_cb_zip'!K85</f>
        <v>0</v>
      </c>
      <c r="L85">
        <f>'Data Tables (M) cb_zip'!L85-'Data Tables (M) no_cb_zip'!L85</f>
        <v>0</v>
      </c>
      <c r="M85">
        <f>'Data Tables (M) cb_zip'!M85-'Data Tables (M) no_cb_zip'!M85</f>
        <v>0</v>
      </c>
      <c r="N85">
        <f>'Data Tables (M) cb_zip'!N85-'Data Tables (M) no_cb_zip'!N85</f>
        <v>0</v>
      </c>
      <c r="O85">
        <f>'Data Tables (M) cb_zip'!O85-'Data Tables (M) no_cb_zip'!O85</f>
        <v>0</v>
      </c>
      <c r="P85">
        <f>'Data Tables (M) cb_zip'!P85-'Data Tables (M) no_cb_zip'!P85</f>
        <v>0</v>
      </c>
      <c r="Q85">
        <f>'Data Tables (M) cb_zip'!Q85-'Data Tables (M) no_cb_zip'!Q85</f>
        <v>0</v>
      </c>
      <c r="R85">
        <f>'Data Tables (M) cb_zip'!R85-'Data Tables (M) no_cb_zip'!R85</f>
        <v>0</v>
      </c>
      <c r="S85">
        <f>'Data Tables (M) cb_zip'!S85-'Data Tables (M) no_cb_zip'!S85</f>
        <v>0</v>
      </c>
      <c r="T85">
        <f>'Data Tables (M) cb_zip'!T85-'Data Tables (M) no_cb_zip'!T85</f>
        <v>0</v>
      </c>
      <c r="U85">
        <f>'Data Tables (M) cb_zip'!U85-'Data Tables (M) no_cb_zip'!U85</f>
        <v>0</v>
      </c>
      <c r="V85">
        <f>'Data Tables (M) cb_zip'!V85-'Data Tables (M) no_cb_zip'!V85</f>
        <v>0</v>
      </c>
    </row>
    <row r="86" spans="1:22" x14ac:dyDescent="0.35">
      <c r="A86" t="str">
        <f>'Data Tables (M) no_cb_zip'!A86</f>
        <v>Weighted LTV</v>
      </c>
      <c r="B86">
        <f>'Data Tables (M) cb_zip'!B86-'Data Tables (M) no_cb_zip'!B86</f>
        <v>0</v>
      </c>
      <c r="C86">
        <f>'Data Tables (M) cb_zip'!C86-'Data Tables (M) no_cb_zip'!C86</f>
        <v>0</v>
      </c>
      <c r="D86">
        <f>'Data Tables (M) cb_zip'!D86-'Data Tables (M) no_cb_zip'!D86</f>
        <v>0</v>
      </c>
      <c r="E86">
        <f>'Data Tables (M) cb_zip'!E86-'Data Tables (M) no_cb_zip'!E86</f>
        <v>0</v>
      </c>
      <c r="F86">
        <f>'Data Tables (M) cb_zip'!F86-'Data Tables (M) no_cb_zip'!F86</f>
        <v>0</v>
      </c>
      <c r="G86">
        <f>'Data Tables (M) cb_zip'!G86-'Data Tables (M) no_cb_zip'!G86</f>
        <v>0</v>
      </c>
      <c r="H86">
        <f>'Data Tables (M) cb_zip'!H86-'Data Tables (M) no_cb_zip'!H86</f>
        <v>0</v>
      </c>
      <c r="I86">
        <f>'Data Tables (M) cb_zip'!I86-'Data Tables (M) no_cb_zip'!I86</f>
        <v>0</v>
      </c>
      <c r="J86">
        <f>'Data Tables (M) cb_zip'!J86-'Data Tables (M) no_cb_zip'!J86</f>
        <v>0</v>
      </c>
      <c r="K86">
        <f>'Data Tables (M) cb_zip'!K86-'Data Tables (M) no_cb_zip'!K86</f>
        <v>0</v>
      </c>
      <c r="L86">
        <f>'Data Tables (M) cb_zip'!L86-'Data Tables (M) no_cb_zip'!L86</f>
        <v>0</v>
      </c>
      <c r="M86">
        <f>'Data Tables (M) cb_zip'!M86-'Data Tables (M) no_cb_zip'!M86</f>
        <v>0</v>
      </c>
      <c r="N86">
        <f>'Data Tables (M) cb_zip'!N86-'Data Tables (M) no_cb_zip'!N86</f>
        <v>0</v>
      </c>
      <c r="O86">
        <f>'Data Tables (M) cb_zip'!O86-'Data Tables (M) no_cb_zip'!O86</f>
        <v>0</v>
      </c>
      <c r="P86">
        <f>'Data Tables (M) cb_zip'!P86-'Data Tables (M) no_cb_zip'!P86</f>
        <v>0</v>
      </c>
      <c r="Q86">
        <f>'Data Tables (M) cb_zip'!Q86-'Data Tables (M) no_cb_zip'!Q86</f>
        <v>0</v>
      </c>
      <c r="R86">
        <f>'Data Tables (M) cb_zip'!R86-'Data Tables (M) no_cb_zip'!R86</f>
        <v>0</v>
      </c>
      <c r="S86">
        <f>'Data Tables (M) cb_zip'!S86-'Data Tables (M) no_cb_zip'!S86</f>
        <v>0</v>
      </c>
      <c r="T86">
        <f>'Data Tables (M) cb_zip'!T86-'Data Tables (M) no_cb_zip'!T86</f>
        <v>0</v>
      </c>
      <c r="U86">
        <f>'Data Tables (M) cb_zip'!U86-'Data Tables (M) no_cb_zip'!U86</f>
        <v>0</v>
      </c>
      <c r="V86">
        <f>'Data Tables (M) cb_zip'!V86-'Data Tables (M) no_cb_zip'!V86</f>
        <v>0</v>
      </c>
    </row>
    <row r="87" spans="1:22" x14ac:dyDescent="0.35">
      <c r="A87" t="str">
        <f>'Data Tables (M) no_cb_zip'!A87</f>
        <v>Weighted APR</v>
      </c>
      <c r="B87">
        <f>'Data Tables (M) cb_zip'!B87-'Data Tables (M) no_cb_zip'!B87</f>
        <v>0</v>
      </c>
      <c r="C87">
        <f>'Data Tables (M) cb_zip'!C87-'Data Tables (M) no_cb_zip'!C87</f>
        <v>0</v>
      </c>
      <c r="D87">
        <f>'Data Tables (M) cb_zip'!D87-'Data Tables (M) no_cb_zip'!D87</f>
        <v>0</v>
      </c>
      <c r="E87">
        <f>'Data Tables (M) cb_zip'!E87-'Data Tables (M) no_cb_zip'!E87</f>
        <v>0</v>
      </c>
      <c r="F87">
        <f>'Data Tables (M) cb_zip'!F87-'Data Tables (M) no_cb_zip'!F87</f>
        <v>0</v>
      </c>
      <c r="G87">
        <f>'Data Tables (M) cb_zip'!G87-'Data Tables (M) no_cb_zip'!G87</f>
        <v>0</v>
      </c>
      <c r="H87">
        <f>'Data Tables (M) cb_zip'!H87-'Data Tables (M) no_cb_zip'!H87</f>
        <v>0</v>
      </c>
      <c r="I87">
        <f>'Data Tables (M) cb_zip'!I87-'Data Tables (M) no_cb_zip'!I87</f>
        <v>0</v>
      </c>
      <c r="J87">
        <f>'Data Tables (M) cb_zip'!J87-'Data Tables (M) no_cb_zip'!J87</f>
        <v>0</v>
      </c>
      <c r="K87">
        <f>'Data Tables (M) cb_zip'!K87-'Data Tables (M) no_cb_zip'!K87</f>
        <v>0</v>
      </c>
      <c r="L87">
        <f>'Data Tables (M) cb_zip'!L87-'Data Tables (M) no_cb_zip'!L87</f>
        <v>0</v>
      </c>
      <c r="M87">
        <f>'Data Tables (M) cb_zip'!M87-'Data Tables (M) no_cb_zip'!M87</f>
        <v>0</v>
      </c>
      <c r="N87">
        <f>'Data Tables (M) cb_zip'!N87-'Data Tables (M) no_cb_zip'!N87</f>
        <v>0</v>
      </c>
      <c r="O87">
        <f>'Data Tables (M) cb_zip'!O87-'Data Tables (M) no_cb_zip'!O87</f>
        <v>0</v>
      </c>
      <c r="P87">
        <f>'Data Tables (M) cb_zip'!P87-'Data Tables (M) no_cb_zip'!P87</f>
        <v>0</v>
      </c>
      <c r="Q87">
        <f>'Data Tables (M) cb_zip'!Q87-'Data Tables (M) no_cb_zip'!Q87</f>
        <v>0</v>
      </c>
      <c r="R87">
        <f>'Data Tables (M) cb_zip'!R87-'Data Tables (M) no_cb_zip'!R87</f>
        <v>0</v>
      </c>
      <c r="S87">
        <f>'Data Tables (M) cb_zip'!S87-'Data Tables (M) no_cb_zip'!S87</f>
        <v>0</v>
      </c>
      <c r="T87">
        <f>'Data Tables (M) cb_zip'!T87-'Data Tables (M) no_cb_zip'!T87</f>
        <v>0</v>
      </c>
      <c r="U87">
        <f>'Data Tables (M) cb_zip'!U87-'Data Tables (M) no_cb_zip'!U87</f>
        <v>0</v>
      </c>
      <c r="V87">
        <f>'Data Tables (M) cb_zip'!V87-'Data Tables (M) no_cb_zip'!V87</f>
        <v>0</v>
      </c>
    </row>
    <row r="88" spans="1:22" x14ac:dyDescent="0.35">
      <c r="A88">
        <f>'Data Tables (M) no_cb_zip'!A88</f>
        <v>0</v>
      </c>
      <c r="B88">
        <f>'Data Tables (M) cb_zip'!B88-'Data Tables (M) no_cb_zip'!B88</f>
        <v>0</v>
      </c>
      <c r="C88">
        <f>'Data Tables (M) cb_zip'!C88-'Data Tables (M) no_cb_zip'!C88</f>
        <v>0</v>
      </c>
      <c r="D88">
        <f>'Data Tables (M) cb_zip'!D88-'Data Tables (M) no_cb_zip'!D88</f>
        <v>0</v>
      </c>
      <c r="E88">
        <f>'Data Tables (M) cb_zip'!E88-'Data Tables (M) no_cb_zip'!E88</f>
        <v>0</v>
      </c>
      <c r="F88">
        <f>'Data Tables (M) cb_zip'!F88-'Data Tables (M) no_cb_zip'!F88</f>
        <v>0</v>
      </c>
      <c r="G88">
        <f>'Data Tables (M) cb_zip'!G88-'Data Tables (M) no_cb_zip'!G88</f>
        <v>0</v>
      </c>
      <c r="H88">
        <f>'Data Tables (M) cb_zip'!H88-'Data Tables (M) no_cb_zip'!H88</f>
        <v>0</v>
      </c>
      <c r="I88">
        <f>'Data Tables (M) cb_zip'!I88-'Data Tables (M) no_cb_zip'!I88</f>
        <v>0</v>
      </c>
      <c r="J88">
        <f>'Data Tables (M) cb_zip'!J88-'Data Tables (M) no_cb_zip'!J88</f>
        <v>0</v>
      </c>
      <c r="K88">
        <f>'Data Tables (M) cb_zip'!K88-'Data Tables (M) no_cb_zip'!K88</f>
        <v>0</v>
      </c>
      <c r="L88">
        <f>'Data Tables (M) cb_zip'!L88-'Data Tables (M) no_cb_zip'!L88</f>
        <v>0</v>
      </c>
      <c r="M88">
        <f>'Data Tables (M) cb_zip'!M88-'Data Tables (M) no_cb_zip'!M88</f>
        <v>0</v>
      </c>
      <c r="N88">
        <f>'Data Tables (M) cb_zip'!N88-'Data Tables (M) no_cb_zip'!N88</f>
        <v>0</v>
      </c>
      <c r="O88">
        <f>'Data Tables (M) cb_zip'!O88-'Data Tables (M) no_cb_zip'!O88</f>
        <v>0</v>
      </c>
      <c r="P88">
        <f>'Data Tables (M) cb_zip'!P88-'Data Tables (M) no_cb_zip'!P88</f>
        <v>0</v>
      </c>
      <c r="Q88">
        <f>'Data Tables (M) cb_zip'!Q88-'Data Tables (M) no_cb_zip'!Q88</f>
        <v>0</v>
      </c>
      <c r="R88">
        <f>'Data Tables (M) cb_zip'!R88-'Data Tables (M) no_cb_zip'!R88</f>
        <v>0</v>
      </c>
      <c r="S88">
        <f>'Data Tables (M) cb_zip'!S88-'Data Tables (M) no_cb_zip'!S88</f>
        <v>0</v>
      </c>
      <c r="T88">
        <f>'Data Tables (M) cb_zip'!T88-'Data Tables (M) no_cb_zip'!T88</f>
        <v>0</v>
      </c>
      <c r="U88">
        <f>'Data Tables (M) cb_zip'!U88-'Data Tables (M) no_cb_zip'!U88</f>
        <v>0</v>
      </c>
      <c r="V88">
        <f>'Data Tables (M) cb_zip'!V88-'Data Tables (M) no_cb_zip'!V88</f>
        <v>0</v>
      </c>
    </row>
    <row r="89" spans="1:22" x14ac:dyDescent="0.35">
      <c r="A89" t="str">
        <f>'Data Tables (M) no_cb_zip'!A89</f>
        <v>POS</v>
      </c>
      <c r="B89" t="e">
        <f>'Data Tables (M) cb_zip'!B89-'Data Tables (M) no_cb_zip'!B89</f>
        <v>#VALUE!</v>
      </c>
      <c r="C89" t="e">
        <f>'Data Tables (M) cb_zip'!C89-'Data Tables (M) no_cb_zip'!C89</f>
        <v>#VALUE!</v>
      </c>
      <c r="D89" t="e">
        <f>'Data Tables (M) cb_zip'!D89-'Data Tables (M) no_cb_zip'!D89</f>
        <v>#VALUE!</v>
      </c>
      <c r="E89" t="e">
        <f>'Data Tables (M) cb_zip'!E89-'Data Tables (M) no_cb_zip'!E89</f>
        <v>#VALUE!</v>
      </c>
      <c r="F89" t="e">
        <f>'Data Tables (M) cb_zip'!F89-'Data Tables (M) no_cb_zip'!F89</f>
        <v>#VALUE!</v>
      </c>
      <c r="G89" t="e">
        <f>'Data Tables (M) cb_zip'!G89-'Data Tables (M) no_cb_zip'!G89</f>
        <v>#VALUE!</v>
      </c>
      <c r="H89" t="e">
        <f>'Data Tables (M) cb_zip'!H89-'Data Tables (M) no_cb_zip'!H89</f>
        <v>#VALUE!</v>
      </c>
      <c r="I89" t="e">
        <f>'Data Tables (M) cb_zip'!I89-'Data Tables (M) no_cb_zip'!I89</f>
        <v>#VALUE!</v>
      </c>
      <c r="J89" t="e">
        <f>'Data Tables (M) cb_zip'!J89-'Data Tables (M) no_cb_zip'!J89</f>
        <v>#VALUE!</v>
      </c>
      <c r="K89" t="e">
        <f>'Data Tables (M) cb_zip'!K89-'Data Tables (M) no_cb_zip'!K89</f>
        <v>#VALUE!</v>
      </c>
      <c r="L89" t="e">
        <f>'Data Tables (M) cb_zip'!L89-'Data Tables (M) no_cb_zip'!L89</f>
        <v>#VALUE!</v>
      </c>
      <c r="M89" t="e">
        <f>'Data Tables (M) cb_zip'!M89-'Data Tables (M) no_cb_zip'!M89</f>
        <v>#VALUE!</v>
      </c>
      <c r="N89" t="e">
        <f>'Data Tables (M) cb_zip'!N89-'Data Tables (M) no_cb_zip'!N89</f>
        <v>#VALUE!</v>
      </c>
      <c r="O89" t="e">
        <f>'Data Tables (M) cb_zip'!O89-'Data Tables (M) no_cb_zip'!O89</f>
        <v>#VALUE!</v>
      </c>
      <c r="P89" t="e">
        <f>'Data Tables (M) cb_zip'!P89-'Data Tables (M) no_cb_zip'!P89</f>
        <v>#VALUE!</v>
      </c>
      <c r="Q89" t="e">
        <f>'Data Tables (M) cb_zip'!Q89-'Data Tables (M) no_cb_zip'!Q89</f>
        <v>#VALUE!</v>
      </c>
      <c r="R89" t="e">
        <f>'Data Tables (M) cb_zip'!R89-'Data Tables (M) no_cb_zip'!R89</f>
        <v>#VALUE!</v>
      </c>
      <c r="S89" t="e">
        <f>'Data Tables (M) cb_zip'!S89-'Data Tables (M) no_cb_zip'!S89</f>
        <v>#VALUE!</v>
      </c>
      <c r="T89" t="e">
        <f>'Data Tables (M) cb_zip'!T89-'Data Tables (M) no_cb_zip'!T89</f>
        <v>#VALUE!</v>
      </c>
      <c r="U89" t="e">
        <f>'Data Tables (M) cb_zip'!U89-'Data Tables (M) no_cb_zip'!U89</f>
        <v>#VALUE!</v>
      </c>
      <c r="V89" t="e">
        <f>'Data Tables (M) cb_zip'!V89-'Data Tables (M) no_cb_zip'!V89</f>
        <v>#VALUE!</v>
      </c>
    </row>
    <row r="90" spans="1:22" x14ac:dyDescent="0.35">
      <c r="A90" t="str">
        <f>'Data Tables (M) no_cb_zip'!A90</f>
        <v>Model Score</v>
      </c>
      <c r="B90">
        <f>'Data Tables (M) cb_zip'!B90-'Data Tables (M) no_cb_zip'!B90</f>
        <v>0</v>
      </c>
      <c r="C90">
        <f>'Data Tables (M) cb_zip'!C90-'Data Tables (M) no_cb_zip'!C90</f>
        <v>0</v>
      </c>
      <c r="D90">
        <f>'Data Tables (M) cb_zip'!D90-'Data Tables (M) no_cb_zip'!D90</f>
        <v>0</v>
      </c>
      <c r="E90">
        <f>'Data Tables (M) cb_zip'!E90-'Data Tables (M) no_cb_zip'!E90</f>
        <v>0</v>
      </c>
      <c r="F90">
        <f>'Data Tables (M) cb_zip'!F90-'Data Tables (M) no_cb_zip'!F90</f>
        <v>0</v>
      </c>
      <c r="G90">
        <f>'Data Tables (M) cb_zip'!G90-'Data Tables (M) no_cb_zip'!G90</f>
        <v>0</v>
      </c>
      <c r="H90">
        <f>'Data Tables (M) cb_zip'!H90-'Data Tables (M) no_cb_zip'!H90</f>
        <v>0</v>
      </c>
      <c r="I90">
        <f>'Data Tables (M) cb_zip'!I90-'Data Tables (M) no_cb_zip'!I90</f>
        <v>0</v>
      </c>
      <c r="J90">
        <f>'Data Tables (M) cb_zip'!J90-'Data Tables (M) no_cb_zip'!J90</f>
        <v>0</v>
      </c>
      <c r="K90">
        <f>'Data Tables (M) cb_zip'!K90-'Data Tables (M) no_cb_zip'!K90</f>
        <v>0</v>
      </c>
      <c r="L90">
        <f>'Data Tables (M) cb_zip'!L90-'Data Tables (M) no_cb_zip'!L90</f>
        <v>0</v>
      </c>
      <c r="M90">
        <f>'Data Tables (M) cb_zip'!M90-'Data Tables (M) no_cb_zip'!M90</f>
        <v>0</v>
      </c>
      <c r="N90">
        <f>'Data Tables (M) cb_zip'!N90-'Data Tables (M) no_cb_zip'!N90</f>
        <v>0</v>
      </c>
      <c r="O90">
        <f>'Data Tables (M) cb_zip'!O90-'Data Tables (M) no_cb_zip'!O90</f>
        <v>0</v>
      </c>
      <c r="P90">
        <f>'Data Tables (M) cb_zip'!P90-'Data Tables (M) no_cb_zip'!P90</f>
        <v>0</v>
      </c>
      <c r="Q90">
        <f>'Data Tables (M) cb_zip'!Q90-'Data Tables (M) no_cb_zip'!Q90</f>
        <v>0</v>
      </c>
      <c r="R90">
        <f>'Data Tables (M) cb_zip'!R90-'Data Tables (M) no_cb_zip'!R90</f>
        <v>0</v>
      </c>
      <c r="S90">
        <f>'Data Tables (M) cb_zip'!S90-'Data Tables (M) no_cb_zip'!S90</f>
        <v>0</v>
      </c>
      <c r="T90">
        <f>'Data Tables (M) cb_zip'!T90-'Data Tables (M) no_cb_zip'!T90</f>
        <v>0</v>
      </c>
      <c r="U90">
        <f>'Data Tables (M) cb_zip'!U90-'Data Tables (M) no_cb_zip'!U90</f>
        <v>0</v>
      </c>
      <c r="V90">
        <f>'Data Tables (M) cb_zip'!V90-'Data Tables (M) no_cb_zip'!V90</f>
        <v>0</v>
      </c>
    </row>
    <row r="91" spans="1:22" x14ac:dyDescent="0.35">
      <c r="A91" t="str">
        <f>'Data Tables (M) no_cb_zip'!A91</f>
        <v>Expected Gross Loss Impact</v>
      </c>
      <c r="B91">
        <f>'Data Tables (M) cb_zip'!B91-'Data Tables (M) no_cb_zip'!B91</f>
        <v>9.2084506671821553E-2</v>
      </c>
      <c r="C91">
        <f>'Data Tables (M) cb_zip'!C91-'Data Tables (M) no_cb_zip'!C91</f>
        <v>7.0573780009660997E-2</v>
      </c>
      <c r="D91">
        <f>'Data Tables (M) cb_zip'!D91-'Data Tables (M) no_cb_zip'!D91</f>
        <v>0.10643748493443876</v>
      </c>
      <c r="E91">
        <f>'Data Tables (M) cb_zip'!E91-'Data Tables (M) no_cb_zip'!E91</f>
        <v>7.3849036270578483E-2</v>
      </c>
      <c r="F91">
        <f>'Data Tables (M) cb_zip'!F91-'Data Tables (M) no_cb_zip'!F91</f>
        <v>5.6425965782840981E-2</v>
      </c>
      <c r="G91">
        <f>'Data Tables (M) cb_zip'!G91-'Data Tables (M) no_cb_zip'!G91</f>
        <v>6.1860660844001991E-2</v>
      </c>
      <c r="H91">
        <f>'Data Tables (M) cb_zip'!H91-'Data Tables (M) no_cb_zip'!H91</f>
        <v>5.260083746422306E-2</v>
      </c>
      <c r="I91">
        <f>'Data Tables (M) cb_zip'!I91-'Data Tables (M) no_cb_zip'!I91</f>
        <v>6.448335950271189E-2</v>
      </c>
      <c r="J91">
        <f>'Data Tables (M) cb_zip'!J91-'Data Tables (M) no_cb_zip'!J91</f>
        <v>8.7556665278823886E-2</v>
      </c>
      <c r="K91">
        <f>'Data Tables (M) cb_zip'!K91-'Data Tables (M) no_cb_zip'!K91</f>
        <v>2.8984620989294996E-2</v>
      </c>
      <c r="L91">
        <f>'Data Tables (M) cb_zip'!L91-'Data Tables (M) no_cb_zip'!L91</f>
        <v>1.334300462950111E-2</v>
      </c>
      <c r="M91">
        <f>'Data Tables (M) cb_zip'!M91-'Data Tables (M) no_cb_zip'!M91</f>
        <v>1.0480854521718097E-2</v>
      </c>
      <c r="N91">
        <f>'Data Tables (M) cb_zip'!N91-'Data Tables (M) no_cb_zip'!N91</f>
        <v>5.5761714776920712E-3</v>
      </c>
      <c r="O91">
        <f>'Data Tables (M) cb_zip'!O91-'Data Tables (M) no_cb_zip'!O91</f>
        <v>-7.2394513885520873E-5</v>
      </c>
      <c r="P91">
        <f>'Data Tables (M) cb_zip'!P91-'Data Tables (M) no_cb_zip'!P91</f>
        <v>2.637752243043312E-2</v>
      </c>
      <c r="Q91">
        <f>'Data Tables (M) cb_zip'!Q91-'Data Tables (M) no_cb_zip'!Q91</f>
        <v>-8.2205136924140554E-3</v>
      </c>
      <c r="R91">
        <f>'Data Tables (M) cb_zip'!R91-'Data Tables (M) no_cb_zip'!R91</f>
        <v>1.5812211255153974E-2</v>
      </c>
      <c r="S91">
        <f>'Data Tables (M) cb_zip'!S91-'Data Tables (M) no_cb_zip'!S91</f>
        <v>2.2457445932076325E-2</v>
      </c>
      <c r="T91">
        <f>'Data Tables (M) cb_zip'!T91-'Data Tables (M) no_cb_zip'!T91</f>
        <v>1.4707325520044945E-2</v>
      </c>
      <c r="U91">
        <f>'Data Tables (M) cb_zip'!U91-'Data Tables (M) no_cb_zip'!U91</f>
        <v>-7.2841521204358717E-3</v>
      </c>
      <c r="V91">
        <f>'Data Tables (M) cb_zip'!V91-'Data Tables (M) no_cb_zip'!V91</f>
        <v>5.2892468678260585E-3</v>
      </c>
    </row>
    <row r="92" spans="1:22" x14ac:dyDescent="0.35">
      <c r="A92" t="str">
        <f>'Data Tables (M) no_cb_zip'!A92</f>
        <v>Recovery Impact</v>
      </c>
      <c r="B92">
        <f>'Data Tables (M) cb_zip'!B92-'Data Tables (M) no_cb_zip'!B92</f>
        <v>1.9769171890720028E-3</v>
      </c>
      <c r="C92">
        <f>'Data Tables (M) cb_zip'!C92-'Data Tables (M) no_cb_zip'!C92</f>
        <v>1.412362218083496E-3</v>
      </c>
      <c r="D92">
        <f>'Data Tables (M) cb_zip'!D92-'Data Tables (M) no_cb_zip'!D92</f>
        <v>1.7339140456015256E-3</v>
      </c>
      <c r="E92">
        <f>'Data Tables (M) cb_zip'!E92-'Data Tables (M) no_cb_zip'!E92</f>
        <v>1.1676446718076328E-3</v>
      </c>
      <c r="F92">
        <f>'Data Tables (M) cb_zip'!F92-'Data Tables (M) no_cb_zip'!F92</f>
        <v>1.0489094425689682E-3</v>
      </c>
      <c r="G92">
        <f>'Data Tables (M) cb_zip'!G92-'Data Tables (M) no_cb_zip'!G92</f>
        <v>1.259901022156118E-3</v>
      </c>
      <c r="H92">
        <f>'Data Tables (M) cb_zip'!H92-'Data Tables (M) no_cb_zip'!H92</f>
        <v>1.0949603363290539E-3</v>
      </c>
      <c r="I92">
        <f>'Data Tables (M) cb_zip'!I92-'Data Tables (M) no_cb_zip'!I92</f>
        <v>1.1996977682948717E-3</v>
      </c>
      <c r="J92">
        <f>'Data Tables (M) cb_zip'!J92-'Data Tables (M) no_cb_zip'!J92</f>
        <v>1.7777721047249617E-3</v>
      </c>
      <c r="K92">
        <f>'Data Tables (M) cb_zip'!K92-'Data Tables (M) no_cb_zip'!K92</f>
        <v>7.4774016682610522E-4</v>
      </c>
      <c r="L92">
        <f>'Data Tables (M) cb_zip'!L92-'Data Tables (M) no_cb_zip'!L92</f>
        <v>4.00906487957986E-4</v>
      </c>
      <c r="M92">
        <f>'Data Tables (M) cb_zip'!M92-'Data Tables (M) no_cb_zip'!M92</f>
        <v>3.3934084668807429E-4</v>
      </c>
      <c r="N92">
        <f>'Data Tables (M) cb_zip'!N92-'Data Tables (M) no_cb_zip'!N92</f>
        <v>2.2747009727686063E-4</v>
      </c>
      <c r="O92">
        <f>'Data Tables (M) cb_zip'!O92-'Data Tables (M) no_cb_zip'!O92</f>
        <v>1.2147655090211096E-4</v>
      </c>
      <c r="P92">
        <f>'Data Tables (M) cb_zip'!P92-'Data Tables (M) no_cb_zip'!P92</f>
        <v>5.612890792618952E-4</v>
      </c>
      <c r="Q92">
        <f>'Data Tables (M) cb_zip'!Q92-'Data Tables (M) no_cb_zip'!Q92</f>
        <v>-7.5043556791998256E-5</v>
      </c>
      <c r="R92">
        <f>'Data Tables (M) cb_zip'!R92-'Data Tables (M) no_cb_zip'!R92</f>
        <v>3.6015316234294659E-4</v>
      </c>
      <c r="S92">
        <f>'Data Tables (M) cb_zip'!S92-'Data Tables (M) no_cb_zip'!S92</f>
        <v>5.6155489181008988E-4</v>
      </c>
      <c r="T92">
        <f>'Data Tables (M) cb_zip'!T92-'Data Tables (M) no_cb_zip'!T92</f>
        <v>2.94640080093167E-4</v>
      </c>
      <c r="U92">
        <f>'Data Tables (M) cb_zip'!U92-'Data Tables (M) no_cb_zip'!U92</f>
        <v>-2.0989629395917753E-4</v>
      </c>
      <c r="V92">
        <f>'Data Tables (M) cb_zip'!V92-'Data Tables (M) no_cb_zip'!V92</f>
        <v>5.8270610339139495E-5</v>
      </c>
    </row>
    <row r="93" spans="1:22" x14ac:dyDescent="0.35">
      <c r="A93" t="str">
        <f>'Data Tables (M) no_cb_zip'!A93</f>
        <v>LTV Impact</v>
      </c>
      <c r="B93">
        <f>'Data Tables (M) cb_zip'!B93-'Data Tables (M) no_cb_zip'!B93</f>
        <v>0</v>
      </c>
      <c r="C93">
        <f>'Data Tables (M) cb_zip'!C93-'Data Tables (M) no_cb_zip'!C93</f>
        <v>0</v>
      </c>
      <c r="D93">
        <f>'Data Tables (M) cb_zip'!D93-'Data Tables (M) no_cb_zip'!D93</f>
        <v>0</v>
      </c>
      <c r="E93">
        <f>'Data Tables (M) cb_zip'!E93-'Data Tables (M) no_cb_zip'!E93</f>
        <v>0</v>
      </c>
      <c r="F93">
        <f>'Data Tables (M) cb_zip'!F93-'Data Tables (M) no_cb_zip'!F93</f>
        <v>0</v>
      </c>
      <c r="G93">
        <f>'Data Tables (M) cb_zip'!G93-'Data Tables (M) no_cb_zip'!G93</f>
        <v>0</v>
      </c>
      <c r="H93">
        <f>'Data Tables (M) cb_zip'!H93-'Data Tables (M) no_cb_zip'!H93</f>
        <v>0</v>
      </c>
      <c r="I93">
        <f>'Data Tables (M) cb_zip'!I93-'Data Tables (M) no_cb_zip'!I93</f>
        <v>0</v>
      </c>
      <c r="J93">
        <f>'Data Tables (M) cb_zip'!J93-'Data Tables (M) no_cb_zip'!J93</f>
        <v>0</v>
      </c>
      <c r="K93">
        <f>'Data Tables (M) cb_zip'!K93-'Data Tables (M) no_cb_zip'!K93</f>
        <v>0</v>
      </c>
      <c r="L93">
        <f>'Data Tables (M) cb_zip'!L93-'Data Tables (M) no_cb_zip'!L93</f>
        <v>0</v>
      </c>
      <c r="M93">
        <f>'Data Tables (M) cb_zip'!M93-'Data Tables (M) no_cb_zip'!M93</f>
        <v>0</v>
      </c>
      <c r="N93">
        <f>'Data Tables (M) cb_zip'!N93-'Data Tables (M) no_cb_zip'!N93</f>
        <v>0</v>
      </c>
      <c r="O93">
        <f>'Data Tables (M) cb_zip'!O93-'Data Tables (M) no_cb_zip'!O93</f>
        <v>0</v>
      </c>
      <c r="P93">
        <f>'Data Tables (M) cb_zip'!P93-'Data Tables (M) no_cb_zip'!P93</f>
        <v>0</v>
      </c>
      <c r="Q93">
        <f>'Data Tables (M) cb_zip'!Q93-'Data Tables (M) no_cb_zip'!Q93</f>
        <v>0</v>
      </c>
      <c r="R93">
        <f>'Data Tables (M) cb_zip'!R93-'Data Tables (M) no_cb_zip'!R93</f>
        <v>0</v>
      </c>
      <c r="S93">
        <f>'Data Tables (M) cb_zip'!S93-'Data Tables (M) no_cb_zip'!S93</f>
        <v>0</v>
      </c>
      <c r="T93">
        <f>'Data Tables (M) cb_zip'!T93-'Data Tables (M) no_cb_zip'!T93</f>
        <v>0</v>
      </c>
      <c r="U93">
        <f>'Data Tables (M) cb_zip'!U93-'Data Tables (M) no_cb_zip'!U93</f>
        <v>0</v>
      </c>
      <c r="V93">
        <f>'Data Tables (M) cb_zip'!V93-'Data Tables (M) no_cb_zip'!V93</f>
        <v>0</v>
      </c>
    </row>
    <row r="94" spans="1:22" x14ac:dyDescent="0.35">
      <c r="A94" t="str">
        <f>'Data Tables (M) no_cb_zip'!A94</f>
        <v>APR Impact</v>
      </c>
      <c r="B94">
        <f>'Data Tables (M) cb_zip'!B94-'Data Tables (M) no_cb_zip'!B94</f>
        <v>0</v>
      </c>
      <c r="C94">
        <f>'Data Tables (M) cb_zip'!C94-'Data Tables (M) no_cb_zip'!C94</f>
        <v>0</v>
      </c>
      <c r="D94">
        <f>'Data Tables (M) cb_zip'!D94-'Data Tables (M) no_cb_zip'!D94</f>
        <v>0</v>
      </c>
      <c r="E94">
        <f>'Data Tables (M) cb_zip'!E94-'Data Tables (M) no_cb_zip'!E94</f>
        <v>0</v>
      </c>
      <c r="F94">
        <f>'Data Tables (M) cb_zip'!F94-'Data Tables (M) no_cb_zip'!F94</f>
        <v>0</v>
      </c>
      <c r="G94">
        <f>'Data Tables (M) cb_zip'!G94-'Data Tables (M) no_cb_zip'!G94</f>
        <v>0</v>
      </c>
      <c r="H94">
        <f>'Data Tables (M) cb_zip'!H94-'Data Tables (M) no_cb_zip'!H94</f>
        <v>0</v>
      </c>
      <c r="I94">
        <f>'Data Tables (M) cb_zip'!I94-'Data Tables (M) no_cb_zip'!I94</f>
        <v>0</v>
      </c>
      <c r="J94">
        <f>'Data Tables (M) cb_zip'!J94-'Data Tables (M) no_cb_zip'!J94</f>
        <v>0</v>
      </c>
      <c r="K94">
        <f>'Data Tables (M) cb_zip'!K94-'Data Tables (M) no_cb_zip'!K94</f>
        <v>0</v>
      </c>
      <c r="L94">
        <f>'Data Tables (M) cb_zip'!L94-'Data Tables (M) no_cb_zip'!L94</f>
        <v>0</v>
      </c>
      <c r="M94">
        <f>'Data Tables (M) cb_zip'!M94-'Data Tables (M) no_cb_zip'!M94</f>
        <v>0</v>
      </c>
      <c r="N94">
        <f>'Data Tables (M) cb_zip'!N94-'Data Tables (M) no_cb_zip'!N94</f>
        <v>0</v>
      </c>
      <c r="O94">
        <f>'Data Tables (M) cb_zip'!O94-'Data Tables (M) no_cb_zip'!O94</f>
        <v>0</v>
      </c>
      <c r="P94">
        <f>'Data Tables (M) cb_zip'!P94-'Data Tables (M) no_cb_zip'!P94</f>
        <v>0</v>
      </c>
      <c r="Q94">
        <f>'Data Tables (M) cb_zip'!Q94-'Data Tables (M) no_cb_zip'!Q94</f>
        <v>0</v>
      </c>
      <c r="R94">
        <f>'Data Tables (M) cb_zip'!R94-'Data Tables (M) no_cb_zip'!R94</f>
        <v>0</v>
      </c>
      <c r="S94">
        <f>'Data Tables (M) cb_zip'!S94-'Data Tables (M) no_cb_zip'!S94</f>
        <v>0</v>
      </c>
      <c r="T94">
        <f>'Data Tables (M) cb_zip'!T94-'Data Tables (M) no_cb_zip'!T94</f>
        <v>0</v>
      </c>
      <c r="U94">
        <f>'Data Tables (M) cb_zip'!U94-'Data Tables (M) no_cb_zip'!U94</f>
        <v>0</v>
      </c>
      <c r="V94">
        <f>'Data Tables (M) cb_zip'!V94-'Data Tables (M) no_cb_zip'!V94</f>
        <v>0</v>
      </c>
    </row>
    <row r="95" spans="1:22" x14ac:dyDescent="0.35">
      <c r="A95" t="str">
        <f>'Data Tables (M) no_cb_zip'!A95</f>
        <v>RAGU Score</v>
      </c>
      <c r="B95">
        <f>'Data Tables (M) cb_zip'!B95-'Data Tables (M) no_cb_zip'!B95</f>
        <v>9.4061423860893001E-2</v>
      </c>
      <c r="C95">
        <f>'Data Tables (M) cb_zip'!C95-'Data Tables (M) no_cb_zip'!C95</f>
        <v>7.1986142227785876E-2</v>
      </c>
      <c r="D95">
        <f>'Data Tables (M) cb_zip'!D95-'Data Tables (M) no_cb_zip'!D95</f>
        <v>0.10817139898000505</v>
      </c>
      <c r="E95">
        <f>'Data Tables (M) cb_zip'!E95-'Data Tables (M) no_cb_zip'!E95</f>
        <v>7.5016680942383118E-2</v>
      </c>
      <c r="F95">
        <f>'Data Tables (M) cb_zip'!F95-'Data Tables (M) no_cb_zip'!F95</f>
        <v>5.7474875225409505E-2</v>
      </c>
      <c r="G95">
        <f>'Data Tables (M) cb_zip'!G95-'Data Tables (M) no_cb_zip'!G95</f>
        <v>6.3120561866185199E-2</v>
      </c>
      <c r="H95">
        <f>'Data Tables (M) cb_zip'!H95-'Data Tables (M) no_cb_zip'!H95</f>
        <v>5.3695797800600076E-2</v>
      </c>
      <c r="I95">
        <f>'Data Tables (M) cb_zip'!I95-'Data Tables (M) no_cb_zip'!I95</f>
        <v>6.5683057270916834E-2</v>
      </c>
      <c r="J95">
        <f>'Data Tables (M) cb_zip'!J95-'Data Tables (M) no_cb_zip'!J95</f>
        <v>8.933443738348501E-2</v>
      </c>
      <c r="K95">
        <f>'Data Tables (M) cb_zip'!K95-'Data Tables (M) no_cb_zip'!K95</f>
        <v>2.973236115610689E-2</v>
      </c>
      <c r="L95">
        <f>'Data Tables (M) cb_zip'!L95-'Data Tables (M) no_cb_zip'!L95</f>
        <v>1.3743911117416019E-2</v>
      </c>
      <c r="M95">
        <f>'Data Tables (M) cb_zip'!M95-'Data Tables (M) no_cb_zip'!M95</f>
        <v>1.0820195368381746E-2</v>
      </c>
      <c r="N95">
        <f>'Data Tables (M) cb_zip'!N95-'Data Tables (M) no_cb_zip'!N95</f>
        <v>5.803641574999574E-3</v>
      </c>
      <c r="O95">
        <f>'Data Tables (M) cb_zip'!O95-'Data Tables (M) no_cb_zip'!O95</f>
        <v>4.9082037122616384E-5</v>
      </c>
      <c r="P95">
        <f>'Data Tables (M) cb_zip'!P95-'Data Tables (M) no_cb_zip'!P95</f>
        <v>2.6938811509722882E-2</v>
      </c>
      <c r="Q95">
        <f>'Data Tables (M) cb_zip'!Q95-'Data Tables (M) no_cb_zip'!Q95</f>
        <v>-8.2955572491982821E-3</v>
      </c>
      <c r="R95">
        <f>'Data Tables (M) cb_zip'!R95-'Data Tables (M) no_cb_zip'!R95</f>
        <v>1.6172364417514018E-2</v>
      </c>
      <c r="S95">
        <f>'Data Tables (M) cb_zip'!S95-'Data Tables (M) no_cb_zip'!S95</f>
        <v>2.3019000823893521E-2</v>
      </c>
      <c r="T95">
        <f>'Data Tables (M) cb_zip'!T95-'Data Tables (M) no_cb_zip'!T95</f>
        <v>1.5001965600220046E-2</v>
      </c>
      <c r="U95">
        <f>'Data Tables (M) cb_zip'!U95-'Data Tables (M) no_cb_zip'!U95</f>
        <v>-7.4940484144008224E-3</v>
      </c>
      <c r="V95">
        <f>'Data Tables (M) cb_zip'!V95-'Data Tables (M) no_cb_zip'!V95</f>
        <v>5.3475174782136037E-3</v>
      </c>
    </row>
    <row r="96" spans="1:22" x14ac:dyDescent="0.35">
      <c r="A96" t="str">
        <f>'Data Tables (M) no_cb_zip'!A96</f>
        <v>Amount Financed</v>
      </c>
      <c r="B96">
        <f>'Data Tables (M) cb_zip'!B96-'Data Tables (M) no_cb_zip'!B96</f>
        <v>0</v>
      </c>
      <c r="C96">
        <f>'Data Tables (M) cb_zip'!C96-'Data Tables (M) no_cb_zip'!C96</f>
        <v>0</v>
      </c>
      <c r="D96">
        <f>'Data Tables (M) cb_zip'!D96-'Data Tables (M) no_cb_zip'!D96</f>
        <v>0</v>
      </c>
      <c r="E96">
        <f>'Data Tables (M) cb_zip'!E96-'Data Tables (M) no_cb_zip'!E96</f>
        <v>0</v>
      </c>
      <c r="F96">
        <f>'Data Tables (M) cb_zip'!F96-'Data Tables (M) no_cb_zip'!F96</f>
        <v>0</v>
      </c>
      <c r="G96">
        <f>'Data Tables (M) cb_zip'!G96-'Data Tables (M) no_cb_zip'!G96</f>
        <v>0</v>
      </c>
      <c r="H96">
        <f>'Data Tables (M) cb_zip'!H96-'Data Tables (M) no_cb_zip'!H96</f>
        <v>0</v>
      </c>
      <c r="I96">
        <f>'Data Tables (M) cb_zip'!I96-'Data Tables (M) no_cb_zip'!I96</f>
        <v>0</v>
      </c>
      <c r="J96">
        <f>'Data Tables (M) cb_zip'!J96-'Data Tables (M) no_cb_zip'!J96</f>
        <v>0</v>
      </c>
      <c r="K96">
        <f>'Data Tables (M) cb_zip'!K96-'Data Tables (M) no_cb_zip'!K96</f>
        <v>0</v>
      </c>
      <c r="L96">
        <f>'Data Tables (M) cb_zip'!L96-'Data Tables (M) no_cb_zip'!L96</f>
        <v>0</v>
      </c>
      <c r="M96">
        <f>'Data Tables (M) cb_zip'!M96-'Data Tables (M) no_cb_zip'!M96</f>
        <v>0</v>
      </c>
      <c r="N96">
        <f>'Data Tables (M) cb_zip'!N96-'Data Tables (M) no_cb_zip'!N96</f>
        <v>0</v>
      </c>
      <c r="O96">
        <f>'Data Tables (M) cb_zip'!O96-'Data Tables (M) no_cb_zip'!O96</f>
        <v>0</v>
      </c>
      <c r="P96">
        <f>'Data Tables (M) cb_zip'!P96-'Data Tables (M) no_cb_zip'!P96</f>
        <v>0</v>
      </c>
      <c r="Q96">
        <f>'Data Tables (M) cb_zip'!Q96-'Data Tables (M) no_cb_zip'!Q96</f>
        <v>0</v>
      </c>
      <c r="R96">
        <f>'Data Tables (M) cb_zip'!R96-'Data Tables (M) no_cb_zip'!R96</f>
        <v>0</v>
      </c>
      <c r="S96">
        <f>'Data Tables (M) cb_zip'!S96-'Data Tables (M) no_cb_zip'!S96</f>
        <v>0</v>
      </c>
      <c r="T96">
        <f>'Data Tables (M) cb_zip'!T96-'Data Tables (M) no_cb_zip'!T96</f>
        <v>0</v>
      </c>
      <c r="U96">
        <f>'Data Tables (M) cb_zip'!U96-'Data Tables (M) no_cb_zip'!U96</f>
        <v>0</v>
      </c>
      <c r="V96">
        <f>'Data Tables (M) cb_zip'!V96-'Data Tables (M) no_cb_zip'!V96</f>
        <v>0</v>
      </c>
    </row>
    <row r="97" spans="1:22" x14ac:dyDescent="0.35">
      <c r="A97" t="str">
        <f>'Data Tables (M) no_cb_zip'!A97</f>
        <v>Weighted LTV</v>
      </c>
      <c r="B97">
        <f>'Data Tables (M) cb_zip'!B97-'Data Tables (M) no_cb_zip'!B97</f>
        <v>0</v>
      </c>
      <c r="C97">
        <f>'Data Tables (M) cb_zip'!C97-'Data Tables (M) no_cb_zip'!C97</f>
        <v>0</v>
      </c>
      <c r="D97">
        <f>'Data Tables (M) cb_zip'!D97-'Data Tables (M) no_cb_zip'!D97</f>
        <v>0</v>
      </c>
      <c r="E97">
        <f>'Data Tables (M) cb_zip'!E97-'Data Tables (M) no_cb_zip'!E97</f>
        <v>0</v>
      </c>
      <c r="F97">
        <f>'Data Tables (M) cb_zip'!F97-'Data Tables (M) no_cb_zip'!F97</f>
        <v>0</v>
      </c>
      <c r="G97">
        <f>'Data Tables (M) cb_zip'!G97-'Data Tables (M) no_cb_zip'!G97</f>
        <v>0</v>
      </c>
      <c r="H97">
        <f>'Data Tables (M) cb_zip'!H97-'Data Tables (M) no_cb_zip'!H97</f>
        <v>0</v>
      </c>
      <c r="I97">
        <f>'Data Tables (M) cb_zip'!I97-'Data Tables (M) no_cb_zip'!I97</f>
        <v>0</v>
      </c>
      <c r="J97">
        <f>'Data Tables (M) cb_zip'!J97-'Data Tables (M) no_cb_zip'!J97</f>
        <v>0</v>
      </c>
      <c r="K97">
        <f>'Data Tables (M) cb_zip'!K97-'Data Tables (M) no_cb_zip'!K97</f>
        <v>0</v>
      </c>
      <c r="L97">
        <f>'Data Tables (M) cb_zip'!L97-'Data Tables (M) no_cb_zip'!L97</f>
        <v>0</v>
      </c>
      <c r="M97">
        <f>'Data Tables (M) cb_zip'!M97-'Data Tables (M) no_cb_zip'!M97</f>
        <v>0</v>
      </c>
      <c r="N97">
        <f>'Data Tables (M) cb_zip'!N97-'Data Tables (M) no_cb_zip'!N97</f>
        <v>0</v>
      </c>
      <c r="O97">
        <f>'Data Tables (M) cb_zip'!O97-'Data Tables (M) no_cb_zip'!O97</f>
        <v>0</v>
      </c>
      <c r="P97">
        <f>'Data Tables (M) cb_zip'!P97-'Data Tables (M) no_cb_zip'!P97</f>
        <v>0</v>
      </c>
      <c r="Q97">
        <f>'Data Tables (M) cb_zip'!Q97-'Data Tables (M) no_cb_zip'!Q97</f>
        <v>0</v>
      </c>
      <c r="R97">
        <f>'Data Tables (M) cb_zip'!R97-'Data Tables (M) no_cb_zip'!R97</f>
        <v>0</v>
      </c>
      <c r="S97">
        <f>'Data Tables (M) cb_zip'!S97-'Data Tables (M) no_cb_zip'!S97</f>
        <v>0</v>
      </c>
      <c r="T97">
        <f>'Data Tables (M) cb_zip'!T97-'Data Tables (M) no_cb_zip'!T97</f>
        <v>0</v>
      </c>
      <c r="U97">
        <f>'Data Tables (M) cb_zip'!U97-'Data Tables (M) no_cb_zip'!U97</f>
        <v>0</v>
      </c>
      <c r="V97">
        <f>'Data Tables (M) cb_zip'!V97-'Data Tables (M) no_cb_zip'!V97</f>
        <v>0</v>
      </c>
    </row>
    <row r="98" spans="1:22" x14ac:dyDescent="0.35">
      <c r="A98" t="str">
        <f>'Data Tables (M) no_cb_zip'!A98</f>
        <v>Weighted APR</v>
      </c>
      <c r="B98">
        <f>'Data Tables (M) cb_zip'!B98-'Data Tables (M) no_cb_zip'!B98</f>
        <v>0</v>
      </c>
      <c r="C98">
        <f>'Data Tables (M) cb_zip'!C98-'Data Tables (M) no_cb_zip'!C98</f>
        <v>0</v>
      </c>
      <c r="D98">
        <f>'Data Tables (M) cb_zip'!D98-'Data Tables (M) no_cb_zip'!D98</f>
        <v>0</v>
      </c>
      <c r="E98">
        <f>'Data Tables (M) cb_zip'!E98-'Data Tables (M) no_cb_zip'!E98</f>
        <v>0</v>
      </c>
      <c r="F98">
        <f>'Data Tables (M) cb_zip'!F98-'Data Tables (M) no_cb_zip'!F98</f>
        <v>0</v>
      </c>
      <c r="G98">
        <f>'Data Tables (M) cb_zip'!G98-'Data Tables (M) no_cb_zip'!G98</f>
        <v>0</v>
      </c>
      <c r="H98">
        <f>'Data Tables (M) cb_zip'!H98-'Data Tables (M) no_cb_zip'!H98</f>
        <v>0</v>
      </c>
      <c r="I98">
        <f>'Data Tables (M) cb_zip'!I98-'Data Tables (M) no_cb_zip'!I98</f>
        <v>0</v>
      </c>
      <c r="J98">
        <f>'Data Tables (M) cb_zip'!J98-'Data Tables (M) no_cb_zip'!J98</f>
        <v>0</v>
      </c>
      <c r="K98">
        <f>'Data Tables (M) cb_zip'!K98-'Data Tables (M) no_cb_zip'!K98</f>
        <v>0</v>
      </c>
      <c r="L98">
        <f>'Data Tables (M) cb_zip'!L98-'Data Tables (M) no_cb_zip'!L98</f>
        <v>0</v>
      </c>
      <c r="M98">
        <f>'Data Tables (M) cb_zip'!M98-'Data Tables (M) no_cb_zip'!M98</f>
        <v>0</v>
      </c>
      <c r="N98">
        <f>'Data Tables (M) cb_zip'!N98-'Data Tables (M) no_cb_zip'!N98</f>
        <v>0</v>
      </c>
      <c r="O98">
        <f>'Data Tables (M) cb_zip'!O98-'Data Tables (M) no_cb_zip'!O98</f>
        <v>0</v>
      </c>
      <c r="P98">
        <f>'Data Tables (M) cb_zip'!P98-'Data Tables (M) no_cb_zip'!P98</f>
        <v>0</v>
      </c>
      <c r="Q98">
        <f>'Data Tables (M) cb_zip'!Q98-'Data Tables (M) no_cb_zip'!Q98</f>
        <v>0</v>
      </c>
      <c r="R98">
        <f>'Data Tables (M) cb_zip'!R98-'Data Tables (M) no_cb_zip'!R98</f>
        <v>0</v>
      </c>
      <c r="S98">
        <f>'Data Tables (M) cb_zip'!S98-'Data Tables (M) no_cb_zip'!S98</f>
        <v>0</v>
      </c>
      <c r="T98">
        <f>'Data Tables (M) cb_zip'!T98-'Data Tables (M) no_cb_zip'!T98</f>
        <v>0</v>
      </c>
      <c r="U98">
        <f>'Data Tables (M) cb_zip'!U98-'Data Tables (M) no_cb_zip'!U98</f>
        <v>0</v>
      </c>
      <c r="V98">
        <f>'Data Tables (M) cb_zip'!V98-'Data Tables (M) no_cb_zip'!V98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8"/>
  <sheetViews>
    <sheetView workbookViewId="0">
      <selection activeCell="B3" sqref="B3"/>
    </sheetView>
  </sheetViews>
  <sheetFormatPr defaultRowHeight="14.5" x14ac:dyDescent="0.35"/>
  <sheetData>
    <row r="1" spans="1:22" x14ac:dyDescent="0.3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70</v>
      </c>
      <c r="V1" t="s">
        <v>71</v>
      </c>
    </row>
    <row r="2" spans="1:22" x14ac:dyDescent="0.35">
      <c r="A2" t="s">
        <v>21</v>
      </c>
      <c r="B2">
        <v>136.82380299527509</v>
      </c>
      <c r="C2">
        <v>137.05183927259171</v>
      </c>
      <c r="D2">
        <v>136.62074134082249</v>
      </c>
      <c r="E2">
        <v>137.56525012492671</v>
      </c>
      <c r="F2">
        <v>138.30009568671281</v>
      </c>
      <c r="G2">
        <v>138.20068058195491</v>
      </c>
      <c r="H2">
        <v>138.4666178220856</v>
      </c>
      <c r="I2">
        <v>138.33461915343329</v>
      </c>
      <c r="J2">
        <v>138.84727691646029</v>
      </c>
      <c r="K2">
        <v>138.81220292695591</v>
      </c>
      <c r="L2">
        <v>138.99432222552699</v>
      </c>
      <c r="M2">
        <v>140.3063705008916</v>
      </c>
      <c r="N2">
        <v>140.39661826955091</v>
      </c>
      <c r="O2">
        <v>140.1670215760148</v>
      </c>
      <c r="P2">
        <v>140.29640620718681</v>
      </c>
      <c r="Q2">
        <v>140.7397600374656</v>
      </c>
      <c r="R2">
        <v>140.87261868900441</v>
      </c>
      <c r="S2">
        <v>141.1551288971016</v>
      </c>
      <c r="T2">
        <v>140.93325276682069</v>
      </c>
      <c r="U2">
        <v>141.92180039212619</v>
      </c>
      <c r="V2">
        <v>141.9580584722311</v>
      </c>
    </row>
    <row r="3" spans="1:22" x14ac:dyDescent="0.35">
      <c r="A3" t="s">
        <v>22</v>
      </c>
      <c r="B3">
        <v>0.55785235177668824</v>
      </c>
      <c r="C3">
        <v>0.87069118974770277</v>
      </c>
      <c r="D3">
        <v>0.38081664810752608</v>
      </c>
      <c r="E3">
        <v>1.303318811738251</v>
      </c>
      <c r="F3">
        <v>1.6767168163640629</v>
      </c>
      <c r="G3">
        <v>1.978857397475394</v>
      </c>
      <c r="H3">
        <v>1.9157072745280459</v>
      </c>
      <c r="I3">
        <v>1.950696940400547</v>
      </c>
      <c r="J3">
        <v>1.756128323323821</v>
      </c>
      <c r="K3">
        <v>1.6741331449754</v>
      </c>
      <c r="L3">
        <v>1.419806384033137</v>
      </c>
      <c r="M3">
        <v>2.2280306524677091</v>
      </c>
      <c r="N3">
        <v>2.3417241471433949</v>
      </c>
      <c r="O3">
        <v>1.953212071937088</v>
      </c>
      <c r="P3">
        <v>1.7518468045558959</v>
      </c>
      <c r="Q3">
        <v>2.2934559988604519</v>
      </c>
      <c r="R3">
        <v>2.3204665549912988</v>
      </c>
      <c r="S3">
        <v>2.5124959009414169</v>
      </c>
      <c r="T3">
        <v>2.6264213057987722</v>
      </c>
      <c r="U3">
        <v>2.5779014715974711</v>
      </c>
      <c r="V3">
        <v>2.8886049500061688</v>
      </c>
    </row>
    <row r="4" spans="1:22" x14ac:dyDescent="0.35">
      <c r="A4" t="s">
        <v>23</v>
      </c>
      <c r="B4">
        <v>1.953907962504096</v>
      </c>
      <c r="C4">
        <v>0.41908548914674931</v>
      </c>
      <c r="D4">
        <v>0.47268285862924442</v>
      </c>
      <c r="E4">
        <v>1.1896257438493461</v>
      </c>
      <c r="F4">
        <v>1.2900067255100409</v>
      </c>
      <c r="G4">
        <v>1.925001648164256</v>
      </c>
      <c r="H4">
        <v>3.2162602474669222</v>
      </c>
      <c r="I4">
        <v>2.397037007302441</v>
      </c>
      <c r="J4">
        <v>2.3424597239524592</v>
      </c>
      <c r="K4">
        <v>3.4338779518201372</v>
      </c>
      <c r="L4">
        <v>2.4518049273121152</v>
      </c>
      <c r="M4">
        <v>2.41827808655803</v>
      </c>
      <c r="N4">
        <v>3.6744976103730922</v>
      </c>
      <c r="O4">
        <v>2.003921743395388</v>
      </c>
      <c r="P4">
        <v>1.3437441051283101</v>
      </c>
      <c r="Q4">
        <v>2.4963364592096919</v>
      </c>
      <c r="R4">
        <v>3.8461170091512371</v>
      </c>
      <c r="S4">
        <v>3.1773869833695758</v>
      </c>
      <c r="T4">
        <v>3.4731239601589419</v>
      </c>
      <c r="U4">
        <v>3.704131887528411</v>
      </c>
      <c r="V4">
        <v>2.9069858740286061</v>
      </c>
    </row>
    <row r="5" spans="1:22" x14ac:dyDescent="0.35">
      <c r="A5" t="s">
        <v>24</v>
      </c>
      <c r="B5">
        <v>3.5477643580336582</v>
      </c>
      <c r="C5">
        <v>3.4476911886847721</v>
      </c>
      <c r="D5">
        <v>3.483193485322603</v>
      </c>
      <c r="E5">
        <v>3.9622564534397942</v>
      </c>
      <c r="F5">
        <v>4.3794467798827084</v>
      </c>
      <c r="G5">
        <v>3.8948185744595021</v>
      </c>
      <c r="H5">
        <v>3.680877165613273</v>
      </c>
      <c r="I5">
        <v>3.9114945479691752</v>
      </c>
      <c r="J5">
        <v>4.2762920166978704</v>
      </c>
      <c r="K5">
        <v>4.7198107608907556</v>
      </c>
      <c r="L5">
        <v>4.0870223174906757</v>
      </c>
      <c r="M5">
        <v>3.897491438484197</v>
      </c>
      <c r="N5">
        <v>3.8620430813318669</v>
      </c>
      <c r="O5">
        <v>4.282300742499288</v>
      </c>
      <c r="P5">
        <v>4.36736610406866</v>
      </c>
      <c r="Q5">
        <v>3.730907565900679</v>
      </c>
      <c r="R5">
        <v>4.5859825381798673</v>
      </c>
      <c r="S5">
        <v>4.1143036245768014</v>
      </c>
      <c r="T5">
        <v>4.3268182842538252</v>
      </c>
      <c r="U5">
        <v>3.985519412909754</v>
      </c>
      <c r="V5">
        <v>4.0751839320167189</v>
      </c>
    </row>
    <row r="6" spans="1:22" x14ac:dyDescent="0.35">
      <c r="A6" t="s">
        <v>25</v>
      </c>
      <c r="B6">
        <v>1.35294320391191E-2</v>
      </c>
      <c r="C6">
        <v>-0.272981218374585</v>
      </c>
      <c r="D6">
        <v>-2.8373703134941249E-2</v>
      </c>
      <c r="E6">
        <v>0.27661664982830819</v>
      </c>
      <c r="F6">
        <v>0.44710485738609967</v>
      </c>
      <c r="G6">
        <v>0.43484576472742947</v>
      </c>
      <c r="H6">
        <v>0.67828337374182335</v>
      </c>
      <c r="I6">
        <v>0.56777664806911377</v>
      </c>
      <c r="J6">
        <v>0.85284910500433808</v>
      </c>
      <c r="K6">
        <v>0.62903513354101015</v>
      </c>
      <c r="L6">
        <v>0.43625937406562088</v>
      </c>
      <c r="M6">
        <v>0.55781854082284554</v>
      </c>
      <c r="N6">
        <v>0.68336776325382098</v>
      </c>
      <c r="O6">
        <v>0.4274714361070775</v>
      </c>
      <c r="P6">
        <v>0.58930339515382257</v>
      </c>
      <c r="Q6">
        <v>0.90291096424656725</v>
      </c>
      <c r="R6">
        <v>1.4356480722288121</v>
      </c>
      <c r="S6">
        <v>1.523579858161507</v>
      </c>
      <c r="T6">
        <v>1.607620641436259</v>
      </c>
      <c r="U6">
        <v>1.302867728727644</v>
      </c>
      <c r="V6">
        <v>1.215404468554558</v>
      </c>
    </row>
    <row r="7" spans="1:22" x14ac:dyDescent="0.35">
      <c r="A7" t="s">
        <v>26</v>
      </c>
      <c r="B7">
        <v>142.89685709962859</v>
      </c>
      <c r="C7">
        <v>141.51632592179641</v>
      </c>
      <c r="D7">
        <v>140.92906062974691</v>
      </c>
      <c r="E7">
        <v>144.29706778378241</v>
      </c>
      <c r="F7">
        <v>146.09337086585569</v>
      </c>
      <c r="G7">
        <v>146.4342039667815</v>
      </c>
      <c r="H7">
        <v>147.95774588343571</v>
      </c>
      <c r="I7">
        <v>147.1616242971746</v>
      </c>
      <c r="J7">
        <v>148.07500608543879</v>
      </c>
      <c r="K7">
        <v>149.26905991818319</v>
      </c>
      <c r="L7">
        <v>147.38921522842861</v>
      </c>
      <c r="M7">
        <v>149.40798921922439</v>
      </c>
      <c r="N7">
        <v>150.95825087165309</v>
      </c>
      <c r="O7">
        <v>148.83392756995369</v>
      </c>
      <c r="P7">
        <v>148.34866661609351</v>
      </c>
      <c r="Q7">
        <v>150.16337102568301</v>
      </c>
      <c r="R7">
        <v>153.06083286355559</v>
      </c>
      <c r="S7">
        <v>152.48289526415081</v>
      </c>
      <c r="T7">
        <v>152.9672369584685</v>
      </c>
      <c r="U7">
        <v>153.49222089288949</v>
      </c>
      <c r="V7">
        <v>153.04423769683709</v>
      </c>
    </row>
    <row r="8" spans="1:22" x14ac:dyDescent="0.35">
      <c r="A8" t="s">
        <v>27</v>
      </c>
      <c r="B8">
        <v>13880285.1</v>
      </c>
      <c r="C8">
        <v>14774077.529999999</v>
      </c>
      <c r="D8">
        <v>26986685.920000002</v>
      </c>
      <c r="E8">
        <v>20849411.27</v>
      </c>
      <c r="F8">
        <v>20015885.079999998</v>
      </c>
      <c r="G8">
        <v>16944616.73</v>
      </c>
      <c r="H8">
        <v>17583715.16</v>
      </c>
      <c r="I8">
        <v>17009856.440000001</v>
      </c>
      <c r="J8">
        <v>16644481.210000001</v>
      </c>
      <c r="K8">
        <v>14256426.640000001</v>
      </c>
      <c r="L8">
        <v>11610680.67</v>
      </c>
      <c r="M8">
        <v>13454664.560000001</v>
      </c>
      <c r="N8">
        <v>13296244.279999999</v>
      </c>
      <c r="O8">
        <v>15280720.529999999</v>
      </c>
      <c r="P8">
        <v>24336515.620000001</v>
      </c>
      <c r="Q8">
        <v>20661229.850000001</v>
      </c>
      <c r="R8">
        <v>22261812.370000001</v>
      </c>
      <c r="S8">
        <v>23382323.920000002</v>
      </c>
      <c r="T8">
        <v>25967502.93</v>
      </c>
      <c r="U8">
        <v>19891358.82</v>
      </c>
      <c r="V8">
        <v>15694850.560000001</v>
      </c>
    </row>
    <row r="9" spans="1:22" x14ac:dyDescent="0.35">
      <c r="A9" t="s">
        <v>28</v>
      </c>
      <c r="B9">
        <v>1.6050407930196871</v>
      </c>
      <c r="C9">
        <v>1.6128960328905151</v>
      </c>
      <c r="D9">
        <v>1.6101004964695611</v>
      </c>
      <c r="E9">
        <v>1.573303908062252</v>
      </c>
      <c r="F9">
        <v>1.542603058888923</v>
      </c>
      <c r="G9">
        <v>1.5783817352840119</v>
      </c>
      <c r="H9">
        <v>1.5947099214358691</v>
      </c>
      <c r="I9">
        <v>1.57712304705657</v>
      </c>
      <c r="J9">
        <v>1.550082127755952</v>
      </c>
      <c r="K9">
        <v>1.518429435830289</v>
      </c>
      <c r="L9">
        <v>1.5639951200053821</v>
      </c>
      <c r="M9">
        <v>1.5781798546051811</v>
      </c>
      <c r="N9">
        <v>1.5808614655537609</v>
      </c>
      <c r="O9">
        <v>1.549644486234574</v>
      </c>
      <c r="P9">
        <v>1.5434752153996241</v>
      </c>
      <c r="Q9">
        <v>1.5908613694389</v>
      </c>
      <c r="R9">
        <v>1.5278433558290501</v>
      </c>
      <c r="S9">
        <v>1.561974317808505</v>
      </c>
      <c r="T9">
        <v>1.54640976260158</v>
      </c>
      <c r="U9">
        <v>1.57155986235497</v>
      </c>
      <c r="V9">
        <v>1.564873649804682</v>
      </c>
    </row>
    <row r="10" spans="1:22" x14ac:dyDescent="0.35">
      <c r="A10" t="s">
        <v>29</v>
      </c>
      <c r="B10">
        <v>0.24980672239944121</v>
      </c>
      <c r="C10">
        <v>0.2538997316910655</v>
      </c>
      <c r="D10">
        <v>0.25040533861621339</v>
      </c>
      <c r="E10">
        <v>0.24604833357388131</v>
      </c>
      <c r="F10">
        <v>0.24361278775162709</v>
      </c>
      <c r="G10">
        <v>0.24378791764675101</v>
      </c>
      <c r="H10">
        <v>0.24031023751797401</v>
      </c>
      <c r="I10">
        <v>0.24188890502758409</v>
      </c>
      <c r="J10">
        <v>0.23781644135708091</v>
      </c>
      <c r="K10">
        <v>0.241013783806557</v>
      </c>
      <c r="L10">
        <v>0.24376772322763399</v>
      </c>
      <c r="M10">
        <v>0.2420311637025308</v>
      </c>
      <c r="N10">
        <v>0.2402376033820883</v>
      </c>
      <c r="O10">
        <v>0.24389326519847029</v>
      </c>
      <c r="P10">
        <v>0.24158138006923111</v>
      </c>
      <c r="Q10">
        <v>0.23710127193933481</v>
      </c>
      <c r="R10">
        <v>0.22949074182530271</v>
      </c>
      <c r="S10">
        <v>0.22823457345483561</v>
      </c>
      <c r="T10">
        <v>0.2270339908366249</v>
      </c>
      <c r="U10">
        <v>0.2313876038753194</v>
      </c>
      <c r="V10">
        <v>0.2326370790206492</v>
      </c>
    </row>
    <row r="12" spans="1:22" x14ac:dyDescent="0.35">
      <c r="A12" t="s">
        <v>32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  <c r="N12" t="s">
        <v>60</v>
      </c>
      <c r="O12" t="s">
        <v>61</v>
      </c>
      <c r="P12" t="s">
        <v>62</v>
      </c>
      <c r="Q12" t="s">
        <v>63</v>
      </c>
      <c r="R12" t="s">
        <v>64</v>
      </c>
      <c r="S12" t="s">
        <v>65</v>
      </c>
      <c r="T12" t="s">
        <v>66</v>
      </c>
      <c r="U12" t="s">
        <v>70</v>
      </c>
      <c r="V12" t="s">
        <v>71</v>
      </c>
    </row>
    <row r="13" spans="1:22" x14ac:dyDescent="0.35">
      <c r="A13" t="s">
        <v>21</v>
      </c>
      <c r="B13">
        <v>139.70466316546089</v>
      </c>
      <c r="C13">
        <v>140.0393408597794</v>
      </c>
      <c r="D13">
        <v>139.7581823304717</v>
      </c>
      <c r="E13">
        <v>140.29098187839671</v>
      </c>
      <c r="F13">
        <v>140.8394851253241</v>
      </c>
      <c r="G13">
        <v>140.68426185860321</v>
      </c>
      <c r="H13">
        <v>140.85961083647209</v>
      </c>
      <c r="I13">
        <v>140.67206801892999</v>
      </c>
      <c r="J13">
        <v>141.2816610672576</v>
      </c>
      <c r="K13">
        <v>141.57875589844929</v>
      </c>
      <c r="L13">
        <v>141.49383641028859</v>
      </c>
      <c r="M13">
        <v>142.15471144645059</v>
      </c>
      <c r="N13">
        <v>142.797988322636</v>
      </c>
      <c r="O13">
        <v>142.8155576323723</v>
      </c>
      <c r="P13">
        <v>142.76467027561461</v>
      </c>
      <c r="Q13">
        <v>143.1150974086006</v>
      </c>
      <c r="R13">
        <v>142.882615560907</v>
      </c>
      <c r="S13">
        <v>143.30722561743079</v>
      </c>
      <c r="T13">
        <v>143.7975214550716</v>
      </c>
      <c r="U13">
        <v>143.58336640004271</v>
      </c>
      <c r="V13">
        <v>143.59838810042729</v>
      </c>
    </row>
    <row r="14" spans="1:22" x14ac:dyDescent="0.35">
      <c r="A14" t="s">
        <v>22</v>
      </c>
      <c r="B14">
        <v>-0.26298515213093759</v>
      </c>
      <c r="C14">
        <v>-0.43001272906411708</v>
      </c>
      <c r="D14">
        <v>-0.49354164870919698</v>
      </c>
      <c r="E14">
        <v>-0.15548745995894819</v>
      </c>
      <c r="F14">
        <v>0.45646366690638729</v>
      </c>
      <c r="G14">
        <v>0.77557929040716544</v>
      </c>
      <c r="H14">
        <v>0.19239146714795649</v>
      </c>
      <c r="I14">
        <v>0.87388340231643724</v>
      </c>
      <c r="J14">
        <v>1.404051754480264</v>
      </c>
      <c r="K14">
        <v>1.591329200682424</v>
      </c>
      <c r="L14">
        <v>1.46879828926609</v>
      </c>
      <c r="M14">
        <v>1.7678711579308699</v>
      </c>
      <c r="N14">
        <v>1.770383539603728</v>
      </c>
      <c r="O14">
        <v>1.555354381911769</v>
      </c>
      <c r="P14">
        <v>1.755626544453321</v>
      </c>
      <c r="Q14">
        <v>1.9521472263424471</v>
      </c>
      <c r="R14">
        <v>2.171994841466613</v>
      </c>
      <c r="S14">
        <v>2.0400761884168328</v>
      </c>
      <c r="T14">
        <v>2.336025550815378</v>
      </c>
      <c r="U14">
        <v>2.1411318596040299</v>
      </c>
      <c r="V14">
        <v>2.3780367442237211</v>
      </c>
    </row>
    <row r="15" spans="1:22" x14ac:dyDescent="0.35">
      <c r="A15" t="s">
        <v>23</v>
      </c>
      <c r="B15">
        <v>1.6326553754517601</v>
      </c>
      <c r="C15">
        <v>1.157952019862303</v>
      </c>
      <c r="D15">
        <v>1.3410686887606149</v>
      </c>
      <c r="E15">
        <v>1.4564172440443901</v>
      </c>
      <c r="F15">
        <v>1.5649061647124829</v>
      </c>
      <c r="G15">
        <v>2.15963276035589</v>
      </c>
      <c r="H15">
        <v>2.157630453921521</v>
      </c>
      <c r="I15">
        <v>2.3897556427685731</v>
      </c>
      <c r="J15">
        <v>2.6797897291511101</v>
      </c>
      <c r="K15">
        <v>3.7587437782256932</v>
      </c>
      <c r="L15">
        <v>3.5289427532174198</v>
      </c>
      <c r="M15">
        <v>4.1047375727604702</v>
      </c>
      <c r="N15">
        <v>3.6239780772325512</v>
      </c>
      <c r="O15">
        <v>2.6600010736170638</v>
      </c>
      <c r="P15">
        <v>2.2875906879925321</v>
      </c>
      <c r="Q15">
        <v>2.5217451674137208</v>
      </c>
      <c r="R15">
        <v>3.0902368320429878</v>
      </c>
      <c r="S15">
        <v>2.699310993449425</v>
      </c>
      <c r="T15">
        <v>2.5960611037900221</v>
      </c>
      <c r="U15">
        <v>2.7856167507486491</v>
      </c>
      <c r="V15">
        <v>3.2103321562966269</v>
      </c>
    </row>
    <row r="16" spans="1:22" x14ac:dyDescent="0.35">
      <c r="A16" t="s">
        <v>24</v>
      </c>
      <c r="B16">
        <v>5.136309513175279</v>
      </c>
      <c r="C16">
        <v>4.8367188804715031</v>
      </c>
      <c r="D16">
        <v>5.2638062078100196</v>
      </c>
      <c r="E16">
        <v>5.7249215246911129</v>
      </c>
      <c r="F16">
        <v>6.0771583202446697</v>
      </c>
      <c r="G16">
        <v>6.3727285522316564</v>
      </c>
      <c r="H16">
        <v>6.0218014041350418</v>
      </c>
      <c r="I16">
        <v>6.0084558059497564</v>
      </c>
      <c r="J16">
        <v>6.3884774972233114</v>
      </c>
      <c r="K16">
        <v>6.3013326797790716</v>
      </c>
      <c r="L16">
        <v>6.1758517548592486</v>
      </c>
      <c r="M16">
        <v>5.65864977141851</v>
      </c>
      <c r="N16">
        <v>5.5458849047665346</v>
      </c>
      <c r="O16">
        <v>4.7355344822604897</v>
      </c>
      <c r="P16">
        <v>5.0156904055855414</v>
      </c>
      <c r="Q16">
        <v>5.0782548366008582</v>
      </c>
      <c r="R16">
        <v>5.0288466099565294</v>
      </c>
      <c r="S16">
        <v>4.9238665788528886</v>
      </c>
      <c r="T16">
        <v>4.7524702181285834</v>
      </c>
      <c r="U16">
        <v>4.8406008324260341</v>
      </c>
      <c r="V16">
        <v>5.0012099806223862</v>
      </c>
    </row>
    <row r="17" spans="1:22" x14ac:dyDescent="0.35">
      <c r="A17" t="s">
        <v>25</v>
      </c>
      <c r="B17">
        <v>-0.46693652069128888</v>
      </c>
      <c r="C17">
        <v>-0.57725739856090696</v>
      </c>
      <c r="D17">
        <v>-0.45220041427899749</v>
      </c>
      <c r="E17">
        <v>-0.43886640160340712</v>
      </c>
      <c r="F17">
        <v>-0.3883122864634031</v>
      </c>
      <c r="G17">
        <v>-0.35601354676582991</v>
      </c>
      <c r="H17">
        <v>-0.35364494160374071</v>
      </c>
      <c r="I17">
        <v>-0.45726210941405221</v>
      </c>
      <c r="J17">
        <v>-0.65907718443282248</v>
      </c>
      <c r="K17">
        <v>-0.58621544344524601</v>
      </c>
      <c r="L17">
        <v>-0.50735241835233813</v>
      </c>
      <c r="M17">
        <v>-0.54536463291993131</v>
      </c>
      <c r="N17">
        <v>-0.44666112425986332</v>
      </c>
      <c r="O17">
        <v>-0.44745465180707322</v>
      </c>
      <c r="P17">
        <v>-0.31545523803553738</v>
      </c>
      <c r="Q17">
        <v>-0.29322249082907592</v>
      </c>
      <c r="R17">
        <v>-0.24132864580456881</v>
      </c>
      <c r="S17">
        <v>-0.49691876309622462</v>
      </c>
      <c r="T17">
        <v>-0.36244857572558242</v>
      </c>
      <c r="U17">
        <v>-0.51156446015451051</v>
      </c>
      <c r="V17">
        <v>-0.4067878282017473</v>
      </c>
    </row>
    <row r="18" spans="1:22" x14ac:dyDescent="0.35">
      <c r="A18" t="s">
        <v>26</v>
      </c>
      <c r="B18">
        <v>145.7437063812657</v>
      </c>
      <c r="C18">
        <v>145.02674163248821</v>
      </c>
      <c r="D18">
        <v>145.41731516405409</v>
      </c>
      <c r="E18">
        <v>146.8779667855699</v>
      </c>
      <c r="F18">
        <v>148.54970099072429</v>
      </c>
      <c r="G18">
        <v>149.63618891483199</v>
      </c>
      <c r="H18">
        <v>148.87778922007291</v>
      </c>
      <c r="I18">
        <v>149.4869007605507</v>
      </c>
      <c r="J18">
        <v>151.09490286367949</v>
      </c>
      <c r="K18">
        <v>152.64394611369119</v>
      </c>
      <c r="L18">
        <v>152.16007678927909</v>
      </c>
      <c r="M18">
        <v>153.14060531564061</v>
      </c>
      <c r="N18">
        <v>153.291573719979</v>
      </c>
      <c r="O18">
        <v>151.31899291835461</v>
      </c>
      <c r="P18">
        <v>151.50812267561051</v>
      </c>
      <c r="Q18">
        <v>152.3740221481286</v>
      </c>
      <c r="R18">
        <v>152.9323651985685</v>
      </c>
      <c r="S18">
        <v>152.47356061505371</v>
      </c>
      <c r="T18">
        <v>153.11962975207999</v>
      </c>
      <c r="U18">
        <v>152.8391513826669</v>
      </c>
      <c r="V18">
        <v>153.7811791533683</v>
      </c>
    </row>
    <row r="19" spans="1:22" x14ac:dyDescent="0.35">
      <c r="A19" t="s">
        <v>27</v>
      </c>
      <c r="B19">
        <v>46583211.599999987</v>
      </c>
      <c r="C19">
        <v>44395003.900000013</v>
      </c>
      <c r="D19">
        <v>82514329.780000001</v>
      </c>
      <c r="E19">
        <v>64333407.729999997</v>
      </c>
      <c r="F19">
        <v>58631919.170000002</v>
      </c>
      <c r="G19">
        <v>54065071.990000002</v>
      </c>
      <c r="H19">
        <v>57213497.960000001</v>
      </c>
      <c r="I19">
        <v>48510745.239999987</v>
      </c>
      <c r="J19">
        <v>44347400.049999997</v>
      </c>
      <c r="K19">
        <v>42795868.159999996</v>
      </c>
      <c r="L19">
        <v>33173998.75</v>
      </c>
      <c r="M19">
        <v>39734133.530000001</v>
      </c>
      <c r="N19">
        <v>35860313.049999997</v>
      </c>
      <c r="O19">
        <v>45446165.039999999</v>
      </c>
      <c r="P19">
        <v>80134278.579999998</v>
      </c>
      <c r="Q19">
        <v>62030567</v>
      </c>
      <c r="R19">
        <v>57906817.710000001</v>
      </c>
      <c r="S19">
        <v>51136837.780000001</v>
      </c>
      <c r="T19">
        <v>43767001.490000002</v>
      </c>
      <c r="U19">
        <v>39670224.18</v>
      </c>
      <c r="V19">
        <v>35393745.689999998</v>
      </c>
    </row>
    <row r="20" spans="1:22" x14ac:dyDescent="0.35">
      <c r="A20" t="s">
        <v>28</v>
      </c>
      <c r="B20">
        <v>1.489859905526288</v>
      </c>
      <c r="C20">
        <v>1.510300159127564</v>
      </c>
      <c r="D20">
        <v>1.481328021460715</v>
      </c>
      <c r="E20">
        <v>1.451270138124197</v>
      </c>
      <c r="F20">
        <v>1.4291187650720389</v>
      </c>
      <c r="G20">
        <v>1.411046208246449</v>
      </c>
      <c r="H20">
        <v>1.4325551428862699</v>
      </c>
      <c r="I20">
        <v>1.43338606806771</v>
      </c>
      <c r="J20">
        <v>1.4100960613582221</v>
      </c>
      <c r="K20">
        <v>1.4153696895036429</v>
      </c>
      <c r="L20">
        <v>1.4230329201637699</v>
      </c>
      <c r="M20">
        <v>1.4555147960140491</v>
      </c>
      <c r="N20">
        <v>1.4627946580631901</v>
      </c>
      <c r="O20">
        <v>1.517330987508805</v>
      </c>
      <c r="P20">
        <v>1.4980225190499921</v>
      </c>
      <c r="Q20">
        <v>1.4937774857696839</v>
      </c>
      <c r="R20">
        <v>1.497127860752083</v>
      </c>
      <c r="S20">
        <v>1.5042966933493169</v>
      </c>
      <c r="T20">
        <v>1.516149645041893</v>
      </c>
      <c r="U20">
        <v>1.5100317181309251</v>
      </c>
      <c r="V20">
        <v>1.499008464945665</v>
      </c>
    </row>
    <row r="21" spans="1:22" x14ac:dyDescent="0.35">
      <c r="A21" t="s">
        <v>29</v>
      </c>
      <c r="B21">
        <v>0.25667052172416133</v>
      </c>
      <c r="C21">
        <v>0.25824653426515581</v>
      </c>
      <c r="D21">
        <v>0.25646000591827139</v>
      </c>
      <c r="E21">
        <v>0.25626952002290582</v>
      </c>
      <c r="F21">
        <v>0.25554731837804862</v>
      </c>
      <c r="G21">
        <v>0.25508590781094043</v>
      </c>
      <c r="H21">
        <v>0.25505207059433921</v>
      </c>
      <c r="I21">
        <v>0.25653231584877217</v>
      </c>
      <c r="J21">
        <v>0.25941538834904032</v>
      </c>
      <c r="K21">
        <v>0.25837450633493209</v>
      </c>
      <c r="L21">
        <v>0.25724789169074769</v>
      </c>
      <c r="M21">
        <v>0.25779092332742759</v>
      </c>
      <c r="N21">
        <v>0.25638087320371228</v>
      </c>
      <c r="O21">
        <v>0.25639220931152962</v>
      </c>
      <c r="P21">
        <v>0.25450650340050768</v>
      </c>
      <c r="Q21">
        <v>0.25418889272612971</v>
      </c>
      <c r="R21">
        <v>0.25344755208292241</v>
      </c>
      <c r="S21">
        <v>0.25709883947280321</v>
      </c>
      <c r="T21">
        <v>0.25517783679607969</v>
      </c>
      <c r="U21">
        <v>0.25730806371649301</v>
      </c>
      <c r="V21">
        <v>0.25581125468859639</v>
      </c>
    </row>
    <row r="23" spans="1:22" x14ac:dyDescent="0.35">
      <c r="A23" t="s">
        <v>33</v>
      </c>
      <c r="B23" t="s">
        <v>48</v>
      </c>
      <c r="C23" t="s">
        <v>49</v>
      </c>
      <c r="D23" t="s">
        <v>50</v>
      </c>
      <c r="E23" t="s">
        <v>51</v>
      </c>
      <c r="F23" t="s">
        <v>52</v>
      </c>
      <c r="G23" t="s">
        <v>53</v>
      </c>
      <c r="H23" t="s">
        <v>54</v>
      </c>
      <c r="I23" t="s">
        <v>55</v>
      </c>
      <c r="J23" t="s">
        <v>56</v>
      </c>
      <c r="K23" t="s">
        <v>57</v>
      </c>
      <c r="L23" t="s">
        <v>58</v>
      </c>
      <c r="M23" t="s">
        <v>59</v>
      </c>
      <c r="N23" t="s">
        <v>60</v>
      </c>
      <c r="O23" t="s">
        <v>61</v>
      </c>
      <c r="P23" t="s">
        <v>62</v>
      </c>
      <c r="Q23" t="s">
        <v>63</v>
      </c>
      <c r="R23" t="s">
        <v>64</v>
      </c>
      <c r="S23" t="s">
        <v>65</v>
      </c>
      <c r="T23" t="s">
        <v>66</v>
      </c>
      <c r="U23" t="s">
        <v>70</v>
      </c>
      <c r="V23" t="s">
        <v>71</v>
      </c>
    </row>
    <row r="24" spans="1:22" x14ac:dyDescent="0.35">
      <c r="A24" t="s">
        <v>21</v>
      </c>
      <c r="B24">
        <v>136.7654580107075</v>
      </c>
      <c r="C24">
        <v>136.49587682368721</v>
      </c>
      <c r="D24">
        <v>136.63459075662161</v>
      </c>
      <c r="E24">
        <v>137.44887050916671</v>
      </c>
      <c r="F24">
        <v>137.9102606683598</v>
      </c>
      <c r="G24">
        <v>138.3718584545357</v>
      </c>
      <c r="H24">
        <v>138.44857104637239</v>
      </c>
      <c r="I24">
        <v>138.18615020984231</v>
      </c>
      <c r="J24">
        <v>138.96646018857109</v>
      </c>
      <c r="K24">
        <v>139.1350729015719</v>
      </c>
      <c r="L24">
        <v>139.5268114533265</v>
      </c>
      <c r="M24">
        <v>141.36722077284179</v>
      </c>
      <c r="N24">
        <v>141.59338832825401</v>
      </c>
      <c r="O24">
        <v>140.87523498246401</v>
      </c>
      <c r="P24">
        <v>140.7501388485712</v>
      </c>
      <c r="Q24">
        <v>141.03059283821739</v>
      </c>
      <c r="R24">
        <v>141.2806729953945</v>
      </c>
      <c r="S24">
        <v>141.1555747469458</v>
      </c>
      <c r="T24">
        <v>141.2307175724647</v>
      </c>
      <c r="U24">
        <v>141.42942648228529</v>
      </c>
      <c r="V24">
        <v>141.49211440412151</v>
      </c>
    </row>
    <row r="25" spans="1:22" x14ac:dyDescent="0.35">
      <c r="A25" t="s">
        <v>22</v>
      </c>
      <c r="B25">
        <v>1.336526749018617</v>
      </c>
      <c r="C25">
        <v>1.0233334262243829</v>
      </c>
      <c r="D25">
        <v>0.64271388221283132</v>
      </c>
      <c r="E25">
        <v>0.90645626938822943</v>
      </c>
      <c r="F25">
        <v>1.079518683501675</v>
      </c>
      <c r="G25">
        <v>1.459519001684328</v>
      </c>
      <c r="H25">
        <v>1.134115522910264</v>
      </c>
      <c r="I25">
        <v>1.1236529446720169</v>
      </c>
      <c r="J25">
        <v>1.4803614432989041</v>
      </c>
      <c r="K25">
        <v>1.366345404913432</v>
      </c>
      <c r="L25">
        <v>1.6095516221245989</v>
      </c>
      <c r="M25">
        <v>1.872067950873685</v>
      </c>
      <c r="N25">
        <v>2.0019252327859651</v>
      </c>
      <c r="O25">
        <v>2.0085232589217128</v>
      </c>
      <c r="P25">
        <v>1.6930453044952001</v>
      </c>
      <c r="Q25">
        <v>2.066333686392738</v>
      </c>
      <c r="R25">
        <v>2.1800264458858289</v>
      </c>
      <c r="S25">
        <v>2.0047103001919031</v>
      </c>
      <c r="T25">
        <v>1.923458069844912</v>
      </c>
      <c r="U25">
        <v>2.063044861498383</v>
      </c>
      <c r="V25">
        <v>2.072419265287778</v>
      </c>
    </row>
    <row r="26" spans="1:22" x14ac:dyDescent="0.35">
      <c r="A26" t="s">
        <v>23</v>
      </c>
      <c r="B26">
        <v>2.1455260487262731</v>
      </c>
      <c r="C26">
        <v>2.0275597856991641</v>
      </c>
      <c r="D26">
        <v>1.749536527546949</v>
      </c>
      <c r="E26">
        <v>2.3582794607699298</v>
      </c>
      <c r="F26">
        <v>2.7929868420348511</v>
      </c>
      <c r="G26">
        <v>2.974320294832447</v>
      </c>
      <c r="H26">
        <v>3.0667457748437368</v>
      </c>
      <c r="I26">
        <v>2.350608543368566</v>
      </c>
      <c r="J26">
        <v>3.093098293547984</v>
      </c>
      <c r="K26">
        <v>3.8725986648741668</v>
      </c>
      <c r="L26">
        <v>3.9989992501844092</v>
      </c>
      <c r="M26">
        <v>4.0973073112511171</v>
      </c>
      <c r="N26">
        <v>4.1766020302392439</v>
      </c>
      <c r="O26">
        <v>2.947337391582042</v>
      </c>
      <c r="P26">
        <v>3.0873840304621081</v>
      </c>
      <c r="Q26">
        <v>3.522741458664683</v>
      </c>
      <c r="R26">
        <v>4.6197844988944521</v>
      </c>
      <c r="S26">
        <v>4.276098372672025</v>
      </c>
      <c r="T26">
        <v>3.9834902497330029</v>
      </c>
      <c r="U26">
        <v>3.9722573663676171</v>
      </c>
      <c r="V26">
        <v>4.4960915250577873</v>
      </c>
    </row>
    <row r="27" spans="1:22" x14ac:dyDescent="0.35">
      <c r="A27" t="s">
        <v>24</v>
      </c>
      <c r="B27">
        <v>5.3015084459501356</v>
      </c>
      <c r="C27">
        <v>4.8202721965935176</v>
      </c>
      <c r="D27">
        <v>5.3288944428545397</v>
      </c>
      <c r="E27">
        <v>5.5588189045350802</v>
      </c>
      <c r="F27">
        <v>6.2148109041479591</v>
      </c>
      <c r="G27">
        <v>6.5402372854611963</v>
      </c>
      <c r="H27">
        <v>5.7277695866310721</v>
      </c>
      <c r="I27">
        <v>6.0013730291550056</v>
      </c>
      <c r="J27">
        <v>6.2080411438656178</v>
      </c>
      <c r="K27">
        <v>6.7893360397493776</v>
      </c>
      <c r="L27">
        <v>5.9907227990279468</v>
      </c>
      <c r="M27">
        <v>5.7387810664752603</v>
      </c>
      <c r="N27">
        <v>5.1065572325564741</v>
      </c>
      <c r="O27">
        <v>5.3484440138847953</v>
      </c>
      <c r="P27">
        <v>5.2172520772673598</v>
      </c>
      <c r="Q27">
        <v>5.3905286936916923</v>
      </c>
      <c r="R27">
        <v>5.7781771322921891</v>
      </c>
      <c r="S27">
        <v>5.1683993416613312</v>
      </c>
      <c r="T27">
        <v>5.1585567209935652</v>
      </c>
      <c r="U27">
        <v>5.0759836216859338</v>
      </c>
      <c r="V27">
        <v>5.1743056639247351</v>
      </c>
    </row>
    <row r="28" spans="1:22" x14ac:dyDescent="0.35">
      <c r="A28" t="s">
        <v>25</v>
      </c>
      <c r="B28">
        <v>6.9451917140122832E-2</v>
      </c>
      <c r="C28">
        <v>-0.1228043321235667</v>
      </c>
      <c r="D28">
        <v>3.2127973147715587E-2</v>
      </c>
      <c r="E28">
        <v>0.24756094455108699</v>
      </c>
      <c r="F28">
        <v>0.29488001791551749</v>
      </c>
      <c r="G28">
        <v>0.40626853820039049</v>
      </c>
      <c r="H28">
        <v>0.30480541030441588</v>
      </c>
      <c r="I28">
        <v>0.116503963023622</v>
      </c>
      <c r="J28">
        <v>0.33420422093078722</v>
      </c>
      <c r="K28">
        <v>0.42436822698309512</v>
      </c>
      <c r="L28">
        <v>0.33334888252103839</v>
      </c>
      <c r="M28">
        <v>0.60775068411058641</v>
      </c>
      <c r="N28">
        <v>0.84333886093223343</v>
      </c>
      <c r="O28">
        <v>0.5307350055131077</v>
      </c>
      <c r="P28">
        <v>0.77593181295812108</v>
      </c>
      <c r="Q28">
        <v>0.77318013743634018</v>
      </c>
      <c r="R28">
        <v>1.0975091700408679</v>
      </c>
      <c r="S28">
        <v>0.9463993325111979</v>
      </c>
      <c r="T28">
        <v>1.0247001432003939</v>
      </c>
      <c r="U28">
        <v>0.84369476034510671</v>
      </c>
      <c r="V28">
        <v>1.0249065259274841</v>
      </c>
    </row>
    <row r="29" spans="1:22" x14ac:dyDescent="0.35">
      <c r="A29" t="s">
        <v>26</v>
      </c>
      <c r="B29">
        <v>145.61847117154261</v>
      </c>
      <c r="C29">
        <v>144.24423790008069</v>
      </c>
      <c r="D29">
        <v>144.38786358238369</v>
      </c>
      <c r="E29">
        <v>146.51998608841109</v>
      </c>
      <c r="F29">
        <v>148.29245711595979</v>
      </c>
      <c r="G29">
        <v>149.75220357471409</v>
      </c>
      <c r="H29">
        <v>148.6820073410619</v>
      </c>
      <c r="I29">
        <v>147.7782886900616</v>
      </c>
      <c r="J29">
        <v>150.08216529021439</v>
      </c>
      <c r="K29">
        <v>151.587721238092</v>
      </c>
      <c r="L29">
        <v>151.45943400718451</v>
      </c>
      <c r="M29">
        <v>153.68312778555239</v>
      </c>
      <c r="N29">
        <v>153.72181168476791</v>
      </c>
      <c r="O29">
        <v>151.71027465236571</v>
      </c>
      <c r="P29">
        <v>151.523752073754</v>
      </c>
      <c r="Q29">
        <v>152.7833768144028</v>
      </c>
      <c r="R29">
        <v>154.9561702425078</v>
      </c>
      <c r="S29">
        <v>153.55118209398219</v>
      </c>
      <c r="T29">
        <v>153.3209227562366</v>
      </c>
      <c r="U29">
        <v>153.3844070921823</v>
      </c>
      <c r="V29">
        <v>154.2598373843193</v>
      </c>
    </row>
    <row r="30" spans="1:22" x14ac:dyDescent="0.35">
      <c r="A30" t="s">
        <v>27</v>
      </c>
      <c r="B30">
        <v>29218296.469999999</v>
      </c>
      <c r="C30">
        <v>28704211.25</v>
      </c>
      <c r="D30">
        <v>50946629.479999997</v>
      </c>
      <c r="E30">
        <v>43605840.600000001</v>
      </c>
      <c r="F30">
        <v>37502657.079999998</v>
      </c>
      <c r="G30">
        <v>34131040.859999999</v>
      </c>
      <c r="H30">
        <v>33269283.25</v>
      </c>
      <c r="I30">
        <v>29007287.850000001</v>
      </c>
      <c r="J30">
        <v>27004751.27</v>
      </c>
      <c r="K30">
        <v>28852206.16</v>
      </c>
      <c r="L30">
        <v>19064750.879999999</v>
      </c>
      <c r="M30">
        <v>22918900.57</v>
      </c>
      <c r="N30">
        <v>23856936.02</v>
      </c>
      <c r="O30">
        <v>30556521.399999999</v>
      </c>
      <c r="P30">
        <v>52672958.689999998</v>
      </c>
      <c r="Q30">
        <v>41738202.899999999</v>
      </c>
      <c r="R30">
        <v>38774211.060000002</v>
      </c>
      <c r="S30">
        <v>38016709.469999999</v>
      </c>
      <c r="T30">
        <v>39889590.950000003</v>
      </c>
      <c r="U30">
        <v>34101716.939999998</v>
      </c>
      <c r="V30">
        <v>29811199.030000001</v>
      </c>
    </row>
    <row r="31" spans="1:22" x14ac:dyDescent="0.35">
      <c r="A31" t="s">
        <v>28</v>
      </c>
      <c r="B31">
        <v>1.478823734274757</v>
      </c>
      <c r="C31">
        <v>1.5114385239038719</v>
      </c>
      <c r="D31">
        <v>1.47700998293509</v>
      </c>
      <c r="E31">
        <v>1.46195597116877</v>
      </c>
      <c r="F31">
        <v>1.4206447830297519</v>
      </c>
      <c r="G31">
        <v>1.4010054189372569</v>
      </c>
      <c r="H31">
        <v>1.4510882765812401</v>
      </c>
      <c r="I31">
        <v>1.433827448396092</v>
      </c>
      <c r="J31">
        <v>1.4210591835630779</v>
      </c>
      <c r="K31">
        <v>1.3863354548817179</v>
      </c>
      <c r="L31">
        <v>1.4344916551033531</v>
      </c>
      <c r="M31">
        <v>1.4503855727176069</v>
      </c>
      <c r="N31">
        <v>1.49186504497544</v>
      </c>
      <c r="O31">
        <v>1.4757179506327129</v>
      </c>
      <c r="P31">
        <v>1.4844320029003519</v>
      </c>
      <c r="Q31">
        <v>1.4729442279445499</v>
      </c>
      <c r="R31">
        <v>1.447877053921268</v>
      </c>
      <c r="S31">
        <v>1.4877032613726111</v>
      </c>
      <c r="T31">
        <v>1.488364085046836</v>
      </c>
      <c r="U31">
        <v>1.4939311681497489</v>
      </c>
      <c r="V31">
        <v>1.4873069984624141</v>
      </c>
    </row>
    <row r="32" spans="1:22" x14ac:dyDescent="0.35">
      <c r="A32" t="s">
        <v>29</v>
      </c>
      <c r="B32">
        <v>0.2490078297551411</v>
      </c>
      <c r="C32">
        <v>0.25175434760176518</v>
      </c>
      <c r="D32">
        <v>0.24954102895503261</v>
      </c>
      <c r="E32">
        <v>0.24646341507784161</v>
      </c>
      <c r="F32">
        <v>0.24578742831549261</v>
      </c>
      <c r="G32">
        <v>0.24419616373999439</v>
      </c>
      <c r="H32">
        <v>0.2456456369956512</v>
      </c>
      <c r="I32">
        <v>0.24833565767109109</v>
      </c>
      <c r="J32">
        <v>0.24522565398670301</v>
      </c>
      <c r="K32">
        <v>0.24393759675738441</v>
      </c>
      <c r="L32">
        <v>0.24523787310684231</v>
      </c>
      <c r="M32">
        <v>0.24131784736984879</v>
      </c>
      <c r="N32">
        <v>0.23795230198668241</v>
      </c>
      <c r="O32">
        <v>0.24241807134981269</v>
      </c>
      <c r="P32">
        <v>0.23891525981488401</v>
      </c>
      <c r="Q32">
        <v>0.23895456946519511</v>
      </c>
      <c r="R32">
        <v>0.23432129757084469</v>
      </c>
      <c r="S32">
        <v>0.23648000953555429</v>
      </c>
      <c r="T32">
        <v>0.23536142652570871</v>
      </c>
      <c r="U32">
        <v>0.23794721770935559</v>
      </c>
      <c r="V32">
        <v>0.23535847820103589</v>
      </c>
    </row>
    <row r="34" spans="1:22" x14ac:dyDescent="0.35">
      <c r="A34" t="s">
        <v>34</v>
      </c>
      <c r="B34" t="s">
        <v>48</v>
      </c>
      <c r="C34" t="s">
        <v>49</v>
      </c>
      <c r="D34" t="s">
        <v>50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t="s">
        <v>57</v>
      </c>
      <c r="L34" t="s">
        <v>58</v>
      </c>
      <c r="M34" t="s">
        <v>59</v>
      </c>
      <c r="N34" t="s">
        <v>60</v>
      </c>
      <c r="O34" t="s">
        <v>61</v>
      </c>
      <c r="P34" t="s">
        <v>62</v>
      </c>
      <c r="Q34" t="s">
        <v>63</v>
      </c>
      <c r="R34" t="s">
        <v>64</v>
      </c>
      <c r="S34" t="s">
        <v>65</v>
      </c>
      <c r="T34" t="s">
        <v>66</v>
      </c>
      <c r="U34" t="s">
        <v>70</v>
      </c>
      <c r="V34" t="s">
        <v>71</v>
      </c>
    </row>
    <row r="35" spans="1:22" x14ac:dyDescent="0.35">
      <c r="A35" t="s">
        <v>21</v>
      </c>
      <c r="B35">
        <v>136.29760427434559</v>
      </c>
      <c r="C35">
        <v>136.46220924959371</v>
      </c>
      <c r="D35">
        <v>136.9609041136579</v>
      </c>
      <c r="E35">
        <v>138.18725838410501</v>
      </c>
      <c r="F35">
        <v>138.63590561533101</v>
      </c>
      <c r="G35">
        <v>138.10456953651311</v>
      </c>
      <c r="H35">
        <v>138.48578211254471</v>
      </c>
      <c r="I35">
        <v>137.63943630732629</v>
      </c>
      <c r="J35">
        <v>137.98695672742639</v>
      </c>
      <c r="K35">
        <v>137.8761249555609</v>
      </c>
      <c r="L35">
        <v>138.54180811037151</v>
      </c>
      <c r="M35">
        <v>140.2836420790112</v>
      </c>
      <c r="N35">
        <v>140.9409057046129</v>
      </c>
      <c r="O35">
        <v>140.84270790057471</v>
      </c>
      <c r="P35">
        <v>141.11748587277279</v>
      </c>
      <c r="Q35">
        <v>141.54083393714191</v>
      </c>
      <c r="R35">
        <v>141.70634236777059</v>
      </c>
      <c r="S35">
        <v>142.34249659097529</v>
      </c>
      <c r="T35">
        <v>142.27061346957839</v>
      </c>
      <c r="U35">
        <v>142.6429675584545</v>
      </c>
      <c r="V35">
        <v>143.71254974668111</v>
      </c>
    </row>
    <row r="36" spans="1:22" x14ac:dyDescent="0.35">
      <c r="A36" t="s">
        <v>22</v>
      </c>
      <c r="B36">
        <v>2.1076186583482301</v>
      </c>
      <c r="C36">
        <v>2.087608757186473</v>
      </c>
      <c r="D36">
        <v>1.27595749132638</v>
      </c>
      <c r="E36">
        <v>1.064344502975018</v>
      </c>
      <c r="F36">
        <v>1.719049990745702</v>
      </c>
      <c r="G36">
        <v>2.0219706368510511</v>
      </c>
      <c r="H36">
        <v>1.891767685533978</v>
      </c>
      <c r="I36">
        <v>2.1150527689179341</v>
      </c>
      <c r="J36">
        <v>2.3568788741315529</v>
      </c>
      <c r="K36">
        <v>0.93627022635141088</v>
      </c>
      <c r="L36">
        <v>0.73795448394582763</v>
      </c>
      <c r="M36">
        <v>1.280397497260793</v>
      </c>
      <c r="N36">
        <v>1.8664443161675019</v>
      </c>
      <c r="O36">
        <v>1.702725593317979</v>
      </c>
      <c r="P36">
        <v>1.502608086166958</v>
      </c>
      <c r="Q36">
        <v>1.7161812427784751</v>
      </c>
      <c r="R36">
        <v>1.8113524468707001</v>
      </c>
      <c r="S36">
        <v>2.174760318432988</v>
      </c>
      <c r="T36">
        <v>1.8040422515676371</v>
      </c>
      <c r="U36">
        <v>2.4820114681879488</v>
      </c>
      <c r="V36">
        <v>2.8712770723739141</v>
      </c>
    </row>
    <row r="37" spans="1:22" x14ac:dyDescent="0.35">
      <c r="A37" t="s">
        <v>23</v>
      </c>
      <c r="B37">
        <v>3.255488715732985</v>
      </c>
      <c r="C37">
        <v>3.311469178101909</v>
      </c>
      <c r="D37">
        <v>1.4026644681808449</v>
      </c>
      <c r="E37">
        <v>1.357702739493559</v>
      </c>
      <c r="F37">
        <v>1.377342665163297</v>
      </c>
      <c r="G37">
        <v>2.360487547405842</v>
      </c>
      <c r="H37">
        <v>2.8152711228376139</v>
      </c>
      <c r="I37">
        <v>1.773003976040112</v>
      </c>
      <c r="J37">
        <v>2.544384919138158</v>
      </c>
      <c r="K37">
        <v>2.6374982595602821</v>
      </c>
      <c r="L37">
        <v>2.64886562647516</v>
      </c>
      <c r="M37">
        <v>3.044874481897061</v>
      </c>
      <c r="N37">
        <v>1.58662421738978</v>
      </c>
      <c r="O37">
        <v>1.255189823284494</v>
      </c>
      <c r="P37">
        <v>0.82831142915594491</v>
      </c>
      <c r="Q37">
        <v>0.54943105563091288</v>
      </c>
      <c r="R37">
        <v>0.5309347787687152</v>
      </c>
      <c r="S37">
        <v>0.1053361741624558</v>
      </c>
      <c r="T37">
        <v>-0.26825550456190289</v>
      </c>
      <c r="U37">
        <v>0.32718130282520408</v>
      </c>
      <c r="V37">
        <v>0.12666300132109751</v>
      </c>
    </row>
    <row r="38" spans="1:22" x14ac:dyDescent="0.35">
      <c r="A38" t="s">
        <v>24</v>
      </c>
      <c r="B38">
        <v>1.0735580683391299</v>
      </c>
      <c r="C38">
        <v>0.71397359544114836</v>
      </c>
      <c r="D38">
        <v>0.78916718862356849</v>
      </c>
      <c r="E38">
        <v>0.28920704976806921</v>
      </c>
      <c r="F38">
        <v>0.36002738105903093</v>
      </c>
      <c r="G38">
        <v>0.54372531551574732</v>
      </c>
      <c r="H38">
        <v>0.35418020403435141</v>
      </c>
      <c r="I38">
        <v>0.36738062952410622</v>
      </c>
      <c r="J38">
        <v>0.46839752329339429</v>
      </c>
      <c r="K38">
        <v>0.59282752428646668</v>
      </c>
      <c r="L38">
        <v>0.60689817551318659</v>
      </c>
      <c r="M38">
        <v>0.1115611537117616</v>
      </c>
      <c r="N38">
        <v>-0.4651619116505249</v>
      </c>
      <c r="O38">
        <v>-8.4071442165114529E-3</v>
      </c>
      <c r="P38">
        <v>-0.23226848632134139</v>
      </c>
      <c r="Q38">
        <v>-0.49702664339924019</v>
      </c>
      <c r="R38">
        <v>-0.28875864469415252</v>
      </c>
      <c r="S38">
        <v>-0.27323098262846007</v>
      </c>
      <c r="T38">
        <v>-0.78884759560840978</v>
      </c>
      <c r="U38">
        <v>-0.49384742724940051</v>
      </c>
      <c r="V38">
        <v>-0.88216324231763488</v>
      </c>
    </row>
    <row r="39" spans="1:22" x14ac:dyDescent="0.35">
      <c r="A39" t="s">
        <v>25</v>
      </c>
      <c r="B39">
        <v>-0.46572001518278999</v>
      </c>
      <c r="C39">
        <v>-0.2986647934090314</v>
      </c>
      <c r="D39">
        <v>-0.51036508209646614</v>
      </c>
      <c r="E39">
        <v>-0.47089861333617777</v>
      </c>
      <c r="F39">
        <v>-0.51269777589642151</v>
      </c>
      <c r="G39">
        <v>-0.56986390415944632</v>
      </c>
      <c r="H39">
        <v>-0.65552912577760025</v>
      </c>
      <c r="I39">
        <v>-0.45399754123740688</v>
      </c>
      <c r="J39">
        <v>-0.46232863930665191</v>
      </c>
      <c r="K39">
        <v>-0.50882924884749126</v>
      </c>
      <c r="L39">
        <v>-0.39948752989918979</v>
      </c>
      <c r="M39">
        <v>-0.54869921200708294</v>
      </c>
      <c r="N39">
        <v>-0.57764165419783187</v>
      </c>
      <c r="O39">
        <v>-0.48232709439872867</v>
      </c>
      <c r="P39">
        <v>-0.29466180402656061</v>
      </c>
      <c r="Q39">
        <v>-0.17645223111772471</v>
      </c>
      <c r="R39">
        <v>-0.44047773754927022</v>
      </c>
      <c r="S39">
        <v>-0.29349783849776773</v>
      </c>
      <c r="T39">
        <v>-0.50199293681261692</v>
      </c>
      <c r="U39">
        <v>-0.64271540766909996</v>
      </c>
      <c r="V39">
        <v>-0.63535936972289786</v>
      </c>
    </row>
    <row r="40" spans="1:22" x14ac:dyDescent="0.35">
      <c r="A40" t="s">
        <v>26</v>
      </c>
      <c r="B40">
        <v>142.2685497015832</v>
      </c>
      <c r="C40">
        <v>142.2765959869142</v>
      </c>
      <c r="D40">
        <v>139.91832817969231</v>
      </c>
      <c r="E40">
        <v>140.42761406300539</v>
      </c>
      <c r="F40">
        <v>141.57962787640261</v>
      </c>
      <c r="G40">
        <v>142.46088913212631</v>
      </c>
      <c r="H40">
        <v>142.89147199917301</v>
      </c>
      <c r="I40">
        <v>141.44087614057099</v>
      </c>
      <c r="J40">
        <v>142.89428940468281</v>
      </c>
      <c r="K40">
        <v>141.5338917169116</v>
      </c>
      <c r="L40">
        <v>142.13603886640649</v>
      </c>
      <c r="M40">
        <v>144.17177599987369</v>
      </c>
      <c r="N40">
        <v>143.35117067232181</v>
      </c>
      <c r="O40">
        <v>143.30988907856189</v>
      </c>
      <c r="P40">
        <v>142.92147509774779</v>
      </c>
      <c r="Q40">
        <v>143.1329673610343</v>
      </c>
      <c r="R40">
        <v>143.31939321116661</v>
      </c>
      <c r="S40">
        <v>144.05586426244449</v>
      </c>
      <c r="T40">
        <v>142.51555968416321</v>
      </c>
      <c r="U40">
        <v>144.31559749454919</v>
      </c>
      <c r="V40">
        <v>145.1929672083356</v>
      </c>
    </row>
    <row r="41" spans="1:22" x14ac:dyDescent="0.35">
      <c r="A41" t="s">
        <v>27</v>
      </c>
      <c r="B41">
        <v>10338839.33</v>
      </c>
      <c r="C41">
        <v>11583637.119999999</v>
      </c>
      <c r="D41">
        <v>21544150.359999999</v>
      </c>
      <c r="E41">
        <v>14690857.789999999</v>
      </c>
      <c r="F41">
        <v>13097759.619999999</v>
      </c>
      <c r="G41">
        <v>12138089.550000001</v>
      </c>
      <c r="H41">
        <v>12341720.619999999</v>
      </c>
      <c r="I41">
        <v>14023960.710000001</v>
      </c>
      <c r="J41">
        <v>16268241.57</v>
      </c>
      <c r="K41">
        <v>16171908.59</v>
      </c>
      <c r="L41">
        <v>13413464.140000001</v>
      </c>
      <c r="M41">
        <v>13425760.220000001</v>
      </c>
      <c r="N41">
        <v>12367358.27</v>
      </c>
      <c r="O41">
        <v>19125484.43</v>
      </c>
      <c r="P41">
        <v>30391573.989999998</v>
      </c>
      <c r="Q41">
        <v>20947460.09</v>
      </c>
      <c r="R41">
        <v>17281542.120000001</v>
      </c>
      <c r="S41">
        <v>14943408.119999999</v>
      </c>
      <c r="T41">
        <v>14633499.640000001</v>
      </c>
      <c r="U41">
        <v>9744764.7699999996</v>
      </c>
      <c r="V41">
        <v>9028399.7600000016</v>
      </c>
    </row>
    <row r="42" spans="1:22" x14ac:dyDescent="0.35">
      <c r="A42" t="s">
        <v>28</v>
      </c>
      <c r="B42">
        <v>1.3638709050422859</v>
      </c>
      <c r="C42">
        <v>1.391556776755267</v>
      </c>
      <c r="D42">
        <v>1.3856747614224481</v>
      </c>
      <c r="E42">
        <v>1.4257449707811021</v>
      </c>
      <c r="F42">
        <v>1.4199286359936749</v>
      </c>
      <c r="G42">
        <v>1.4050607585721511</v>
      </c>
      <c r="H42">
        <v>1.420407055256323</v>
      </c>
      <c r="I42">
        <v>1.4193274464253769</v>
      </c>
      <c r="J42">
        <v>1.4111197072960029</v>
      </c>
      <c r="K42">
        <v>1.401139183907264</v>
      </c>
      <c r="L42">
        <v>1.4000194556859551</v>
      </c>
      <c r="M42">
        <v>1.4405465274951279</v>
      </c>
      <c r="N42">
        <v>1.4907917373178581</v>
      </c>
      <c r="O42">
        <v>1.4507174347465479</v>
      </c>
      <c r="P42">
        <v>1.4700855616569961</v>
      </c>
      <c r="Q42">
        <v>1.493670229440238</v>
      </c>
      <c r="R42">
        <v>1.475054992977741</v>
      </c>
      <c r="S42">
        <v>1.4736856815802151</v>
      </c>
      <c r="T42">
        <v>1.520558155589379</v>
      </c>
      <c r="U42">
        <v>1.493382536684762</v>
      </c>
      <c r="V42">
        <v>1.5293615620130221</v>
      </c>
    </row>
    <row r="43" spans="1:22" x14ac:dyDescent="0.35">
      <c r="A43" t="s">
        <v>29</v>
      </c>
      <c r="B43">
        <v>0.24165314307403979</v>
      </c>
      <c r="C43">
        <v>0.23926663990584329</v>
      </c>
      <c r="D43">
        <v>0.24229092974423519</v>
      </c>
      <c r="E43">
        <v>0.2417271230476597</v>
      </c>
      <c r="F43">
        <v>0.24232425394137741</v>
      </c>
      <c r="G43">
        <v>0.24314091291656351</v>
      </c>
      <c r="H43">
        <v>0.24436470179682279</v>
      </c>
      <c r="I43">
        <v>0.2414856791605344</v>
      </c>
      <c r="J43">
        <v>0.2416046948472379</v>
      </c>
      <c r="K43">
        <v>0.24226898926924989</v>
      </c>
      <c r="L43">
        <v>0.24070696471284561</v>
      </c>
      <c r="M43">
        <v>0.24283856017152969</v>
      </c>
      <c r="N43">
        <v>0.24325202363139761</v>
      </c>
      <c r="O43">
        <v>0.241890387062839</v>
      </c>
      <c r="P43">
        <v>0.23920945434323659</v>
      </c>
      <c r="Q43">
        <v>0.2375207461588246</v>
      </c>
      <c r="R43">
        <v>0.2412925391078467</v>
      </c>
      <c r="S43">
        <v>0.23919282626425381</v>
      </c>
      <c r="T43">
        <v>0.24217132766875171</v>
      </c>
      <c r="U43">
        <v>0.2441816486809871</v>
      </c>
      <c r="V43">
        <v>0.24407656242461279</v>
      </c>
    </row>
    <row r="45" spans="1:22" x14ac:dyDescent="0.35">
      <c r="A45" t="s">
        <v>35</v>
      </c>
      <c r="B45" t="s">
        <v>48</v>
      </c>
      <c r="C45" t="s">
        <v>49</v>
      </c>
      <c r="D45" t="s">
        <v>50</v>
      </c>
      <c r="E45" t="s">
        <v>51</v>
      </c>
      <c r="F45" t="s">
        <v>52</v>
      </c>
      <c r="G45" t="s">
        <v>53</v>
      </c>
      <c r="H45" t="s">
        <v>54</v>
      </c>
      <c r="I45" t="s">
        <v>55</v>
      </c>
      <c r="J45" t="s">
        <v>56</v>
      </c>
      <c r="K45" t="s">
        <v>57</v>
      </c>
      <c r="L45" t="s">
        <v>58</v>
      </c>
      <c r="M45" t="s">
        <v>59</v>
      </c>
      <c r="N45" t="s">
        <v>60</v>
      </c>
      <c r="O45" t="s">
        <v>61</v>
      </c>
      <c r="P45" t="s">
        <v>62</v>
      </c>
      <c r="Q45" t="s">
        <v>63</v>
      </c>
      <c r="R45" t="s">
        <v>64</v>
      </c>
      <c r="S45" t="s">
        <v>65</v>
      </c>
      <c r="T45" t="s">
        <v>66</v>
      </c>
      <c r="U45" t="s">
        <v>70</v>
      </c>
      <c r="V45" t="s">
        <v>71</v>
      </c>
    </row>
    <row r="46" spans="1:22" x14ac:dyDescent="0.35">
      <c r="A46" t="s">
        <v>21</v>
      </c>
      <c r="B46">
        <v>134.36428329235119</v>
      </c>
      <c r="C46">
        <v>134.03043325043319</v>
      </c>
      <c r="D46">
        <v>135.01082013108359</v>
      </c>
      <c r="E46">
        <v>136.09272166002839</v>
      </c>
      <c r="F46">
        <v>136.37059792706319</v>
      </c>
      <c r="G46">
        <v>136.8923781864508</v>
      </c>
      <c r="H46">
        <v>137.17727947788671</v>
      </c>
      <c r="I46">
        <v>137.004396017923</v>
      </c>
      <c r="J46">
        <v>136.7968899413944</v>
      </c>
      <c r="K46">
        <v>136.93947473087951</v>
      </c>
      <c r="L46">
        <v>136.85220404335959</v>
      </c>
      <c r="M46">
        <v>137.94895532856131</v>
      </c>
      <c r="N46">
        <v>139.5511416970518</v>
      </c>
      <c r="O46">
        <v>139.650374971064</v>
      </c>
      <c r="P46">
        <v>140.14787275293409</v>
      </c>
      <c r="Q46">
        <v>140.4932955574796</v>
      </c>
      <c r="R46">
        <v>141.8914668568255</v>
      </c>
      <c r="S46">
        <v>144.0745300312725</v>
      </c>
      <c r="T46">
        <v>144.7910778711163</v>
      </c>
      <c r="U46">
        <v>145.56697710442569</v>
      </c>
      <c r="V46">
        <v>145.84195746364401</v>
      </c>
    </row>
    <row r="47" spans="1:22" x14ac:dyDescent="0.35">
      <c r="A47" t="s">
        <v>22</v>
      </c>
      <c r="B47">
        <v>-1.4889882045447109</v>
      </c>
      <c r="C47">
        <v>-1.779389182219177</v>
      </c>
      <c r="D47">
        <v>-2.2994816861730381</v>
      </c>
      <c r="E47">
        <v>-1.487713740732715</v>
      </c>
      <c r="F47">
        <v>-0.90823161614588344</v>
      </c>
      <c r="G47">
        <v>-0.4414515558691221</v>
      </c>
      <c r="H47">
        <v>-0.86459032827966098</v>
      </c>
      <c r="I47">
        <v>-1.4513036985832171</v>
      </c>
      <c r="J47">
        <v>-1.3172834763483929</v>
      </c>
      <c r="K47">
        <v>-0.72511012282211595</v>
      </c>
      <c r="L47">
        <v>-0.39133264394862982</v>
      </c>
      <c r="M47">
        <v>-0.28482662100992678</v>
      </c>
      <c r="N47">
        <v>0.11516320991538009</v>
      </c>
      <c r="O47">
        <v>-0.26836329047912949</v>
      </c>
      <c r="P47">
        <v>-0.84366685040853895</v>
      </c>
      <c r="Q47">
        <v>-0.63888637787638913</v>
      </c>
      <c r="R47">
        <v>-0.70339436948350453</v>
      </c>
      <c r="S47">
        <v>-0.58577528943214929</v>
      </c>
      <c r="T47">
        <v>-0.54806112364485671</v>
      </c>
      <c r="U47">
        <v>-0.31290700988841991</v>
      </c>
      <c r="V47">
        <v>-0.14437999412103861</v>
      </c>
    </row>
    <row r="48" spans="1:22" x14ac:dyDescent="0.35">
      <c r="A48" t="s">
        <v>23</v>
      </c>
      <c r="B48">
        <v>4.1316663603734423</v>
      </c>
      <c r="C48">
        <v>4.5813527875147937</v>
      </c>
      <c r="D48">
        <v>3.458699111534973</v>
      </c>
      <c r="E48">
        <v>2.4418997847382422</v>
      </c>
      <c r="F48">
        <v>2.9285195930343688</v>
      </c>
      <c r="G48">
        <v>3.0571550785455961</v>
      </c>
      <c r="H48">
        <v>3.0030849360796918</v>
      </c>
      <c r="I48">
        <v>2.8654818858798041</v>
      </c>
      <c r="J48">
        <v>3.020025553426799</v>
      </c>
      <c r="K48">
        <v>3.601275524125886</v>
      </c>
      <c r="L48">
        <v>3.916538337797788</v>
      </c>
      <c r="M48">
        <v>4.5399483863341974</v>
      </c>
      <c r="N48">
        <v>3.169059893119929</v>
      </c>
      <c r="O48">
        <v>3.1797814208297521</v>
      </c>
      <c r="P48">
        <v>2.7855173128528801</v>
      </c>
      <c r="Q48">
        <v>2.178543373406427</v>
      </c>
      <c r="R48">
        <v>1.130490930107283</v>
      </c>
      <c r="S48">
        <v>0.54577108193675483</v>
      </c>
      <c r="T48">
        <v>-0.32530795867625528</v>
      </c>
      <c r="U48">
        <v>-1.33285337791919</v>
      </c>
      <c r="V48">
        <v>-1.4047228585081231</v>
      </c>
    </row>
    <row r="49" spans="1:22" x14ac:dyDescent="0.35">
      <c r="A49" t="s">
        <v>24</v>
      </c>
      <c r="B49">
        <v>1.2218517186439359</v>
      </c>
      <c r="C49">
        <v>1.402996430927991</v>
      </c>
      <c r="D49">
        <v>1.7532831274052469</v>
      </c>
      <c r="E49">
        <v>1.78972022002137</v>
      </c>
      <c r="F49">
        <v>2.037806645757561</v>
      </c>
      <c r="G49">
        <v>1.988542750024207</v>
      </c>
      <c r="H49">
        <v>1.8775045541680739</v>
      </c>
      <c r="I49">
        <v>1.839563961507289</v>
      </c>
      <c r="J49">
        <v>1.829141291391555</v>
      </c>
      <c r="K49">
        <v>1.9111547785505241</v>
      </c>
      <c r="L49">
        <v>1.8018751507089601</v>
      </c>
      <c r="M49">
        <v>1.2718203376049111</v>
      </c>
      <c r="N49">
        <v>1.2385118029466919</v>
      </c>
      <c r="O49">
        <v>1.361783728161249</v>
      </c>
      <c r="P49">
        <v>1.7799351911762651</v>
      </c>
      <c r="Q49">
        <v>1.869089311413884</v>
      </c>
      <c r="R49">
        <v>1.961077621487693</v>
      </c>
      <c r="S49">
        <v>1.47355463489293</v>
      </c>
      <c r="T49">
        <v>1.3475160918740201</v>
      </c>
      <c r="U49">
        <v>1.6037157092882111</v>
      </c>
      <c r="V49">
        <v>2.1874964546000308</v>
      </c>
    </row>
    <row r="50" spans="1:22" x14ac:dyDescent="0.35">
      <c r="A50" t="s">
        <v>25</v>
      </c>
      <c r="B50">
        <v>-0.19212612570981721</v>
      </c>
      <c r="C50">
        <v>-0.21915980175881419</v>
      </c>
      <c r="D50">
        <v>-0.26016234600327148</v>
      </c>
      <c r="E50">
        <v>-0.1436191557361535</v>
      </c>
      <c r="F50">
        <v>-0.17779438350925439</v>
      </c>
      <c r="G50">
        <v>-0.23404375152464879</v>
      </c>
      <c r="H50">
        <v>-0.2419084587770956</v>
      </c>
      <c r="I50">
        <v>-0.17073501170256361</v>
      </c>
      <c r="J50">
        <v>-0.16039278947698629</v>
      </c>
      <c r="K50">
        <v>-0.17358391233358361</v>
      </c>
      <c r="L50">
        <v>-0.1081127515810654</v>
      </c>
      <c r="M50">
        <v>-0.26644132432141032</v>
      </c>
      <c r="N50">
        <v>-0.10613986551781859</v>
      </c>
      <c r="O50">
        <v>-0.2022881484111963</v>
      </c>
      <c r="P50">
        <v>-0.16327198012711819</v>
      </c>
      <c r="Q50">
        <v>-0.1012741240132797</v>
      </c>
      <c r="R50">
        <v>-7.0917937077019377E-2</v>
      </c>
      <c r="S50">
        <v>-0.113072782177675</v>
      </c>
      <c r="T50">
        <v>-0.36425744801673771</v>
      </c>
      <c r="U50">
        <v>-0.39499603270446848</v>
      </c>
      <c r="V50">
        <v>-0.13926907708749101</v>
      </c>
    </row>
    <row r="51" spans="1:22" x14ac:dyDescent="0.35">
      <c r="A51" t="s">
        <v>26</v>
      </c>
      <c r="B51">
        <v>138.03668704111399</v>
      </c>
      <c r="C51">
        <v>138.01623348489801</v>
      </c>
      <c r="D51">
        <v>137.66315833784751</v>
      </c>
      <c r="E51">
        <v>138.69300876831909</v>
      </c>
      <c r="F51">
        <v>140.25089816619999</v>
      </c>
      <c r="G51">
        <v>141.26258070762691</v>
      </c>
      <c r="H51">
        <v>140.95137018107769</v>
      </c>
      <c r="I51">
        <v>140.0874031550243</v>
      </c>
      <c r="J51">
        <v>140.16838052038739</v>
      </c>
      <c r="K51">
        <v>141.5532109984002</v>
      </c>
      <c r="L51">
        <v>142.0711721363366</v>
      </c>
      <c r="M51">
        <v>143.20945610716899</v>
      </c>
      <c r="N51">
        <v>143.96773673751599</v>
      </c>
      <c r="O51">
        <v>143.72128868116471</v>
      </c>
      <c r="P51">
        <v>143.70638642642751</v>
      </c>
      <c r="Q51">
        <v>143.80076774041021</v>
      </c>
      <c r="R51">
        <v>144.20872310185999</v>
      </c>
      <c r="S51">
        <v>145.39500767649241</v>
      </c>
      <c r="T51">
        <v>144.90096743265249</v>
      </c>
      <c r="U51">
        <v>145.1299363932018</v>
      </c>
      <c r="V51">
        <v>146.34108198852741</v>
      </c>
    </row>
    <row r="52" spans="1:22" x14ac:dyDescent="0.35">
      <c r="A52" t="s">
        <v>27</v>
      </c>
      <c r="B52">
        <v>38477597.130000003</v>
      </c>
      <c r="C52">
        <v>41691974.539999999</v>
      </c>
      <c r="D52">
        <v>70978039.359999999</v>
      </c>
      <c r="E52">
        <v>53091558.990000002</v>
      </c>
      <c r="F52">
        <v>39710399.25</v>
      </c>
      <c r="G52">
        <v>37422826.590000004</v>
      </c>
      <c r="H52">
        <v>39053427.369999997</v>
      </c>
      <c r="I52">
        <v>33437034.600000001</v>
      </c>
      <c r="J52">
        <v>36195578.530000001</v>
      </c>
      <c r="K52">
        <v>38482419.890000001</v>
      </c>
      <c r="L52">
        <v>27220312.309999999</v>
      </c>
      <c r="M52">
        <v>25710349.010000002</v>
      </c>
      <c r="N52">
        <v>27176409.02</v>
      </c>
      <c r="O52">
        <v>26545115.27</v>
      </c>
      <c r="P52">
        <v>42828165.989999987</v>
      </c>
      <c r="Q52">
        <v>26319309.84</v>
      </c>
      <c r="R52">
        <v>17392589.59</v>
      </c>
      <c r="S52">
        <v>16770443.52</v>
      </c>
      <c r="T52">
        <v>15961965.34</v>
      </c>
      <c r="U52">
        <v>13992728.68</v>
      </c>
      <c r="V52">
        <v>12512209.09</v>
      </c>
    </row>
    <row r="53" spans="1:22" x14ac:dyDescent="0.35">
      <c r="A53" t="s">
        <v>28</v>
      </c>
      <c r="B53">
        <v>1.352771407681856</v>
      </c>
      <c r="C53">
        <v>1.339455783329573</v>
      </c>
      <c r="D53">
        <v>1.314436508665384</v>
      </c>
      <c r="E53">
        <v>1.3118875486892141</v>
      </c>
      <c r="F53">
        <v>1.2947920135270981</v>
      </c>
      <c r="G53">
        <v>1.298151223319576</v>
      </c>
      <c r="H53">
        <v>1.3057869979195631</v>
      </c>
      <c r="I53">
        <v>1.308416694269809</v>
      </c>
      <c r="J53">
        <v>1.3091409543604451</v>
      </c>
      <c r="K53">
        <v>1.3034635001749659</v>
      </c>
      <c r="L53">
        <v>1.311039446992101</v>
      </c>
      <c r="M53">
        <v>1.3490719339697239</v>
      </c>
      <c r="N53">
        <v>1.3515357100581771</v>
      </c>
      <c r="O53">
        <v>1.3424621684327209</v>
      </c>
      <c r="P53">
        <v>1.31257108978639</v>
      </c>
      <c r="Q53">
        <v>1.3063693532410841</v>
      </c>
      <c r="R53">
        <v>1.3000315958870039</v>
      </c>
      <c r="S53">
        <v>1.3343398434777121</v>
      </c>
      <c r="T53">
        <v>1.3435061114848841</v>
      </c>
      <c r="U53">
        <v>1.3250041220363891</v>
      </c>
      <c r="V53">
        <v>1.284690791126655</v>
      </c>
    </row>
    <row r="54" spans="1:22" x14ac:dyDescent="0.35">
      <c r="A54" t="s">
        <v>29</v>
      </c>
      <c r="B54">
        <v>0.23774465893871169</v>
      </c>
      <c r="C54">
        <v>0.23813085431084019</v>
      </c>
      <c r="D54">
        <v>0.23871660494290389</v>
      </c>
      <c r="E54">
        <v>0.23705170222480221</v>
      </c>
      <c r="F54">
        <v>0.23753991976441791</v>
      </c>
      <c r="G54">
        <v>0.2383434821646378</v>
      </c>
      <c r="H54">
        <v>0.23845583512538709</v>
      </c>
      <c r="I54">
        <v>0.23743907159575089</v>
      </c>
      <c r="J54">
        <v>0.23729132556395691</v>
      </c>
      <c r="K54">
        <v>0.23747977017619401</v>
      </c>
      <c r="L54">
        <v>0.23654446787972949</v>
      </c>
      <c r="M54">
        <v>0.23880630463316299</v>
      </c>
      <c r="N54">
        <v>0.23651628379311171</v>
      </c>
      <c r="O54">
        <v>0.23788983069158851</v>
      </c>
      <c r="P54">
        <v>0.23733245685895879</v>
      </c>
      <c r="Q54">
        <v>0.2364467732001897</v>
      </c>
      <c r="R54">
        <v>0.23601311338681449</v>
      </c>
      <c r="S54">
        <v>0.23661532545968109</v>
      </c>
      <c r="T54">
        <v>0.2402036778288105</v>
      </c>
      <c r="U54">
        <v>0.24064280046720671</v>
      </c>
      <c r="V54">
        <v>0.236989558244107</v>
      </c>
    </row>
    <row r="56" spans="1:22" x14ac:dyDescent="0.35">
      <c r="A56" t="s">
        <v>36</v>
      </c>
      <c r="B56" t="s">
        <v>48</v>
      </c>
      <c r="C56" t="s">
        <v>49</v>
      </c>
      <c r="D56" t="s">
        <v>50</v>
      </c>
      <c r="E56" t="s">
        <v>51</v>
      </c>
      <c r="F56" t="s">
        <v>52</v>
      </c>
      <c r="G56" t="s">
        <v>53</v>
      </c>
      <c r="H56" t="s">
        <v>54</v>
      </c>
      <c r="I56" t="s">
        <v>55</v>
      </c>
      <c r="J56" t="s">
        <v>56</v>
      </c>
      <c r="K56" t="s">
        <v>57</v>
      </c>
      <c r="L56" t="s">
        <v>58</v>
      </c>
      <c r="M56" t="s">
        <v>59</v>
      </c>
      <c r="N56" t="s">
        <v>60</v>
      </c>
      <c r="O56" t="s">
        <v>61</v>
      </c>
      <c r="P56" t="s">
        <v>62</v>
      </c>
      <c r="Q56" t="s">
        <v>63</v>
      </c>
      <c r="R56" t="s">
        <v>64</v>
      </c>
      <c r="S56" t="s">
        <v>65</v>
      </c>
      <c r="T56" t="s">
        <v>66</v>
      </c>
      <c r="U56" t="s">
        <v>70</v>
      </c>
      <c r="V56" t="s">
        <v>71</v>
      </c>
    </row>
    <row r="57" spans="1:22" x14ac:dyDescent="0.35">
      <c r="A57" t="s">
        <v>21</v>
      </c>
      <c r="B57">
        <v>140.00187422513321</v>
      </c>
      <c r="C57">
        <v>139.58231385995111</v>
      </c>
      <c r="D57">
        <v>139.69243477931039</v>
      </c>
      <c r="E57">
        <v>139.81185596064211</v>
      </c>
      <c r="F57">
        <v>139.80736887266229</v>
      </c>
      <c r="G57">
        <v>139.99039728109071</v>
      </c>
      <c r="H57">
        <v>140.13812276144941</v>
      </c>
      <c r="I57">
        <v>139.74641615198391</v>
      </c>
      <c r="J57">
        <v>139.852726401778</v>
      </c>
      <c r="K57">
        <v>140.19002198155829</v>
      </c>
      <c r="L57">
        <v>140.75184859632159</v>
      </c>
      <c r="M57">
        <v>141.8630778429746</v>
      </c>
      <c r="N57">
        <v>141.74660826253341</v>
      </c>
      <c r="O57">
        <v>142.07628750630369</v>
      </c>
      <c r="P57">
        <v>142.44616016064541</v>
      </c>
      <c r="Q57">
        <v>142.9128287488243</v>
      </c>
      <c r="R57">
        <v>142.98220859294011</v>
      </c>
      <c r="S57">
        <v>142.94548344593511</v>
      </c>
      <c r="T57">
        <v>143.2970837804919</v>
      </c>
      <c r="U57">
        <v>143.92994406619269</v>
      </c>
      <c r="V57">
        <v>143.9083521686504</v>
      </c>
    </row>
    <row r="58" spans="1:22" x14ac:dyDescent="0.35">
      <c r="A58" t="s">
        <v>22</v>
      </c>
      <c r="B58">
        <v>0.93976127727756875</v>
      </c>
      <c r="C58">
        <v>0.51836653158176205</v>
      </c>
      <c r="D58">
        <v>0.40900348827324251</v>
      </c>
      <c r="E58">
        <v>1.467693648174873</v>
      </c>
      <c r="F58">
        <v>1.9116408221852339</v>
      </c>
      <c r="G58">
        <v>1.971805558525602</v>
      </c>
      <c r="H58">
        <v>1.854883124724068</v>
      </c>
      <c r="I58">
        <v>0.95891655034679957</v>
      </c>
      <c r="J58">
        <v>1.042468056890272</v>
      </c>
      <c r="K58">
        <v>1.561155529481709</v>
      </c>
      <c r="L58">
        <v>1.293023022633236</v>
      </c>
      <c r="M58">
        <v>1.1413545166786889</v>
      </c>
      <c r="N58">
        <v>0.76208033141725195</v>
      </c>
      <c r="O58">
        <v>0.28401957055305621</v>
      </c>
      <c r="P58">
        <v>0.15154009626945711</v>
      </c>
      <c r="Q58">
        <v>0.41760444137068481</v>
      </c>
      <c r="R58">
        <v>0.3577656353481018</v>
      </c>
      <c r="S58">
        <v>0.16061236547733421</v>
      </c>
      <c r="T58">
        <v>0.26844787748541421</v>
      </c>
      <c r="U58">
        <v>0.4082500365363444</v>
      </c>
      <c r="V58">
        <v>0.46085936528930921</v>
      </c>
    </row>
    <row r="59" spans="1:22" x14ac:dyDescent="0.35">
      <c r="A59" t="s">
        <v>23</v>
      </c>
      <c r="B59">
        <v>-0.57781159803969206</v>
      </c>
      <c r="C59">
        <v>-0.63186071137569511</v>
      </c>
      <c r="D59">
        <v>-0.44428776813724219</v>
      </c>
      <c r="E59">
        <v>-0.31753584977953447</v>
      </c>
      <c r="F59">
        <v>0.28041782971521839</v>
      </c>
      <c r="G59">
        <v>0.49185668218447848</v>
      </c>
      <c r="H59">
        <v>0.54938003699436344</v>
      </c>
      <c r="I59">
        <v>0.8024647740238281</v>
      </c>
      <c r="J59">
        <v>0.5722872084788444</v>
      </c>
      <c r="K59">
        <v>0.73900786137891128</v>
      </c>
      <c r="L59">
        <v>0.6572996252118255</v>
      </c>
      <c r="M59">
        <v>1.4515096578075839</v>
      </c>
      <c r="N59">
        <v>1.0032434742215239</v>
      </c>
      <c r="O59">
        <v>0.68947528489663212</v>
      </c>
      <c r="P59">
        <v>0.81194331358468552</v>
      </c>
      <c r="Q59">
        <v>1.165643328263952</v>
      </c>
      <c r="R59">
        <v>1.108439527798383</v>
      </c>
      <c r="S59">
        <v>0.57517054564110526</v>
      </c>
      <c r="T59">
        <v>0.74446614939350098</v>
      </c>
      <c r="U59">
        <v>0.84558621020782199</v>
      </c>
      <c r="V59">
        <v>0.59604357682700482</v>
      </c>
    </row>
    <row r="60" spans="1:22" x14ac:dyDescent="0.35">
      <c r="A60" t="s">
        <v>24</v>
      </c>
      <c r="B60">
        <v>-1.4528219152995701</v>
      </c>
      <c r="C60">
        <v>-0.52069732748770636</v>
      </c>
      <c r="D60">
        <v>-0.50989008563823612</v>
      </c>
      <c r="E60">
        <v>-0.21748690651727751</v>
      </c>
      <c r="F60">
        <v>-0.40627198430266698</v>
      </c>
      <c r="G60">
        <v>-0.32166589548604191</v>
      </c>
      <c r="H60">
        <v>-0.26176945116062228</v>
      </c>
      <c r="I60">
        <v>-0.46462670301122883</v>
      </c>
      <c r="J60">
        <v>-0.82327363194454106</v>
      </c>
      <c r="K60">
        <v>-0.66662769466088889</v>
      </c>
      <c r="L60">
        <v>-0.57158612722314583</v>
      </c>
      <c r="M60">
        <v>0.56020399411396138</v>
      </c>
      <c r="N60">
        <v>0.44021489437537947</v>
      </c>
      <c r="O60">
        <v>0.56148115468605209</v>
      </c>
      <c r="P60">
        <v>0.44007291127528231</v>
      </c>
      <c r="Q60">
        <v>0.50463724677118249</v>
      </c>
      <c r="R60">
        <v>1.2590270352203139</v>
      </c>
      <c r="S60">
        <v>1.4621636923618999</v>
      </c>
      <c r="T60">
        <v>1.5308707652763209</v>
      </c>
      <c r="U60">
        <v>1.0634793187310141</v>
      </c>
      <c r="V60">
        <v>0.54716377877662581</v>
      </c>
    </row>
    <row r="61" spans="1:22" x14ac:dyDescent="0.35">
      <c r="A61" t="s">
        <v>25</v>
      </c>
      <c r="B61">
        <v>-0.25085866679637792</v>
      </c>
      <c r="C61">
        <v>-2.705321692972457E-2</v>
      </c>
      <c r="D61">
        <v>-5.1557950882397119E-2</v>
      </c>
      <c r="E61">
        <v>4.6935155842799427E-2</v>
      </c>
      <c r="F61">
        <v>-7.8838868890839492E-2</v>
      </c>
      <c r="G61">
        <v>-0.1440813783076452</v>
      </c>
      <c r="H61">
        <v>-9.5991149643794335E-2</v>
      </c>
      <c r="I61">
        <v>-0.13568882991838241</v>
      </c>
      <c r="J61">
        <v>0.29717056664644731</v>
      </c>
      <c r="K61">
        <v>0.5887133673280851</v>
      </c>
      <c r="L61">
        <v>0.66691098858540587</v>
      </c>
      <c r="M61">
        <v>0.83227782831676478</v>
      </c>
      <c r="N61">
        <v>0.25361585046056367</v>
      </c>
      <c r="O61">
        <v>0.45468182299286097</v>
      </c>
      <c r="P61">
        <v>0.60737728482436193</v>
      </c>
      <c r="Q61">
        <v>0.64910294188634854</v>
      </c>
      <c r="R61">
        <v>0.71842068777994317</v>
      </c>
      <c r="S61">
        <v>0.72621559499010135</v>
      </c>
      <c r="T61">
        <v>0.92298615133907713</v>
      </c>
      <c r="U61">
        <v>1.0713142077516931</v>
      </c>
      <c r="V61">
        <v>1.049365821508017</v>
      </c>
    </row>
    <row r="62" spans="1:22" x14ac:dyDescent="0.35">
      <c r="A62" t="s">
        <v>26</v>
      </c>
      <c r="B62">
        <v>138.6601433222751</v>
      </c>
      <c r="C62">
        <v>138.9210691357398</v>
      </c>
      <c r="D62">
        <v>139.09570246292569</v>
      </c>
      <c r="E62">
        <v>140.791462008363</v>
      </c>
      <c r="F62">
        <v>141.51431667136919</v>
      </c>
      <c r="G62">
        <v>141.98831224800699</v>
      </c>
      <c r="H62">
        <v>142.18462532236339</v>
      </c>
      <c r="I62">
        <v>140.9074819434249</v>
      </c>
      <c r="J62">
        <v>140.9413786018491</v>
      </c>
      <c r="K62">
        <v>142.4122710450861</v>
      </c>
      <c r="L62">
        <v>142.79749610552889</v>
      </c>
      <c r="M62">
        <v>145.84842383989161</v>
      </c>
      <c r="N62">
        <v>144.20576281300811</v>
      </c>
      <c r="O62">
        <v>144.06594533943229</v>
      </c>
      <c r="P62">
        <v>144.4570937665992</v>
      </c>
      <c r="Q62">
        <v>145.64981670711651</v>
      </c>
      <c r="R62">
        <v>146.4258614790869</v>
      </c>
      <c r="S62">
        <v>145.86964564440561</v>
      </c>
      <c r="T62">
        <v>146.76385472398621</v>
      </c>
      <c r="U62">
        <v>147.31857383941951</v>
      </c>
      <c r="V62">
        <v>146.56178471105139</v>
      </c>
    </row>
    <row r="63" spans="1:22" x14ac:dyDescent="0.35">
      <c r="A63" t="s">
        <v>27</v>
      </c>
      <c r="B63">
        <v>97266973.449999988</v>
      </c>
      <c r="C63">
        <v>140209841.40000001</v>
      </c>
      <c r="D63">
        <v>203309615.94</v>
      </c>
      <c r="E63">
        <v>136829594.90000001</v>
      </c>
      <c r="F63">
        <v>129792336.12</v>
      </c>
      <c r="G63">
        <v>118326828.31</v>
      </c>
      <c r="H63">
        <v>119013396.65000001</v>
      </c>
      <c r="I63">
        <v>123393314.67</v>
      </c>
      <c r="J63">
        <v>136201560.53</v>
      </c>
      <c r="K63">
        <v>120206677.98999999</v>
      </c>
      <c r="L63">
        <v>104007862.43000001</v>
      </c>
      <c r="M63">
        <v>116955201.51000001</v>
      </c>
      <c r="N63">
        <v>134109345.7</v>
      </c>
      <c r="O63">
        <v>168225192.22999999</v>
      </c>
      <c r="P63">
        <v>257311736.72999999</v>
      </c>
      <c r="Q63">
        <v>157463836.25</v>
      </c>
      <c r="R63">
        <v>158650736.91999999</v>
      </c>
      <c r="S63">
        <v>168080497.08000001</v>
      </c>
      <c r="T63">
        <v>164648763.87</v>
      </c>
      <c r="U63">
        <v>164576835.40000001</v>
      </c>
      <c r="V63">
        <v>137713897.58000001</v>
      </c>
    </row>
    <row r="64" spans="1:22" x14ac:dyDescent="0.35">
      <c r="A64" t="s">
        <v>28</v>
      </c>
      <c r="B64">
        <v>1.683517856709825</v>
      </c>
      <c r="C64">
        <v>1.62229836319813</v>
      </c>
      <c r="D64">
        <v>1.621614671075259</v>
      </c>
      <c r="E64">
        <v>1.6033327957892971</v>
      </c>
      <c r="F64">
        <v>1.6150886724624081</v>
      </c>
      <c r="G64">
        <v>1.6097989007783149</v>
      </c>
      <c r="H64">
        <v>1.6060749341246241</v>
      </c>
      <c r="I64">
        <v>1.61875745054075</v>
      </c>
      <c r="J64">
        <v>1.641676884668122</v>
      </c>
      <c r="K64">
        <v>1.6315870423917851</v>
      </c>
      <c r="L64">
        <v>1.6255254751276469</v>
      </c>
      <c r="M64">
        <v>1.5566570832311919</v>
      </c>
      <c r="N64">
        <v>1.563680526611273</v>
      </c>
      <c r="O64">
        <v>1.556582665237805</v>
      </c>
      <c r="P64">
        <v>1.5636888749937801</v>
      </c>
      <c r="Q64">
        <v>1.5599017678422169</v>
      </c>
      <c r="R64">
        <v>1.5169739814504839</v>
      </c>
      <c r="S64">
        <v>1.505815489500391</v>
      </c>
      <c r="T64">
        <v>1.5020784032612571</v>
      </c>
      <c r="U64">
        <v>1.5278729508714579</v>
      </c>
      <c r="V64">
        <v>1.5574173220245171</v>
      </c>
    </row>
    <row r="65" spans="1:22" x14ac:dyDescent="0.35">
      <c r="A65" t="s">
        <v>29</v>
      </c>
      <c r="B65">
        <v>0.25232940190596642</v>
      </c>
      <c r="C65">
        <v>0.25025120844291893</v>
      </c>
      <c r="D65">
        <v>0.25047875240105077</v>
      </c>
      <c r="E65">
        <v>0.24956417355288829</v>
      </c>
      <c r="F65">
        <v>0.25073207521112922</v>
      </c>
      <c r="G65">
        <v>0.25133789851285671</v>
      </c>
      <c r="H65">
        <v>0.25089134638954952</v>
      </c>
      <c r="I65">
        <v>0.25125996770638498</v>
      </c>
      <c r="J65">
        <v>0.2472405590239973</v>
      </c>
      <c r="K65">
        <v>0.24453337587481061</v>
      </c>
      <c r="L65">
        <v>0.24380725510599269</v>
      </c>
      <c r="M65">
        <v>0.24227170587991581</v>
      </c>
      <c r="N65">
        <v>0.24764499567429479</v>
      </c>
      <c r="O65">
        <v>0.2457779545007806</v>
      </c>
      <c r="P65">
        <v>0.2443600680694881</v>
      </c>
      <c r="Q65">
        <v>0.24397261553962679</v>
      </c>
      <c r="R65">
        <v>0.2433289507563291</v>
      </c>
      <c r="S65">
        <v>0.24325656947509189</v>
      </c>
      <c r="T65">
        <v>0.24142941430899431</v>
      </c>
      <c r="U65">
        <v>0.2400520823565914</v>
      </c>
      <c r="V65">
        <v>0.2402558888002827</v>
      </c>
    </row>
    <row r="67" spans="1:22" x14ac:dyDescent="0.35">
      <c r="A67" t="s">
        <v>37</v>
      </c>
      <c r="B67" t="s">
        <v>48</v>
      </c>
      <c r="C67" t="s">
        <v>49</v>
      </c>
      <c r="D67" t="s">
        <v>50</v>
      </c>
      <c r="E67" t="s">
        <v>51</v>
      </c>
      <c r="F67" t="s">
        <v>52</v>
      </c>
      <c r="G67" t="s">
        <v>53</v>
      </c>
      <c r="H67" t="s">
        <v>54</v>
      </c>
      <c r="I67" t="s">
        <v>55</v>
      </c>
      <c r="J67" t="s">
        <v>56</v>
      </c>
      <c r="K67" t="s">
        <v>57</v>
      </c>
      <c r="L67" t="s">
        <v>58</v>
      </c>
      <c r="M67" t="s">
        <v>59</v>
      </c>
      <c r="N67" t="s">
        <v>60</v>
      </c>
      <c r="O67" t="s">
        <v>61</v>
      </c>
      <c r="P67" t="s">
        <v>62</v>
      </c>
      <c r="Q67" t="s">
        <v>63</v>
      </c>
      <c r="R67" t="s">
        <v>64</v>
      </c>
      <c r="S67" t="s">
        <v>65</v>
      </c>
      <c r="T67" t="s">
        <v>66</v>
      </c>
      <c r="U67" t="s">
        <v>70</v>
      </c>
      <c r="V67" t="s">
        <v>71</v>
      </c>
    </row>
    <row r="68" spans="1:22" x14ac:dyDescent="0.35">
      <c r="A68" t="s">
        <v>21</v>
      </c>
      <c r="B68">
        <v>138.09408784185209</v>
      </c>
      <c r="C68">
        <v>138.15625322377079</v>
      </c>
      <c r="D68">
        <v>138.0873895414916</v>
      </c>
      <c r="E68">
        <v>138.81573255913219</v>
      </c>
      <c r="F68">
        <v>139.3729753286805</v>
      </c>
      <c r="G68">
        <v>139.38547145922371</v>
      </c>
      <c r="H68">
        <v>139.60065685518589</v>
      </c>
      <c r="I68">
        <v>139.24971629735501</v>
      </c>
      <c r="J68">
        <v>139.77933794473839</v>
      </c>
      <c r="K68">
        <v>139.9150471630135</v>
      </c>
      <c r="L68">
        <v>140.1203591632999</v>
      </c>
      <c r="M68">
        <v>141.3947971373579</v>
      </c>
      <c r="N68">
        <v>141.81844229661991</v>
      </c>
      <c r="O68">
        <v>141.57025252197349</v>
      </c>
      <c r="P68">
        <v>141.61160323516069</v>
      </c>
      <c r="Q68">
        <v>141.9522095198829</v>
      </c>
      <c r="R68">
        <v>141.94894976587219</v>
      </c>
      <c r="S68">
        <v>142.15773646884381</v>
      </c>
      <c r="T68">
        <v>142.19511904320669</v>
      </c>
      <c r="U68">
        <v>142.46480934287939</v>
      </c>
      <c r="V68">
        <v>142.62533870543669</v>
      </c>
    </row>
    <row r="69" spans="1:22" x14ac:dyDescent="0.35">
      <c r="A69" t="s">
        <v>22</v>
      </c>
      <c r="B69">
        <v>0.56322201489253743</v>
      </c>
      <c r="C69">
        <v>0.47587758430365951</v>
      </c>
      <c r="D69">
        <v>0.16366807575199771</v>
      </c>
      <c r="E69">
        <v>0.50413685803940977</v>
      </c>
      <c r="F69">
        <v>0.95417046034404596</v>
      </c>
      <c r="G69">
        <v>1.2774727336510241</v>
      </c>
      <c r="H69">
        <v>0.87844103438508947</v>
      </c>
      <c r="I69">
        <v>1.2697098303635579</v>
      </c>
      <c r="J69">
        <v>1.628688075770089</v>
      </c>
      <c r="K69">
        <v>1.4355209740321639</v>
      </c>
      <c r="L69">
        <v>1.3692867530891391</v>
      </c>
      <c r="M69">
        <v>1.7905963282079</v>
      </c>
      <c r="N69">
        <v>1.937968863632624</v>
      </c>
      <c r="O69">
        <v>1.761364624211297</v>
      </c>
      <c r="P69">
        <v>1.6965552529463579</v>
      </c>
      <c r="Q69">
        <v>1.9994372850701909</v>
      </c>
      <c r="R69">
        <v>2.1527927858857541</v>
      </c>
      <c r="S69">
        <v>2.131968894698276</v>
      </c>
      <c r="T69">
        <v>2.2016186934037512</v>
      </c>
      <c r="U69">
        <v>2.2315197030908318</v>
      </c>
      <c r="V69">
        <v>2.4153513935129398</v>
      </c>
    </row>
    <row r="70" spans="1:22" x14ac:dyDescent="0.35">
      <c r="A70" t="s">
        <v>23</v>
      </c>
      <c r="B70">
        <v>1.9948056352437791</v>
      </c>
      <c r="C70">
        <v>1.5499900103498121</v>
      </c>
      <c r="D70">
        <v>1.333937777827138</v>
      </c>
      <c r="E70">
        <v>1.681632760477926</v>
      </c>
      <c r="F70">
        <v>1.859666672934249</v>
      </c>
      <c r="G70">
        <v>2.3836151712034268</v>
      </c>
      <c r="H70">
        <v>2.6308263760662038</v>
      </c>
      <c r="I70">
        <v>2.300756723486705</v>
      </c>
      <c r="J70">
        <v>2.7118601067929848</v>
      </c>
      <c r="K70">
        <v>3.5679147582712711</v>
      </c>
      <c r="L70">
        <v>3.3302746032444071</v>
      </c>
      <c r="M70">
        <v>3.690473360324563</v>
      </c>
      <c r="N70">
        <v>3.4911491050600838</v>
      </c>
      <c r="O70">
        <v>2.4053742778891118</v>
      </c>
      <c r="P70">
        <v>2.153257336487798</v>
      </c>
      <c r="Q70">
        <v>2.5213313481353041</v>
      </c>
      <c r="R70">
        <v>3.3244502653712802</v>
      </c>
      <c r="S70">
        <v>2.9531559410297481</v>
      </c>
      <c r="T70">
        <v>2.8874246806904922</v>
      </c>
      <c r="U70">
        <v>3.1219553284594652</v>
      </c>
      <c r="V70">
        <v>3.2740324898510749</v>
      </c>
    </row>
    <row r="71" spans="1:22" x14ac:dyDescent="0.35">
      <c r="A71" t="s">
        <v>24</v>
      </c>
      <c r="B71">
        <v>4.5441640607944178</v>
      </c>
      <c r="C71">
        <v>4.1454641096234246</v>
      </c>
      <c r="D71">
        <v>4.488281654574549</v>
      </c>
      <c r="E71">
        <v>4.8617399084535364</v>
      </c>
      <c r="F71">
        <v>5.2748225709718897</v>
      </c>
      <c r="G71">
        <v>5.460177151092517</v>
      </c>
      <c r="H71">
        <v>5.017778810859447</v>
      </c>
      <c r="I71">
        <v>4.9491953835259892</v>
      </c>
      <c r="J71">
        <v>5.0808639534330906</v>
      </c>
      <c r="K71">
        <v>5.3139909259691427</v>
      </c>
      <c r="L71">
        <v>4.8494566091473921</v>
      </c>
      <c r="M71">
        <v>4.5827039034914758</v>
      </c>
      <c r="N71">
        <v>4.2902104543109703</v>
      </c>
      <c r="O71">
        <v>4.0206687173214677</v>
      </c>
      <c r="P71">
        <v>4.1376967038978956</v>
      </c>
      <c r="Q71">
        <v>4.1730795193423917</v>
      </c>
      <c r="R71">
        <v>4.4951633258737909</v>
      </c>
      <c r="S71">
        <v>4.2390848432029982</v>
      </c>
      <c r="T71">
        <v>4.1412933675160559</v>
      </c>
      <c r="U71">
        <v>4.2510460648818551</v>
      </c>
      <c r="V71">
        <v>4.3063100557705729</v>
      </c>
    </row>
    <row r="72" spans="1:22" x14ac:dyDescent="0.35">
      <c r="A72" t="s">
        <v>25</v>
      </c>
      <c r="B72">
        <v>-0.24344325234612049</v>
      </c>
      <c r="C72">
        <v>-0.36845111042202422</v>
      </c>
      <c r="D72">
        <v>-0.26065623622144829</v>
      </c>
      <c r="E72">
        <v>-0.12956050222535381</v>
      </c>
      <c r="F72">
        <v>-7.3306256083211674E-2</v>
      </c>
      <c r="G72">
        <v>-4.2039084929945222E-2</v>
      </c>
      <c r="H72">
        <v>-5.1958433210246582E-2</v>
      </c>
      <c r="I72">
        <v>-0.1428967454669163</v>
      </c>
      <c r="J72">
        <v>-0.1297589519461182</v>
      </c>
      <c r="K72">
        <v>-0.11858358044430969</v>
      </c>
      <c r="L72">
        <v>-0.13938046903371901</v>
      </c>
      <c r="M72">
        <v>-8.4907435083892507E-2</v>
      </c>
      <c r="N72">
        <v>7.0793354888023088E-2</v>
      </c>
      <c r="O72">
        <v>-6.1682986743852163E-2</v>
      </c>
      <c r="P72">
        <v>0.111862666180988</v>
      </c>
      <c r="Q72">
        <v>0.19976561029821219</v>
      </c>
      <c r="R72">
        <v>0.38853889788991458</v>
      </c>
      <c r="S72">
        <v>0.32795223113706279</v>
      </c>
      <c r="T72">
        <v>0.47813224178975477</v>
      </c>
      <c r="U72">
        <v>0.27203160786751962</v>
      </c>
      <c r="V72">
        <v>0.32798679657798741</v>
      </c>
    </row>
    <row r="73" spans="1:22" x14ac:dyDescent="0.35">
      <c r="A73" t="s">
        <v>26</v>
      </c>
      <c r="B73">
        <v>144.9528363004367</v>
      </c>
      <c r="C73">
        <v>143.95913381762571</v>
      </c>
      <c r="D73">
        <v>143.81262081342379</v>
      </c>
      <c r="E73">
        <v>145.73368158387771</v>
      </c>
      <c r="F73">
        <v>147.3883287768474</v>
      </c>
      <c r="G73">
        <v>148.46469743024059</v>
      </c>
      <c r="H73">
        <v>148.07574464328641</v>
      </c>
      <c r="I73">
        <v>147.62648148926431</v>
      </c>
      <c r="J73">
        <v>149.07099112878839</v>
      </c>
      <c r="K73">
        <v>150.1138902408417</v>
      </c>
      <c r="L73">
        <v>149.5299966597471</v>
      </c>
      <c r="M73">
        <v>151.3736632942979</v>
      </c>
      <c r="N73">
        <v>151.60856407451161</v>
      </c>
      <c r="O73">
        <v>149.69597715465159</v>
      </c>
      <c r="P73">
        <v>149.71097519467369</v>
      </c>
      <c r="Q73">
        <v>150.84582328272899</v>
      </c>
      <c r="R73">
        <v>152.30989504089291</v>
      </c>
      <c r="S73">
        <v>151.8098983789119</v>
      </c>
      <c r="T73">
        <v>151.9035880266068</v>
      </c>
      <c r="U73">
        <v>152.34136204717899</v>
      </c>
      <c r="V73">
        <v>152.94901944114929</v>
      </c>
    </row>
    <row r="74" spans="1:22" x14ac:dyDescent="0.35">
      <c r="A74" t="s">
        <v>27</v>
      </c>
      <c r="B74">
        <v>100020632.5</v>
      </c>
      <c r="C74">
        <v>99456929.800000012</v>
      </c>
      <c r="D74">
        <v>181991795.53999999</v>
      </c>
      <c r="E74">
        <v>143479517.38999999</v>
      </c>
      <c r="F74">
        <v>129248220.95</v>
      </c>
      <c r="G74">
        <v>117278819.13</v>
      </c>
      <c r="H74">
        <v>120408216.98999999</v>
      </c>
      <c r="I74">
        <v>108551850.23999999</v>
      </c>
      <c r="J74">
        <v>104264874.09999999</v>
      </c>
      <c r="K74">
        <v>102076409.55</v>
      </c>
      <c r="L74">
        <v>77262894.439999998</v>
      </c>
      <c r="M74">
        <v>89533458.879999995</v>
      </c>
      <c r="N74">
        <v>85380851.61999999</v>
      </c>
      <c r="O74">
        <v>110408891.40000001</v>
      </c>
      <c r="P74">
        <v>187535326.88</v>
      </c>
      <c r="Q74">
        <v>145377459.84</v>
      </c>
      <c r="R74">
        <v>136224383.25999999</v>
      </c>
      <c r="S74">
        <v>127479279.29000001</v>
      </c>
      <c r="T74">
        <v>124257595.01000001</v>
      </c>
      <c r="U74">
        <v>103408064.70999999</v>
      </c>
      <c r="V74">
        <v>89928195.040000007</v>
      </c>
    </row>
    <row r="75" spans="1:22" x14ac:dyDescent="0.35">
      <c r="A75" t="s">
        <v>28</v>
      </c>
      <c r="B75">
        <v>1.489597013763502</v>
      </c>
      <c r="C75">
        <v>1.5120391531302579</v>
      </c>
      <c r="D75">
        <v>1.4878908701271989</v>
      </c>
      <c r="E75">
        <v>1.4696372920923859</v>
      </c>
      <c r="F75">
        <v>1.4433032669999519</v>
      </c>
      <c r="G75">
        <v>1.4316814932415951</v>
      </c>
      <c r="H75">
        <v>1.4601108969004379</v>
      </c>
      <c r="I75">
        <v>1.4542110568763731</v>
      </c>
      <c r="J75">
        <v>1.435442130993974</v>
      </c>
      <c r="K75">
        <v>1.419302307785465</v>
      </c>
      <c r="L75">
        <v>1.443048151881698</v>
      </c>
      <c r="M75">
        <v>1.470390806507349</v>
      </c>
      <c r="N75">
        <v>1.493359185525005</v>
      </c>
      <c r="O75">
        <v>1.4987474065253099</v>
      </c>
      <c r="P75">
        <v>1.495576363670424</v>
      </c>
      <c r="Q75">
        <v>1.5015784402409931</v>
      </c>
      <c r="R75">
        <v>1.4853287118305429</v>
      </c>
      <c r="S75">
        <v>1.506339192923291</v>
      </c>
      <c r="T75">
        <v>1.514072806249094</v>
      </c>
      <c r="U75">
        <v>1.5149885814170181</v>
      </c>
      <c r="V75">
        <v>1.509671965764797</v>
      </c>
    </row>
    <row r="76" spans="1:22" x14ac:dyDescent="0.35">
      <c r="A76" t="s">
        <v>29</v>
      </c>
      <c r="B76">
        <v>0.25192725475645039</v>
      </c>
      <c r="C76">
        <v>0.25351655410713347</v>
      </c>
      <c r="D76">
        <v>0.25194796368209949</v>
      </c>
      <c r="E76">
        <v>0.25031501536248651</v>
      </c>
      <c r="F76">
        <v>0.24952716183454751</v>
      </c>
      <c r="G76">
        <v>0.24904809266284261</v>
      </c>
      <c r="H76">
        <v>0.24920477848271799</v>
      </c>
      <c r="I76">
        <v>0.25010351174069861</v>
      </c>
      <c r="J76">
        <v>0.24951327905543411</v>
      </c>
      <c r="K76">
        <v>0.24931760952160989</v>
      </c>
      <c r="L76">
        <v>0.2493870280895083</v>
      </c>
      <c r="M76">
        <v>0.24896367682547191</v>
      </c>
      <c r="N76">
        <v>0.24681592656369289</v>
      </c>
      <c r="O76">
        <v>0.2482828235378268</v>
      </c>
      <c r="P76">
        <v>0.24597109399238959</v>
      </c>
      <c r="Q76">
        <v>0.24498485330736269</v>
      </c>
      <c r="R76">
        <v>0.24254653144815799</v>
      </c>
      <c r="S76">
        <v>0.24355663435622801</v>
      </c>
      <c r="T76">
        <v>0.24140302770943389</v>
      </c>
      <c r="U76">
        <v>0.24470029382750841</v>
      </c>
      <c r="V76">
        <v>0.24380853955697271</v>
      </c>
    </row>
    <row r="78" spans="1:22" x14ac:dyDescent="0.35">
      <c r="A78" t="s">
        <v>38</v>
      </c>
      <c r="B78" t="s">
        <v>48</v>
      </c>
      <c r="C78" t="s">
        <v>49</v>
      </c>
      <c r="D78" t="s">
        <v>50</v>
      </c>
      <c r="E78" t="s">
        <v>51</v>
      </c>
      <c r="F78" t="s">
        <v>52</v>
      </c>
      <c r="G78" t="s">
        <v>53</v>
      </c>
      <c r="H78" t="s">
        <v>54</v>
      </c>
      <c r="I78" t="s">
        <v>55</v>
      </c>
      <c r="J78" t="s">
        <v>56</v>
      </c>
      <c r="K78" t="s">
        <v>57</v>
      </c>
      <c r="L78" t="s">
        <v>58</v>
      </c>
      <c r="M78" t="s">
        <v>59</v>
      </c>
      <c r="N78" t="s">
        <v>60</v>
      </c>
      <c r="O78" t="s">
        <v>61</v>
      </c>
      <c r="P78" t="s">
        <v>62</v>
      </c>
      <c r="Q78" t="s">
        <v>63</v>
      </c>
      <c r="R78" t="s">
        <v>64</v>
      </c>
      <c r="S78" t="s">
        <v>65</v>
      </c>
      <c r="T78" t="s">
        <v>66</v>
      </c>
      <c r="U78" t="s">
        <v>70</v>
      </c>
      <c r="V78" t="s">
        <v>71</v>
      </c>
    </row>
    <row r="79" spans="1:22" x14ac:dyDescent="0.35">
      <c r="A79" t="s">
        <v>21</v>
      </c>
      <c r="B79">
        <v>137.05787303092831</v>
      </c>
      <c r="C79">
        <v>136.93758573152681</v>
      </c>
      <c r="D79">
        <v>137.2241685776481</v>
      </c>
      <c r="E79">
        <v>138.08027902017551</v>
      </c>
      <c r="F79">
        <v>138.6673255951761</v>
      </c>
      <c r="G79">
        <v>138.78238416312249</v>
      </c>
      <c r="H79">
        <v>139.0071524248616</v>
      </c>
      <c r="I79">
        <v>138.72096468446611</v>
      </c>
      <c r="J79">
        <v>139.01078402870451</v>
      </c>
      <c r="K79">
        <v>139.1003902097456</v>
      </c>
      <c r="L79">
        <v>139.26892852856491</v>
      </c>
      <c r="M79">
        <v>140.62604611151559</v>
      </c>
      <c r="N79">
        <v>141.27101347581529</v>
      </c>
      <c r="O79">
        <v>141.19813218659721</v>
      </c>
      <c r="P79">
        <v>141.3394729107051</v>
      </c>
      <c r="Q79">
        <v>141.72857334619161</v>
      </c>
      <c r="R79">
        <v>141.94244152249951</v>
      </c>
      <c r="S79">
        <v>142.3805824996854</v>
      </c>
      <c r="T79">
        <v>142.49063134357149</v>
      </c>
      <c r="U79">
        <v>142.83454953418251</v>
      </c>
      <c r="V79">
        <v>143.01822085781899</v>
      </c>
    </row>
    <row r="80" spans="1:22" x14ac:dyDescent="0.35">
      <c r="A80" t="s">
        <v>22</v>
      </c>
      <c r="B80">
        <v>-6.9233094233697541E-3</v>
      </c>
      <c r="C80">
        <v>-0.1902737050062934</v>
      </c>
      <c r="D80">
        <v>-0.5274401776118891</v>
      </c>
      <c r="E80">
        <v>-3.3838796932059073E-2</v>
      </c>
      <c r="F80">
        <v>0.5164494968684924</v>
      </c>
      <c r="G80">
        <v>0.86165940917948558</v>
      </c>
      <c r="H80">
        <v>0.451558764365458</v>
      </c>
      <c r="I80">
        <v>0.62893697256567438</v>
      </c>
      <c r="J80">
        <v>0.86953386072040839</v>
      </c>
      <c r="K80">
        <v>0.84397995574252249</v>
      </c>
      <c r="L80">
        <v>0.91060433572150801</v>
      </c>
      <c r="M80">
        <v>1.327579274669668</v>
      </c>
      <c r="N80">
        <v>1.4978612088467891</v>
      </c>
      <c r="O80">
        <v>1.367952538123008</v>
      </c>
      <c r="P80">
        <v>1.2242883475502619</v>
      </c>
      <c r="Q80">
        <v>1.5950100027589891</v>
      </c>
      <c r="R80">
        <v>1.8294138645078799</v>
      </c>
      <c r="S80">
        <v>1.816004507010675</v>
      </c>
      <c r="T80">
        <v>1.888607485650186</v>
      </c>
      <c r="U80">
        <v>1.928255375714528</v>
      </c>
      <c r="V80">
        <v>2.1027023503124869</v>
      </c>
    </row>
    <row r="81" spans="1:22" x14ac:dyDescent="0.35">
      <c r="A81" t="s">
        <v>23</v>
      </c>
      <c r="B81">
        <v>2.5884685746482332</v>
      </c>
      <c r="C81">
        <v>2.4453813016816461</v>
      </c>
      <c r="D81">
        <v>1.9301013229159709</v>
      </c>
      <c r="E81">
        <v>1.8869720316972549</v>
      </c>
      <c r="F81">
        <v>2.1108795210651201</v>
      </c>
      <c r="G81">
        <v>2.5465466451163259</v>
      </c>
      <c r="H81">
        <v>2.7219954637467918</v>
      </c>
      <c r="I81">
        <v>2.433744138774224</v>
      </c>
      <c r="J81">
        <v>2.79127197265995</v>
      </c>
      <c r="K81">
        <v>3.5770483218089311</v>
      </c>
      <c r="L81">
        <v>3.4830099800284851</v>
      </c>
      <c r="M81">
        <v>3.879987224833735</v>
      </c>
      <c r="N81">
        <v>3.4133822145472532</v>
      </c>
      <c r="O81">
        <v>2.555473770230388</v>
      </c>
      <c r="P81">
        <v>2.2708043265912958</v>
      </c>
      <c r="Q81">
        <v>2.468785555147293</v>
      </c>
      <c r="R81">
        <v>3.076049105086367</v>
      </c>
      <c r="S81">
        <v>2.6732738655300281</v>
      </c>
      <c r="T81">
        <v>2.5217016181715701</v>
      </c>
      <c r="U81">
        <v>2.5909969954728682</v>
      </c>
      <c r="V81">
        <v>2.7025630028180578</v>
      </c>
    </row>
    <row r="82" spans="1:22" x14ac:dyDescent="0.35">
      <c r="A82" t="s">
        <v>24</v>
      </c>
      <c r="B82">
        <v>3.6211587907429168</v>
      </c>
      <c r="C82">
        <v>3.3354054473080379</v>
      </c>
      <c r="D82">
        <v>3.7208983292555322</v>
      </c>
      <c r="E82">
        <v>4.0320231591208664</v>
      </c>
      <c r="F82">
        <v>4.5140256692411</v>
      </c>
      <c r="G82">
        <v>4.6203776029338517</v>
      </c>
      <c r="H82">
        <v>4.2487006221966661</v>
      </c>
      <c r="I82">
        <v>4.2169067007290746</v>
      </c>
      <c r="J82">
        <v>4.2429200285210431</v>
      </c>
      <c r="K82">
        <v>4.3823570331461301</v>
      </c>
      <c r="L82">
        <v>4.0554905578627016</v>
      </c>
      <c r="M82">
        <v>3.8440614239608828</v>
      </c>
      <c r="N82">
        <v>3.5533924979775051</v>
      </c>
      <c r="O82">
        <v>3.5053102386389199</v>
      </c>
      <c r="P82">
        <v>3.6993520678897052</v>
      </c>
      <c r="Q82">
        <v>3.8199020410251632</v>
      </c>
      <c r="R82">
        <v>4.2082528899722176</v>
      </c>
      <c r="S82">
        <v>3.917564862035293</v>
      </c>
      <c r="T82">
        <v>3.8232623030185859</v>
      </c>
      <c r="U82">
        <v>3.93551689065308</v>
      </c>
      <c r="V82">
        <v>4.0475153055376616</v>
      </c>
    </row>
    <row r="83" spans="1:22" x14ac:dyDescent="0.35">
      <c r="A83" t="s">
        <v>25</v>
      </c>
      <c r="B83">
        <v>-0.22918632119360011</v>
      </c>
      <c r="C83">
        <v>-0.32435406646030251</v>
      </c>
      <c r="D83">
        <v>-0.26051766096657991</v>
      </c>
      <c r="E83">
        <v>-0.1333575808491983</v>
      </c>
      <c r="F83">
        <v>-9.7864134527421598E-2</v>
      </c>
      <c r="G83">
        <v>-8.848563246990733E-2</v>
      </c>
      <c r="H83">
        <v>-9.8478708083728259E-2</v>
      </c>
      <c r="I83">
        <v>-0.14945239292040721</v>
      </c>
      <c r="J83">
        <v>-0.13765305630974731</v>
      </c>
      <c r="K83">
        <v>-0.1336416587897607</v>
      </c>
      <c r="L83">
        <v>-0.13123449935345671</v>
      </c>
      <c r="M83">
        <v>-0.12540678802001029</v>
      </c>
      <c r="N83">
        <v>2.8073680123069031E-2</v>
      </c>
      <c r="O83">
        <v>-8.8935787262569801E-2</v>
      </c>
      <c r="P83">
        <v>6.0710844532176407E-2</v>
      </c>
      <c r="Q83">
        <v>0.15361938369032541</v>
      </c>
      <c r="R83">
        <v>0.33651896795220371</v>
      </c>
      <c r="S83">
        <v>0.27667875252910729</v>
      </c>
      <c r="T83">
        <v>0.38223838077705641</v>
      </c>
      <c r="U83">
        <v>0.19253012813237999</v>
      </c>
      <c r="V83">
        <v>0.27091553412558789</v>
      </c>
    </row>
    <row r="84" spans="1:22" x14ac:dyDescent="0.35">
      <c r="A84" t="s">
        <v>26</v>
      </c>
      <c r="B84">
        <v>143.03139076570241</v>
      </c>
      <c r="C84">
        <v>142.20374470904989</v>
      </c>
      <c r="D84">
        <v>142.08721039124109</v>
      </c>
      <c r="E84">
        <v>143.8320778332124</v>
      </c>
      <c r="F84">
        <v>145.71081614782341</v>
      </c>
      <c r="G84">
        <v>146.72248218788221</v>
      </c>
      <c r="H84">
        <v>146.3309285670868</v>
      </c>
      <c r="I84">
        <v>145.85110010361461</v>
      </c>
      <c r="J84">
        <v>146.77685683429621</v>
      </c>
      <c r="K84">
        <v>147.77013386165339</v>
      </c>
      <c r="L84">
        <v>147.58679890282411</v>
      </c>
      <c r="M84">
        <v>149.55226724695979</v>
      </c>
      <c r="N84">
        <v>149.76372307730989</v>
      </c>
      <c r="O84">
        <v>148.53793294632689</v>
      </c>
      <c r="P84">
        <v>148.59462849726859</v>
      </c>
      <c r="Q84">
        <v>149.76589032881341</v>
      </c>
      <c r="R84">
        <v>151.39267635001809</v>
      </c>
      <c r="S84">
        <v>151.06410448679051</v>
      </c>
      <c r="T84">
        <v>151.10644113118889</v>
      </c>
      <c r="U84">
        <v>151.4818489241554</v>
      </c>
      <c r="V84">
        <v>152.14191705061279</v>
      </c>
    </row>
    <row r="85" spans="1:22" x14ac:dyDescent="0.35">
      <c r="A85" t="s">
        <v>27</v>
      </c>
      <c r="B85">
        <v>138498229.63</v>
      </c>
      <c r="C85">
        <v>141148904.34</v>
      </c>
      <c r="D85">
        <v>252969834.90000001</v>
      </c>
      <c r="E85">
        <v>196571076.38</v>
      </c>
      <c r="F85">
        <v>168958620.19999999</v>
      </c>
      <c r="G85">
        <v>154701645.72</v>
      </c>
      <c r="H85">
        <v>159461644.36000001</v>
      </c>
      <c r="I85">
        <v>141988884.84</v>
      </c>
      <c r="J85">
        <v>140460452.63</v>
      </c>
      <c r="K85">
        <v>140558829.44</v>
      </c>
      <c r="L85">
        <v>104483206.75</v>
      </c>
      <c r="M85">
        <v>115243807.89</v>
      </c>
      <c r="N85">
        <v>112557260.64</v>
      </c>
      <c r="O85">
        <v>136954006.66999999</v>
      </c>
      <c r="P85">
        <v>230363492.87</v>
      </c>
      <c r="Q85">
        <v>171696769.68000001</v>
      </c>
      <c r="R85">
        <v>153616972.84999999</v>
      </c>
      <c r="S85">
        <v>144249722.81</v>
      </c>
      <c r="T85">
        <v>140219560.34999999</v>
      </c>
      <c r="U85">
        <v>117400793.39</v>
      </c>
      <c r="V85">
        <v>102440404.13</v>
      </c>
    </row>
    <row r="86" spans="1:22" x14ac:dyDescent="0.35">
      <c r="A86" t="s">
        <v>28</v>
      </c>
      <c r="B86">
        <v>1.4515841051368541</v>
      </c>
      <c r="C86">
        <v>1.461062197316096</v>
      </c>
      <c r="D86">
        <v>1.439223207835103</v>
      </c>
      <c r="E86">
        <v>1.427030923130167</v>
      </c>
      <c r="F86">
        <v>1.4083986189769979</v>
      </c>
      <c r="G86">
        <v>1.3993800906769971</v>
      </c>
      <c r="H86">
        <v>1.4223157443137839</v>
      </c>
      <c r="I86">
        <v>1.4198778683845139</v>
      </c>
      <c r="J86">
        <v>1.402895289006268</v>
      </c>
      <c r="K86">
        <v>1.38758777479039</v>
      </c>
      <c r="L86">
        <v>1.408656805305484</v>
      </c>
      <c r="M86">
        <v>1.4433251392793169</v>
      </c>
      <c r="N86">
        <v>1.4591165897474501</v>
      </c>
      <c r="O86">
        <v>1.468455414629348</v>
      </c>
      <c r="P86">
        <v>1.461552829171519</v>
      </c>
      <c r="Q86">
        <v>1.4716549393276701</v>
      </c>
      <c r="R86">
        <v>1.464349280781843</v>
      </c>
      <c r="S86">
        <v>1.486342583438272</v>
      </c>
      <c r="T86">
        <v>1.4946562593480139</v>
      </c>
      <c r="U86">
        <v>1.492344773681421</v>
      </c>
      <c r="V86">
        <v>1.4821924617322491</v>
      </c>
    </row>
    <row r="87" spans="1:22" x14ac:dyDescent="0.35">
      <c r="A87" t="s">
        <v>29</v>
      </c>
      <c r="B87">
        <v>0.2479870440433572</v>
      </c>
      <c r="C87">
        <v>0.2489719902850723</v>
      </c>
      <c r="D87">
        <v>0.24823552143874611</v>
      </c>
      <c r="E87">
        <v>0.24673274891301691</v>
      </c>
      <c r="F87">
        <v>0.24670979644681071</v>
      </c>
      <c r="G87">
        <v>0.2464586128901913</v>
      </c>
      <c r="H87">
        <v>0.24657227660181391</v>
      </c>
      <c r="I87">
        <v>0.24712115629933129</v>
      </c>
      <c r="J87">
        <v>0.2463637756250551</v>
      </c>
      <c r="K87">
        <v>0.24607662703694069</v>
      </c>
      <c r="L87">
        <v>0.24604124161679219</v>
      </c>
      <c r="M87">
        <v>0.24669761508323931</v>
      </c>
      <c r="N87">
        <v>0.2443291273727598</v>
      </c>
      <c r="O87">
        <v>0.24626840132549649</v>
      </c>
      <c r="P87">
        <v>0.24436503662423389</v>
      </c>
      <c r="Q87">
        <v>0.24367605538298559</v>
      </c>
      <c r="R87">
        <v>0.24180681462616471</v>
      </c>
      <c r="S87">
        <v>0.2427496391916151</v>
      </c>
      <c r="T87">
        <v>0.24126649910260289</v>
      </c>
      <c r="U87">
        <v>0.24421669059049289</v>
      </c>
      <c r="V87">
        <v>0.24297565998477669</v>
      </c>
    </row>
    <row r="89" spans="1:22" x14ac:dyDescent="0.35">
      <c r="A89" t="s">
        <v>39</v>
      </c>
      <c r="B89" t="s">
        <v>48</v>
      </c>
      <c r="C89" t="s">
        <v>49</v>
      </c>
      <c r="D89" t="s">
        <v>50</v>
      </c>
      <c r="E89" t="s">
        <v>51</v>
      </c>
      <c r="F89" t="s">
        <v>52</v>
      </c>
      <c r="G89" t="s">
        <v>53</v>
      </c>
      <c r="H89" t="s">
        <v>54</v>
      </c>
      <c r="I89" t="s">
        <v>55</v>
      </c>
      <c r="J89" t="s">
        <v>56</v>
      </c>
      <c r="K89" t="s">
        <v>57</v>
      </c>
      <c r="L89" t="s">
        <v>58</v>
      </c>
      <c r="M89" t="s">
        <v>59</v>
      </c>
      <c r="N89" t="s">
        <v>60</v>
      </c>
      <c r="O89" t="s">
        <v>61</v>
      </c>
      <c r="P89" t="s">
        <v>62</v>
      </c>
      <c r="Q89" t="s">
        <v>63</v>
      </c>
      <c r="R89" t="s">
        <v>64</v>
      </c>
      <c r="S89" t="s">
        <v>65</v>
      </c>
      <c r="T89" t="s">
        <v>66</v>
      </c>
      <c r="U89" t="s">
        <v>70</v>
      </c>
      <c r="V89" t="s">
        <v>71</v>
      </c>
    </row>
    <row r="90" spans="1:22" x14ac:dyDescent="0.35">
      <c r="A90" t="s">
        <v>21</v>
      </c>
      <c r="B90">
        <v>138.2724461835929</v>
      </c>
      <c r="C90">
        <v>138.25553627348421</v>
      </c>
      <c r="D90">
        <v>138.32398197615589</v>
      </c>
      <c r="E90">
        <v>138.79092837307749</v>
      </c>
      <c r="F90">
        <v>139.1626173327675</v>
      </c>
      <c r="G90">
        <v>139.30592062324399</v>
      </c>
      <c r="H90">
        <v>139.4905013841778</v>
      </c>
      <c r="I90">
        <v>139.1977632634358</v>
      </c>
      <c r="J90">
        <v>139.42527485011931</v>
      </c>
      <c r="K90">
        <v>139.60268446182229</v>
      </c>
      <c r="L90">
        <v>140.00869808804069</v>
      </c>
      <c r="M90">
        <v>141.249120670709</v>
      </c>
      <c r="N90">
        <v>141.52958802148029</v>
      </c>
      <c r="O90">
        <v>141.6822013761026</v>
      </c>
      <c r="P90">
        <v>141.9233935222413</v>
      </c>
      <c r="Q90">
        <v>142.29509739384139</v>
      </c>
      <c r="R90">
        <v>142.4707055946063</v>
      </c>
      <c r="S90">
        <v>142.68458392445959</v>
      </c>
      <c r="T90">
        <v>142.926168217396</v>
      </c>
      <c r="U90">
        <v>143.47387885391009</v>
      </c>
      <c r="V90">
        <v>143.52865707028641</v>
      </c>
    </row>
    <row r="91" spans="1:22" x14ac:dyDescent="0.35">
      <c r="A91" t="s">
        <v>22</v>
      </c>
      <c r="B91">
        <v>0.38363960383622342</v>
      </c>
      <c r="C91">
        <v>0.1628638344732346</v>
      </c>
      <c r="D91">
        <v>-0.1101783401347645</v>
      </c>
      <c r="E91">
        <v>0.58239894309528906</v>
      </c>
      <c r="F91">
        <v>1.1225902894464199</v>
      </c>
      <c r="G91">
        <v>1.342781655785354</v>
      </c>
      <c r="H91">
        <v>1.0513051478195119</v>
      </c>
      <c r="I91">
        <v>0.78236577808089081</v>
      </c>
      <c r="J91">
        <v>0.95466989771481414</v>
      </c>
      <c r="K91">
        <v>1.174580785984237</v>
      </c>
      <c r="L91">
        <v>1.1013777359223429</v>
      </c>
      <c r="M91">
        <v>1.233780622585557</v>
      </c>
      <c r="N91">
        <v>1.097826954049302</v>
      </c>
      <c r="O91">
        <v>0.77045168455520141</v>
      </c>
      <c r="P91">
        <v>0.65827494589043278</v>
      </c>
      <c r="Q91">
        <v>1.0317627818636841</v>
      </c>
      <c r="R91">
        <v>1.0817282449631</v>
      </c>
      <c r="S91">
        <v>0.9251552830411115</v>
      </c>
      <c r="T91">
        <v>1.0136157086627711</v>
      </c>
      <c r="U91">
        <v>1.041101066393942</v>
      </c>
      <c r="V91">
        <v>1.161205175071556</v>
      </c>
    </row>
    <row r="92" spans="1:22" x14ac:dyDescent="0.35">
      <c r="A92" t="s">
        <v>23</v>
      </c>
      <c r="B92">
        <v>1.28219230712119</v>
      </c>
      <c r="C92">
        <v>0.91189559657087327</v>
      </c>
      <c r="D92">
        <v>0.87211781455185722</v>
      </c>
      <c r="E92">
        <v>0.98222904117400467</v>
      </c>
      <c r="F92">
        <v>1.315635542518681</v>
      </c>
      <c r="G92">
        <v>1.6560719525485359</v>
      </c>
      <c r="H92">
        <v>1.793472962720531</v>
      </c>
      <c r="I92">
        <v>1.675257064882373</v>
      </c>
      <c r="J92">
        <v>1.698858944135595</v>
      </c>
      <c r="K92">
        <v>2.2687793750768499</v>
      </c>
      <c r="L92">
        <v>2.0733760086229109</v>
      </c>
      <c r="M92">
        <v>2.656799046951448</v>
      </c>
      <c r="N92">
        <v>2.103021909570328</v>
      </c>
      <c r="O92">
        <v>1.5268717061722139</v>
      </c>
      <c r="P92">
        <v>1.5010665213467831</v>
      </c>
      <c r="Q92">
        <v>1.845388433718806</v>
      </c>
      <c r="R92">
        <v>2.0763853561911931</v>
      </c>
      <c r="S92">
        <v>1.544179636171342</v>
      </c>
      <c r="T92">
        <v>1.5618786395499269</v>
      </c>
      <c r="U92">
        <v>1.5722843240294191</v>
      </c>
      <c r="V92">
        <v>1.4946021275990879</v>
      </c>
    </row>
    <row r="93" spans="1:22" x14ac:dyDescent="0.35">
      <c r="A93" t="s">
        <v>24</v>
      </c>
      <c r="B93">
        <v>1.5278441702092771</v>
      </c>
      <c r="C93">
        <v>1.4137891241537131</v>
      </c>
      <c r="D93">
        <v>1.835737894850874</v>
      </c>
      <c r="E93">
        <v>2.287999253672838</v>
      </c>
      <c r="F93">
        <v>2.3764026312242419</v>
      </c>
      <c r="G93">
        <v>2.4785631470766649</v>
      </c>
      <c r="H93">
        <v>2.3210364337958511</v>
      </c>
      <c r="I93">
        <v>2.0401596336972641</v>
      </c>
      <c r="J93">
        <v>1.748817297823609</v>
      </c>
      <c r="K93">
        <v>2.054895524400199</v>
      </c>
      <c r="L93">
        <v>1.7472269127663169</v>
      </c>
      <c r="M93">
        <v>2.1900310797734739</v>
      </c>
      <c r="N93">
        <v>1.8607993348336731</v>
      </c>
      <c r="O93">
        <v>1.8825711550930919</v>
      </c>
      <c r="P93">
        <v>1.979660909976634</v>
      </c>
      <c r="Q93">
        <v>2.2339458139339552</v>
      </c>
      <c r="R93">
        <v>2.709869161649701</v>
      </c>
      <c r="S93">
        <v>2.596190807117174</v>
      </c>
      <c r="T93">
        <v>2.585221473552342</v>
      </c>
      <c r="U93">
        <v>2.2592461284471521</v>
      </c>
      <c r="V93">
        <v>2.040276425292805</v>
      </c>
    </row>
    <row r="94" spans="1:22" x14ac:dyDescent="0.35">
      <c r="A94" t="s">
        <v>25</v>
      </c>
      <c r="B94">
        <v>-0.23812743479648121</v>
      </c>
      <c r="C94">
        <v>-0.17619977734754211</v>
      </c>
      <c r="D94">
        <v>-0.16740911021782759</v>
      </c>
      <c r="E94">
        <v>-5.9364382124471322E-2</v>
      </c>
      <c r="F94">
        <v>-8.9598608944867209E-2</v>
      </c>
      <c r="G94">
        <v>-0.11258007278746041</v>
      </c>
      <c r="H94">
        <v>-9.7415586669944973E-2</v>
      </c>
      <c r="I94">
        <v>-0.14305282405849781</v>
      </c>
      <c r="J94">
        <v>7.6411951478986051E-2</v>
      </c>
      <c r="K94">
        <v>0.1993467754352494</v>
      </c>
      <c r="L94">
        <v>0.26692838807939112</v>
      </c>
      <c r="M94">
        <v>0.35696476720805681</v>
      </c>
      <c r="N94">
        <v>0.1506979515659051</v>
      </c>
      <c r="O94">
        <v>0.21072479679577921</v>
      </c>
      <c r="P94">
        <v>0.34914807206773107</v>
      </c>
      <c r="Q94">
        <v>0.39064878656163371</v>
      </c>
      <c r="R94">
        <v>0.53054796097973422</v>
      </c>
      <c r="S94">
        <v>0.51859698882154326</v>
      </c>
      <c r="T94">
        <v>0.67427741833953692</v>
      </c>
      <c r="U94">
        <v>0.70543430228357851</v>
      </c>
      <c r="V94">
        <v>0.71730946662803208</v>
      </c>
    </row>
    <row r="95" spans="1:22" x14ac:dyDescent="0.35">
      <c r="A95" t="s">
        <v>26</v>
      </c>
      <c r="B95">
        <v>141.22799482996311</v>
      </c>
      <c r="C95">
        <v>140.56788505133451</v>
      </c>
      <c r="D95">
        <v>140.75425023520609</v>
      </c>
      <c r="E95">
        <v>142.58419122889521</v>
      </c>
      <c r="F95">
        <v>143.88764718701199</v>
      </c>
      <c r="G95">
        <v>144.67075730586711</v>
      </c>
      <c r="H95">
        <v>144.5589003418437</v>
      </c>
      <c r="I95">
        <v>143.55249291603789</v>
      </c>
      <c r="J95">
        <v>143.90403294127231</v>
      </c>
      <c r="K95">
        <v>145.3002869227189</v>
      </c>
      <c r="L95">
        <v>145.19760713343169</v>
      </c>
      <c r="M95">
        <v>147.68669618722751</v>
      </c>
      <c r="N95">
        <v>146.74193417149951</v>
      </c>
      <c r="O95">
        <v>146.07282071871879</v>
      </c>
      <c r="P95">
        <v>146.41154397152289</v>
      </c>
      <c r="Q95">
        <v>147.7968432099195</v>
      </c>
      <c r="R95">
        <v>148.86923631838999</v>
      </c>
      <c r="S95">
        <v>148.2687066396108</v>
      </c>
      <c r="T95">
        <v>148.76116145750049</v>
      </c>
      <c r="U95">
        <v>149.05194467506419</v>
      </c>
      <c r="V95">
        <v>148.94205026487779</v>
      </c>
    </row>
    <row r="96" spans="1:22" x14ac:dyDescent="0.35">
      <c r="A96" t="s">
        <v>27</v>
      </c>
      <c r="B96">
        <v>235765203.08000001</v>
      </c>
      <c r="C96">
        <v>281358745.74000001</v>
      </c>
      <c r="D96">
        <v>456279450.83999997</v>
      </c>
      <c r="E96">
        <v>333400671.27999997</v>
      </c>
      <c r="F96">
        <v>298750956.31999999</v>
      </c>
      <c r="G96">
        <v>273028474.02999997</v>
      </c>
      <c r="H96">
        <v>278475041.00999999</v>
      </c>
      <c r="I96">
        <v>265382199.50999999</v>
      </c>
      <c r="J96">
        <v>276662013.16000003</v>
      </c>
      <c r="K96">
        <v>260765507.43000001</v>
      </c>
      <c r="L96">
        <v>208491069.18000001</v>
      </c>
      <c r="M96">
        <v>232199009.40000001</v>
      </c>
      <c r="N96">
        <v>246666606.34</v>
      </c>
      <c r="O96">
        <v>305179198.89999998</v>
      </c>
      <c r="P96">
        <v>487675229.60000002</v>
      </c>
      <c r="Q96">
        <v>329160605.93000001</v>
      </c>
      <c r="R96">
        <v>312267709.76999998</v>
      </c>
      <c r="S96">
        <v>312330219.88999999</v>
      </c>
      <c r="T96">
        <v>304868324.22000003</v>
      </c>
      <c r="U96">
        <v>281977628.79000002</v>
      </c>
      <c r="V96">
        <v>240154301.71000001</v>
      </c>
    </row>
    <row r="97" spans="1:22" x14ac:dyDescent="0.35">
      <c r="A97" t="s">
        <v>28</v>
      </c>
      <c r="B97">
        <v>1.5472703801328811</v>
      </c>
      <c r="C97">
        <v>1.5414112093462919</v>
      </c>
      <c r="D97">
        <v>1.520493443156514</v>
      </c>
      <c r="E97">
        <v>1.499386247801366</v>
      </c>
      <c r="F97">
        <v>1.4981951010538761</v>
      </c>
      <c r="G97">
        <v>1.4905727419362109</v>
      </c>
      <c r="H97">
        <v>1.5008499112025679</v>
      </c>
      <c r="I97">
        <v>1.5123498235787729</v>
      </c>
      <c r="J97">
        <v>1.520448203421662</v>
      </c>
      <c r="K97">
        <v>1.500065616202104</v>
      </c>
      <c r="L97">
        <v>1.5168439178995829</v>
      </c>
      <c r="M97">
        <v>1.5004087606808969</v>
      </c>
      <c r="N97">
        <v>1.515966608340134</v>
      </c>
      <c r="O97">
        <v>1.5170341635340761</v>
      </c>
      <c r="P97">
        <v>1.5154427988441981</v>
      </c>
      <c r="Q97">
        <v>1.5138704532879019</v>
      </c>
      <c r="R97">
        <v>1.4910857869272389</v>
      </c>
      <c r="S97">
        <v>1.496821927165132</v>
      </c>
      <c r="T97">
        <v>1.498664700775004</v>
      </c>
      <c r="U97">
        <v>1.513080868933224</v>
      </c>
      <c r="V97">
        <v>1.5253293476093499</v>
      </c>
    </row>
    <row r="98" spans="1:22" x14ac:dyDescent="0.35">
      <c r="A98" t="s">
        <v>29</v>
      </c>
      <c r="B98">
        <v>0.24977852133269021</v>
      </c>
      <c r="C98">
        <v>0.249609464604756</v>
      </c>
      <c r="D98">
        <v>0.24923506333039011</v>
      </c>
      <c r="E98">
        <v>0.24789478222559569</v>
      </c>
      <c r="F98">
        <v>0.248457275229063</v>
      </c>
      <c r="G98">
        <v>0.24857322893600761</v>
      </c>
      <c r="H98">
        <v>0.24841814100654649</v>
      </c>
      <c r="I98">
        <v>0.24904555687801869</v>
      </c>
      <c r="J98">
        <v>0.2467954187907313</v>
      </c>
      <c r="K98">
        <v>0.24536522506766889</v>
      </c>
      <c r="L98">
        <v>0.24492679502394979</v>
      </c>
      <c r="M98">
        <v>0.2444683501777721</v>
      </c>
      <c r="N98">
        <v>0.2461319207664196</v>
      </c>
      <c r="O98">
        <v>0.24599805029350019</v>
      </c>
      <c r="P98">
        <v>0.24436241506920489</v>
      </c>
      <c r="Q98">
        <v>0.24381792381773251</v>
      </c>
      <c r="R98">
        <v>0.24258015112938819</v>
      </c>
      <c r="S98">
        <v>0.24302244370621409</v>
      </c>
      <c r="T98">
        <v>0.2413544839315174</v>
      </c>
      <c r="U98">
        <v>0.24178600824609059</v>
      </c>
      <c r="V98">
        <v>0.24141603649406479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98"/>
  <sheetViews>
    <sheetView zoomScale="190" zoomScaleNormal="190" workbookViewId="0">
      <selection activeCell="J8" sqref="J8"/>
    </sheetView>
  </sheetViews>
  <sheetFormatPr defaultRowHeight="14.5" x14ac:dyDescent="0.35"/>
  <sheetData>
    <row r="1" spans="1:22" x14ac:dyDescent="0.3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70</v>
      </c>
      <c r="V1" t="s">
        <v>71</v>
      </c>
    </row>
    <row r="2" spans="1:22" x14ac:dyDescent="0.35">
      <c r="A2" t="s">
        <v>21</v>
      </c>
      <c r="B2">
        <v>136.82380299527509</v>
      </c>
      <c r="C2">
        <v>137.05183927259171</v>
      </c>
      <c r="D2">
        <v>136.62074134082249</v>
      </c>
      <c r="E2">
        <v>137.56525012492671</v>
      </c>
      <c r="F2">
        <v>138.30009568671281</v>
      </c>
      <c r="G2">
        <v>138.20068058195491</v>
      </c>
      <c r="H2">
        <v>138.4666178220856</v>
      </c>
      <c r="I2">
        <v>138.33461915343329</v>
      </c>
      <c r="J2">
        <v>138.84727691646029</v>
      </c>
      <c r="K2">
        <v>138.81220292695591</v>
      </c>
      <c r="L2">
        <v>138.99432222552699</v>
      </c>
      <c r="M2">
        <v>140.3063705008916</v>
      </c>
      <c r="N2">
        <v>140.39661826955091</v>
      </c>
      <c r="O2">
        <v>140.1670215760148</v>
      </c>
      <c r="P2">
        <v>140.29640620718681</v>
      </c>
      <c r="Q2">
        <v>140.7397600374656</v>
      </c>
      <c r="R2">
        <v>140.87261868900441</v>
      </c>
      <c r="S2">
        <v>141.1551288971016</v>
      </c>
      <c r="T2">
        <v>140.93325276682069</v>
      </c>
      <c r="U2">
        <v>141.92180039212619</v>
      </c>
      <c r="V2">
        <v>141.9580584722311</v>
      </c>
    </row>
    <row r="3" spans="1:22" x14ac:dyDescent="0.35">
      <c r="A3" t="s">
        <v>22</v>
      </c>
      <c r="B3">
        <v>0.65865099733326815</v>
      </c>
      <c r="C3">
        <v>0.90990283540895689</v>
      </c>
      <c r="D3">
        <v>0.49431830419388229</v>
      </c>
      <c r="E3">
        <v>1.420499817353317</v>
      </c>
      <c r="F3">
        <v>1.763585624660351</v>
      </c>
      <c r="G3">
        <v>2.0577963592392341</v>
      </c>
      <c r="H3">
        <v>1.8826711550587449</v>
      </c>
      <c r="I3">
        <v>2.1242920602475981</v>
      </c>
      <c r="J3">
        <v>2.0685195860200452</v>
      </c>
      <c r="K3">
        <v>1.7492859600364741</v>
      </c>
      <c r="L3">
        <v>1.4429463589999609</v>
      </c>
      <c r="M3">
        <v>2.2974660178326189</v>
      </c>
      <c r="N3">
        <v>2.4567329656242411</v>
      </c>
      <c r="O3">
        <v>1.971165607564245</v>
      </c>
      <c r="P3">
        <v>1.8026735764931059</v>
      </c>
      <c r="Q3">
        <v>2.2639353836056841</v>
      </c>
      <c r="R3">
        <v>2.3533040540287691</v>
      </c>
      <c r="S3">
        <v>2.6476649631845248</v>
      </c>
      <c r="T3">
        <v>2.6668549069797218</v>
      </c>
      <c r="U3">
        <v>2.5618789777315669</v>
      </c>
      <c r="V3">
        <v>2.9372638698888238</v>
      </c>
    </row>
    <row r="4" spans="1:22" x14ac:dyDescent="0.35">
      <c r="A4" t="s">
        <v>23</v>
      </c>
      <c r="B4">
        <v>1.9553415693103691</v>
      </c>
      <c r="C4">
        <v>0.41920463597248619</v>
      </c>
      <c r="D4">
        <v>0.47307446211204851</v>
      </c>
      <c r="E4">
        <v>1.190629581809493</v>
      </c>
      <c r="F4">
        <v>1.290807296296983</v>
      </c>
      <c r="G4">
        <v>1.9260856696533419</v>
      </c>
      <c r="H4">
        <v>3.215503366159346</v>
      </c>
      <c r="I4">
        <v>2.400003204607668</v>
      </c>
      <c r="J4">
        <v>2.3476641779251959</v>
      </c>
      <c r="K4">
        <v>3.435714896265206</v>
      </c>
      <c r="L4">
        <v>2.4522089799897442</v>
      </c>
      <c r="M4">
        <v>2.419456146178272</v>
      </c>
      <c r="N4">
        <v>3.6774582698674139</v>
      </c>
      <c r="O4">
        <v>2.0041748915889319</v>
      </c>
      <c r="P4">
        <v>1.344224914809002</v>
      </c>
      <c r="Q4">
        <v>2.495821240505947</v>
      </c>
      <c r="R4">
        <v>3.8469990130788059</v>
      </c>
      <c r="S4">
        <v>3.1803764141444582</v>
      </c>
      <c r="T4">
        <v>3.474102165981463</v>
      </c>
      <c r="U4">
        <v>3.703721163978944</v>
      </c>
      <c r="V4">
        <v>2.9079624294383222</v>
      </c>
    </row>
    <row r="5" spans="1:22" x14ac:dyDescent="0.35">
      <c r="A5" t="s">
        <v>24</v>
      </c>
      <c r="B5">
        <v>3.5477643580336582</v>
      </c>
      <c r="C5">
        <v>3.4476911886847721</v>
      </c>
      <c r="D5">
        <v>3.483193485322603</v>
      </c>
      <c r="E5">
        <v>3.9622564534397942</v>
      </c>
      <c r="F5">
        <v>4.3794467798827084</v>
      </c>
      <c r="G5">
        <v>3.8948185744595021</v>
      </c>
      <c r="H5">
        <v>3.680877165613273</v>
      </c>
      <c r="I5">
        <v>3.9114945479691752</v>
      </c>
      <c r="J5">
        <v>4.2762920166978704</v>
      </c>
      <c r="K5">
        <v>4.7198107608907556</v>
      </c>
      <c r="L5">
        <v>4.0870223174906757</v>
      </c>
      <c r="M5">
        <v>3.897491438484197</v>
      </c>
      <c r="N5">
        <v>3.8620430813318669</v>
      </c>
      <c r="O5">
        <v>4.282300742499288</v>
      </c>
      <c r="P5">
        <v>4.36736610406866</v>
      </c>
      <c r="Q5">
        <v>3.730907565900679</v>
      </c>
      <c r="R5">
        <v>4.5859825381798673</v>
      </c>
      <c r="S5">
        <v>4.1143036245768014</v>
      </c>
      <c r="T5">
        <v>4.3268182842538252</v>
      </c>
      <c r="U5">
        <v>3.985519412909754</v>
      </c>
      <c r="V5">
        <v>4.0751839320167189</v>
      </c>
    </row>
    <row r="6" spans="1:22" x14ac:dyDescent="0.35">
      <c r="A6" t="s">
        <v>25</v>
      </c>
      <c r="B6">
        <v>1.35294320391191E-2</v>
      </c>
      <c r="C6">
        <v>-0.272981218374585</v>
      </c>
      <c r="D6">
        <v>-2.8373703134941249E-2</v>
      </c>
      <c r="E6">
        <v>0.27661664982830819</v>
      </c>
      <c r="F6">
        <v>0.44710485738609967</v>
      </c>
      <c r="G6">
        <v>0.43484576472742947</v>
      </c>
      <c r="H6">
        <v>0.67828337374182335</v>
      </c>
      <c r="I6">
        <v>0.56777664806911377</v>
      </c>
      <c r="J6">
        <v>0.85284910500433808</v>
      </c>
      <c r="K6">
        <v>0.62903513354101015</v>
      </c>
      <c r="L6">
        <v>0.43625937406562088</v>
      </c>
      <c r="M6">
        <v>0.55781854082284554</v>
      </c>
      <c r="N6">
        <v>0.68336776325382098</v>
      </c>
      <c r="O6">
        <v>0.4274714361070775</v>
      </c>
      <c r="P6">
        <v>0.58930339515382257</v>
      </c>
      <c r="Q6">
        <v>0.90291096424656725</v>
      </c>
      <c r="R6">
        <v>1.4356480722288121</v>
      </c>
      <c r="S6">
        <v>1.523579858161507</v>
      </c>
      <c r="T6">
        <v>1.607620641436259</v>
      </c>
      <c r="U6">
        <v>1.302867728727644</v>
      </c>
      <c r="V6">
        <v>1.215404468554558</v>
      </c>
    </row>
    <row r="7" spans="1:22" x14ac:dyDescent="0.35">
      <c r="A7" t="s">
        <v>26</v>
      </c>
      <c r="B7">
        <v>142.9990893519915</v>
      </c>
      <c r="C7">
        <v>141.55565671428329</v>
      </c>
      <c r="D7">
        <v>141.0429538893161</v>
      </c>
      <c r="E7">
        <v>144.4152526273576</v>
      </c>
      <c r="F7">
        <v>146.18104024493891</v>
      </c>
      <c r="G7">
        <v>146.51422695003441</v>
      </c>
      <c r="H7">
        <v>147.9239528826588</v>
      </c>
      <c r="I7">
        <v>147.3381856143269</v>
      </c>
      <c r="J7">
        <v>148.39260180210781</v>
      </c>
      <c r="K7">
        <v>149.34604967768939</v>
      </c>
      <c r="L7">
        <v>147.41275925607309</v>
      </c>
      <c r="M7">
        <v>149.47860264420959</v>
      </c>
      <c r="N7">
        <v>151.07622034962819</v>
      </c>
      <c r="O7">
        <v>148.8521342537743</v>
      </c>
      <c r="P7">
        <v>148.3999741977114</v>
      </c>
      <c r="Q7">
        <v>150.13333519172451</v>
      </c>
      <c r="R7">
        <v>153.0945523665207</v>
      </c>
      <c r="S7">
        <v>152.62105375716891</v>
      </c>
      <c r="T7">
        <v>153.008648765472</v>
      </c>
      <c r="U7">
        <v>153.47578767547421</v>
      </c>
      <c r="V7">
        <v>153.09387317212949</v>
      </c>
    </row>
    <row r="8" spans="1:22" x14ac:dyDescent="0.35">
      <c r="A8" t="s">
        <v>27</v>
      </c>
      <c r="B8">
        <v>13880285.1</v>
      </c>
      <c r="C8">
        <v>14774077.529999999</v>
      </c>
      <c r="D8">
        <v>26986685.920000002</v>
      </c>
      <c r="E8">
        <v>20849411.27</v>
      </c>
      <c r="F8">
        <v>20015885.079999998</v>
      </c>
      <c r="G8">
        <v>16944616.73</v>
      </c>
      <c r="H8">
        <v>17583715.16</v>
      </c>
      <c r="I8">
        <v>17009856.440000001</v>
      </c>
      <c r="J8">
        <v>16644481.210000001</v>
      </c>
      <c r="K8">
        <v>14256426.640000001</v>
      </c>
      <c r="L8">
        <v>11610680.67</v>
      </c>
      <c r="M8">
        <v>13454664.560000001</v>
      </c>
      <c r="N8">
        <v>13296244.279999999</v>
      </c>
      <c r="O8">
        <v>15280720.529999999</v>
      </c>
      <c r="P8">
        <v>24336515.620000001</v>
      </c>
      <c r="Q8">
        <v>20661229.850000001</v>
      </c>
      <c r="R8">
        <v>22261812.370000001</v>
      </c>
      <c r="S8">
        <v>23382323.920000002</v>
      </c>
      <c r="T8">
        <v>25967502.93</v>
      </c>
      <c r="U8">
        <v>19891358.82</v>
      </c>
      <c r="V8">
        <v>15694850.560000001</v>
      </c>
    </row>
    <row r="9" spans="1:22" x14ac:dyDescent="0.35">
      <c r="A9" t="s">
        <v>28</v>
      </c>
      <c r="B9">
        <v>1.6050407930196871</v>
      </c>
      <c r="C9">
        <v>1.6128960328905151</v>
      </c>
      <c r="D9">
        <v>1.6101004964695611</v>
      </c>
      <c r="E9">
        <v>1.573303908062252</v>
      </c>
      <c r="F9">
        <v>1.542603058888923</v>
      </c>
      <c r="G9">
        <v>1.5783817352840119</v>
      </c>
      <c r="H9">
        <v>1.5947099214358691</v>
      </c>
      <c r="I9">
        <v>1.57712304705657</v>
      </c>
      <c r="J9">
        <v>1.550082127755952</v>
      </c>
      <c r="K9">
        <v>1.518429435830289</v>
      </c>
      <c r="L9">
        <v>1.5639951200053821</v>
      </c>
      <c r="M9">
        <v>1.5781798546051811</v>
      </c>
      <c r="N9">
        <v>1.5808614655537609</v>
      </c>
      <c r="O9">
        <v>1.549644486234574</v>
      </c>
      <c r="P9">
        <v>1.5434752153996241</v>
      </c>
      <c r="Q9">
        <v>1.5908613694389</v>
      </c>
      <c r="R9">
        <v>1.5278433558290501</v>
      </c>
      <c r="S9">
        <v>1.561974317808505</v>
      </c>
      <c r="T9">
        <v>1.54640976260158</v>
      </c>
      <c r="U9">
        <v>1.57155986235497</v>
      </c>
      <c r="V9">
        <v>1.564873649804682</v>
      </c>
    </row>
    <row r="10" spans="1:22" x14ac:dyDescent="0.35">
      <c r="A10" t="s">
        <v>29</v>
      </c>
      <c r="B10">
        <v>0.24980672239944121</v>
      </c>
      <c r="C10">
        <v>0.2538997316910655</v>
      </c>
      <c r="D10">
        <v>0.25040533861621339</v>
      </c>
      <c r="E10">
        <v>0.24604833357388131</v>
      </c>
      <c r="F10">
        <v>0.24361278775162709</v>
      </c>
      <c r="G10">
        <v>0.24378791764675101</v>
      </c>
      <c r="H10">
        <v>0.24031023751797401</v>
      </c>
      <c r="I10">
        <v>0.24188890502758409</v>
      </c>
      <c r="J10">
        <v>0.23781644135708091</v>
      </c>
      <c r="K10">
        <v>0.241013783806557</v>
      </c>
      <c r="L10">
        <v>0.24376772322763399</v>
      </c>
      <c r="M10">
        <v>0.2420311637025308</v>
      </c>
      <c r="N10">
        <v>0.2402376033820883</v>
      </c>
      <c r="O10">
        <v>0.24389326519847029</v>
      </c>
      <c r="P10">
        <v>0.24158138006923111</v>
      </c>
      <c r="Q10">
        <v>0.23710127193933481</v>
      </c>
      <c r="R10">
        <v>0.22949074182530271</v>
      </c>
      <c r="S10">
        <v>0.22823457345483561</v>
      </c>
      <c r="T10">
        <v>0.2270339908366249</v>
      </c>
      <c r="U10">
        <v>0.2313876038753194</v>
      </c>
      <c r="V10">
        <v>0.2326370790206492</v>
      </c>
    </row>
    <row r="12" spans="1:22" x14ac:dyDescent="0.35">
      <c r="A12" t="s">
        <v>32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  <c r="N12" t="s">
        <v>60</v>
      </c>
      <c r="O12" t="s">
        <v>61</v>
      </c>
      <c r="P12" t="s">
        <v>62</v>
      </c>
      <c r="Q12" t="s">
        <v>63</v>
      </c>
      <c r="R12" t="s">
        <v>64</v>
      </c>
      <c r="S12" t="s">
        <v>65</v>
      </c>
      <c r="T12" t="s">
        <v>66</v>
      </c>
      <c r="U12" t="s">
        <v>70</v>
      </c>
      <c r="V12" t="s">
        <v>71</v>
      </c>
    </row>
    <row r="13" spans="1:22" x14ac:dyDescent="0.35">
      <c r="A13" t="s">
        <v>21</v>
      </c>
      <c r="B13">
        <v>139.70466316546089</v>
      </c>
      <c r="C13">
        <v>140.0393408597794</v>
      </c>
      <c r="D13">
        <v>139.7581823304717</v>
      </c>
      <c r="E13">
        <v>140.29098187839671</v>
      </c>
      <c r="F13">
        <v>140.8394851253241</v>
      </c>
      <c r="G13">
        <v>140.68426185860321</v>
      </c>
      <c r="H13">
        <v>140.85961083647209</v>
      </c>
      <c r="I13">
        <v>140.67206801892999</v>
      </c>
      <c r="J13">
        <v>141.2816610672576</v>
      </c>
      <c r="K13">
        <v>141.57875589844929</v>
      </c>
      <c r="L13">
        <v>141.49383641028859</v>
      </c>
      <c r="M13">
        <v>142.15471144645059</v>
      </c>
      <c r="N13">
        <v>142.797988322636</v>
      </c>
      <c r="O13">
        <v>142.8155576323723</v>
      </c>
      <c r="P13">
        <v>142.76467027561461</v>
      </c>
      <c r="Q13">
        <v>143.1150974086006</v>
      </c>
      <c r="R13">
        <v>142.882615560907</v>
      </c>
      <c r="S13">
        <v>143.30722561743079</v>
      </c>
      <c r="T13">
        <v>143.7975214550716</v>
      </c>
      <c r="U13">
        <v>143.58336640004271</v>
      </c>
      <c r="V13">
        <v>143.59838810042729</v>
      </c>
    </row>
    <row r="14" spans="1:22" x14ac:dyDescent="0.35">
      <c r="A14" t="s">
        <v>22</v>
      </c>
      <c r="B14">
        <v>-0.143317157167445</v>
      </c>
      <c r="C14">
        <v>-0.30252810694415189</v>
      </c>
      <c r="D14">
        <v>-0.32158878975113231</v>
      </c>
      <c r="E14">
        <v>-9.1754795755861096E-2</v>
      </c>
      <c r="F14">
        <v>0.50312509729306498</v>
      </c>
      <c r="G14">
        <v>0.83071592985746179</v>
      </c>
      <c r="H14">
        <v>0.23511701766827289</v>
      </c>
      <c r="I14">
        <v>0.90991819143837915</v>
      </c>
      <c r="J14">
        <v>1.5134823734150871</v>
      </c>
      <c r="K14">
        <v>1.59398842246091</v>
      </c>
      <c r="L14">
        <v>1.442203511898384</v>
      </c>
      <c r="M14">
        <v>1.731080466235966</v>
      </c>
      <c r="N14">
        <v>1.7312206917952151</v>
      </c>
      <c r="O14">
        <v>1.52394991499159</v>
      </c>
      <c r="P14">
        <v>1.7769344991594951</v>
      </c>
      <c r="Q14">
        <v>1.9125453754716659</v>
      </c>
      <c r="R14">
        <v>2.1818041445126251</v>
      </c>
      <c r="S14">
        <v>2.0430916875684768</v>
      </c>
      <c r="T14">
        <v>2.3632779725236048</v>
      </c>
      <c r="U14">
        <v>2.0804909272868599</v>
      </c>
      <c r="V14">
        <v>2.3948985949651842</v>
      </c>
    </row>
    <row r="15" spans="1:22" x14ac:dyDescent="0.35">
      <c r="A15" t="s">
        <v>23</v>
      </c>
      <c r="B15">
        <v>1.634056510306348</v>
      </c>
      <c r="C15">
        <v>1.1590094067694801</v>
      </c>
      <c r="D15">
        <v>1.342724533302077</v>
      </c>
      <c r="E15">
        <v>1.4570796126437191</v>
      </c>
      <c r="F15">
        <v>1.5654229577323151</v>
      </c>
      <c r="G15">
        <v>2.160474517930941</v>
      </c>
      <c r="H15">
        <v>2.1582840139380939</v>
      </c>
      <c r="I15">
        <v>2.3903640271114348</v>
      </c>
      <c r="J15">
        <v>2.6818449527812609</v>
      </c>
      <c r="K15">
        <v>3.7588135926237758</v>
      </c>
      <c r="L15">
        <v>3.5282862778589288</v>
      </c>
      <c r="M15">
        <v>4.1036882854853589</v>
      </c>
      <c r="N15">
        <v>3.6229963597235839</v>
      </c>
      <c r="O15">
        <v>2.6594224534881299</v>
      </c>
      <c r="P15">
        <v>2.2879279684980292</v>
      </c>
      <c r="Q15">
        <v>2.5210567571781408</v>
      </c>
      <c r="R15">
        <v>3.0904458089895699</v>
      </c>
      <c r="S15">
        <v>2.699366995658683</v>
      </c>
      <c r="T15">
        <v>2.596545242808272</v>
      </c>
      <c r="U15">
        <v>2.784457560640869</v>
      </c>
      <c r="V15">
        <v>3.2107029842690729</v>
      </c>
    </row>
    <row r="16" spans="1:22" x14ac:dyDescent="0.35">
      <c r="A16" t="s">
        <v>24</v>
      </c>
      <c r="B16">
        <v>5.136309513175279</v>
      </c>
      <c r="C16">
        <v>4.8367188804715031</v>
      </c>
      <c r="D16">
        <v>5.2638062078100196</v>
      </c>
      <c r="E16">
        <v>5.7249215246911129</v>
      </c>
      <c r="F16">
        <v>6.0771583202446697</v>
      </c>
      <c r="G16">
        <v>6.3727285522316564</v>
      </c>
      <c r="H16">
        <v>6.0218014041350418</v>
      </c>
      <c r="I16">
        <v>6.0084558059497564</v>
      </c>
      <c r="J16">
        <v>6.3884774972233114</v>
      </c>
      <c r="K16">
        <v>6.3013326797790716</v>
      </c>
      <c r="L16">
        <v>6.1758517548592486</v>
      </c>
      <c r="M16">
        <v>5.65864977141851</v>
      </c>
      <c r="N16">
        <v>5.5458849047665346</v>
      </c>
      <c r="O16">
        <v>4.7355344822604897</v>
      </c>
      <c r="P16">
        <v>5.0156904055855414</v>
      </c>
      <c r="Q16">
        <v>5.0782548366008582</v>
      </c>
      <c r="R16">
        <v>5.0288466099565294</v>
      </c>
      <c r="S16">
        <v>4.9238665788528886</v>
      </c>
      <c r="T16">
        <v>4.7524702181285834</v>
      </c>
      <c r="U16">
        <v>4.8406008324260341</v>
      </c>
      <c r="V16">
        <v>5.0012099806223862</v>
      </c>
    </row>
    <row r="17" spans="1:22" x14ac:dyDescent="0.35">
      <c r="A17" t="s">
        <v>25</v>
      </c>
      <c r="B17">
        <v>-0.46693652069128888</v>
      </c>
      <c r="C17">
        <v>-0.57725739856090696</v>
      </c>
      <c r="D17">
        <v>-0.45220041427899749</v>
      </c>
      <c r="E17">
        <v>-0.43886640160340712</v>
      </c>
      <c r="F17">
        <v>-0.3883122864634031</v>
      </c>
      <c r="G17">
        <v>-0.35601354676582991</v>
      </c>
      <c r="H17">
        <v>-0.35364494160374071</v>
      </c>
      <c r="I17">
        <v>-0.45726210941405221</v>
      </c>
      <c r="J17">
        <v>-0.65907718443282248</v>
      </c>
      <c r="K17">
        <v>-0.58621544344524601</v>
      </c>
      <c r="L17">
        <v>-0.50735241835233813</v>
      </c>
      <c r="M17">
        <v>-0.54536463291993131</v>
      </c>
      <c r="N17">
        <v>-0.44666112425986332</v>
      </c>
      <c r="O17">
        <v>-0.44745465180707322</v>
      </c>
      <c r="P17">
        <v>-0.31545523803553738</v>
      </c>
      <c r="Q17">
        <v>-0.29322249082907592</v>
      </c>
      <c r="R17">
        <v>-0.24132864580456881</v>
      </c>
      <c r="S17">
        <v>-0.49691876309622462</v>
      </c>
      <c r="T17">
        <v>-0.36244857572558242</v>
      </c>
      <c r="U17">
        <v>-0.51156446015451051</v>
      </c>
      <c r="V17">
        <v>-0.4067878282017473</v>
      </c>
    </row>
    <row r="18" spans="1:22" x14ac:dyDescent="0.35">
      <c r="A18" t="s">
        <v>26</v>
      </c>
      <c r="B18">
        <v>145.86477551108379</v>
      </c>
      <c r="C18">
        <v>145.1552836415153</v>
      </c>
      <c r="D18">
        <v>145.59092386755361</v>
      </c>
      <c r="E18">
        <v>146.94236181837229</v>
      </c>
      <c r="F18">
        <v>148.59687921413081</v>
      </c>
      <c r="G18">
        <v>149.69216731185739</v>
      </c>
      <c r="H18">
        <v>148.9211683306097</v>
      </c>
      <c r="I18">
        <v>149.52354393401549</v>
      </c>
      <c r="J18">
        <v>151.2063887062445</v>
      </c>
      <c r="K18">
        <v>152.6466751498678</v>
      </c>
      <c r="L18">
        <v>152.1328255365529</v>
      </c>
      <c r="M18">
        <v>153.10276533667059</v>
      </c>
      <c r="N18">
        <v>153.25142915466151</v>
      </c>
      <c r="O18">
        <v>151.28700983130551</v>
      </c>
      <c r="P18">
        <v>151.5297679108221</v>
      </c>
      <c r="Q18">
        <v>152.3337318870222</v>
      </c>
      <c r="R18">
        <v>152.94238347856111</v>
      </c>
      <c r="S18">
        <v>152.47663211641461</v>
      </c>
      <c r="T18">
        <v>153.1473663128065</v>
      </c>
      <c r="U18">
        <v>152.77735126024189</v>
      </c>
      <c r="V18">
        <v>153.79841183208219</v>
      </c>
    </row>
    <row r="19" spans="1:22" x14ac:dyDescent="0.35">
      <c r="A19" t="s">
        <v>27</v>
      </c>
      <c r="B19">
        <v>46583211.599999987</v>
      </c>
      <c r="C19">
        <v>44395003.900000013</v>
      </c>
      <c r="D19">
        <v>82514329.780000001</v>
      </c>
      <c r="E19">
        <v>64333407.729999997</v>
      </c>
      <c r="F19">
        <v>58631919.170000002</v>
      </c>
      <c r="G19">
        <v>54065071.990000002</v>
      </c>
      <c r="H19">
        <v>57213497.960000001</v>
      </c>
      <c r="I19">
        <v>48510745.239999987</v>
      </c>
      <c r="J19">
        <v>44347400.049999997</v>
      </c>
      <c r="K19">
        <v>42795868.159999996</v>
      </c>
      <c r="L19">
        <v>33173998.75</v>
      </c>
      <c r="M19">
        <v>39734133.530000001</v>
      </c>
      <c r="N19">
        <v>35860313.049999997</v>
      </c>
      <c r="O19">
        <v>45446165.039999999</v>
      </c>
      <c r="P19">
        <v>80134278.579999998</v>
      </c>
      <c r="Q19">
        <v>62030567</v>
      </c>
      <c r="R19">
        <v>57906817.710000001</v>
      </c>
      <c r="S19">
        <v>51136837.780000001</v>
      </c>
      <c r="T19">
        <v>43767001.490000002</v>
      </c>
      <c r="U19">
        <v>39670224.18</v>
      </c>
      <c r="V19">
        <v>35393745.689999998</v>
      </c>
    </row>
    <row r="20" spans="1:22" x14ac:dyDescent="0.35">
      <c r="A20" t="s">
        <v>28</v>
      </c>
      <c r="B20">
        <v>1.489859905526288</v>
      </c>
      <c r="C20">
        <v>1.510300159127564</v>
      </c>
      <c r="D20">
        <v>1.481328021460715</v>
      </c>
      <c r="E20">
        <v>1.451270138124197</v>
      </c>
      <c r="F20">
        <v>1.4291187650720389</v>
      </c>
      <c r="G20">
        <v>1.411046208246449</v>
      </c>
      <c r="H20">
        <v>1.4325551428862699</v>
      </c>
      <c r="I20">
        <v>1.43338606806771</v>
      </c>
      <c r="J20">
        <v>1.4100960613582221</v>
      </c>
      <c r="K20">
        <v>1.4153696895036429</v>
      </c>
      <c r="L20">
        <v>1.4230329201637699</v>
      </c>
      <c r="M20">
        <v>1.4555147960140491</v>
      </c>
      <c r="N20">
        <v>1.4627946580631901</v>
      </c>
      <c r="O20">
        <v>1.517330987508805</v>
      </c>
      <c r="P20">
        <v>1.4980225190499921</v>
      </c>
      <c r="Q20">
        <v>1.4937774857696839</v>
      </c>
      <c r="R20">
        <v>1.497127860752083</v>
      </c>
      <c r="S20">
        <v>1.5042966933493169</v>
      </c>
      <c r="T20">
        <v>1.516149645041893</v>
      </c>
      <c r="U20">
        <v>1.5100317181309251</v>
      </c>
      <c r="V20">
        <v>1.499008464945665</v>
      </c>
    </row>
    <row r="21" spans="1:22" x14ac:dyDescent="0.35">
      <c r="A21" t="s">
        <v>29</v>
      </c>
      <c r="B21">
        <v>0.25667052172416133</v>
      </c>
      <c r="C21">
        <v>0.25824653426515581</v>
      </c>
      <c r="D21">
        <v>0.25646000591827139</v>
      </c>
      <c r="E21">
        <v>0.25626952002290582</v>
      </c>
      <c r="F21">
        <v>0.25554731837804862</v>
      </c>
      <c r="G21">
        <v>0.25508590781094043</v>
      </c>
      <c r="H21">
        <v>0.25505207059433921</v>
      </c>
      <c r="I21">
        <v>0.25653231584877217</v>
      </c>
      <c r="J21">
        <v>0.25941538834904032</v>
      </c>
      <c r="K21">
        <v>0.25837450633493209</v>
      </c>
      <c r="L21">
        <v>0.25724789169074769</v>
      </c>
      <c r="M21">
        <v>0.25779092332742759</v>
      </c>
      <c r="N21">
        <v>0.25638087320371228</v>
      </c>
      <c r="O21">
        <v>0.25639220931152962</v>
      </c>
      <c r="P21">
        <v>0.25450650340050768</v>
      </c>
      <c r="Q21">
        <v>0.25418889272612971</v>
      </c>
      <c r="R21">
        <v>0.25344755208292241</v>
      </c>
      <c r="S21">
        <v>0.25709883947280321</v>
      </c>
      <c r="T21">
        <v>0.25517783679607969</v>
      </c>
      <c r="U21">
        <v>0.25730806371649301</v>
      </c>
      <c r="V21">
        <v>0.25581125468859639</v>
      </c>
    </row>
    <row r="23" spans="1:22" x14ac:dyDescent="0.35">
      <c r="A23" t="s">
        <v>33</v>
      </c>
      <c r="B23" t="s">
        <v>48</v>
      </c>
      <c r="C23" t="s">
        <v>49</v>
      </c>
      <c r="D23" t="s">
        <v>50</v>
      </c>
      <c r="E23" t="s">
        <v>51</v>
      </c>
      <c r="F23" t="s">
        <v>52</v>
      </c>
      <c r="G23" t="s">
        <v>53</v>
      </c>
      <c r="H23" t="s">
        <v>54</v>
      </c>
      <c r="I23" t="s">
        <v>55</v>
      </c>
      <c r="J23" t="s">
        <v>56</v>
      </c>
      <c r="K23" t="s">
        <v>57</v>
      </c>
      <c r="L23" t="s">
        <v>58</v>
      </c>
      <c r="M23" t="s">
        <v>59</v>
      </c>
      <c r="N23" t="s">
        <v>60</v>
      </c>
      <c r="O23" t="s">
        <v>61</v>
      </c>
      <c r="P23" t="s">
        <v>62</v>
      </c>
      <c r="Q23" t="s">
        <v>63</v>
      </c>
      <c r="R23" t="s">
        <v>64</v>
      </c>
      <c r="S23" t="s">
        <v>65</v>
      </c>
      <c r="T23" t="s">
        <v>66</v>
      </c>
      <c r="U23" t="s">
        <v>70</v>
      </c>
      <c r="V23" t="s">
        <v>71</v>
      </c>
    </row>
    <row r="24" spans="1:22" x14ac:dyDescent="0.35">
      <c r="A24" t="s">
        <v>21</v>
      </c>
      <c r="B24">
        <v>136.7654580107075</v>
      </c>
      <c r="C24">
        <v>136.49587682368721</v>
      </c>
      <c r="D24">
        <v>136.63459075662161</v>
      </c>
      <c r="E24">
        <v>137.44887050916671</v>
      </c>
      <c r="F24">
        <v>137.9102606683598</v>
      </c>
      <c r="G24">
        <v>138.3718584545357</v>
      </c>
      <c r="H24">
        <v>138.44857104637239</v>
      </c>
      <c r="I24">
        <v>138.18615020984231</v>
      </c>
      <c r="J24">
        <v>138.96646018857109</v>
      </c>
      <c r="K24">
        <v>139.1350729015719</v>
      </c>
      <c r="L24">
        <v>139.5268114533265</v>
      </c>
      <c r="M24">
        <v>141.36722077284179</v>
      </c>
      <c r="N24">
        <v>141.59338832825401</v>
      </c>
      <c r="O24">
        <v>140.87523498246401</v>
      </c>
      <c r="P24">
        <v>140.7501388485712</v>
      </c>
      <c r="Q24">
        <v>141.03059283821739</v>
      </c>
      <c r="R24">
        <v>141.2806729953945</v>
      </c>
      <c r="S24">
        <v>141.1555747469458</v>
      </c>
      <c r="T24">
        <v>141.2307175724647</v>
      </c>
      <c r="U24">
        <v>141.42942648228529</v>
      </c>
      <c r="V24">
        <v>141.49211440412151</v>
      </c>
    </row>
    <row r="25" spans="1:22" x14ac:dyDescent="0.35">
      <c r="A25" t="s">
        <v>22</v>
      </c>
      <c r="B25">
        <v>1.5105244521984389</v>
      </c>
      <c r="C25">
        <v>1.233553281926191</v>
      </c>
      <c r="D25">
        <v>0.82577112065536085</v>
      </c>
      <c r="E25">
        <v>1.041953805970707</v>
      </c>
      <c r="F25">
        <v>1.22123769766128</v>
      </c>
      <c r="G25">
        <v>1.6225365817605</v>
      </c>
      <c r="H25">
        <v>1.289316427491229</v>
      </c>
      <c r="I25">
        <v>1.3265735147247431</v>
      </c>
      <c r="J25">
        <v>1.660562324942561</v>
      </c>
      <c r="K25">
        <v>1.3501027111978769</v>
      </c>
      <c r="L25">
        <v>1.6187044765901251</v>
      </c>
      <c r="M25">
        <v>1.858868486389156</v>
      </c>
      <c r="N25">
        <v>2.0363338674829952</v>
      </c>
      <c r="O25">
        <v>1.9841186406489439</v>
      </c>
      <c r="P25">
        <v>1.7916330567462351</v>
      </c>
      <c r="Q25">
        <v>2.0695902931426531</v>
      </c>
      <c r="R25">
        <v>2.2308376607159062</v>
      </c>
      <c r="S25">
        <v>2.0903225090371218</v>
      </c>
      <c r="T25">
        <v>1.9641310170399611</v>
      </c>
      <c r="U25">
        <v>2.0667679782363559</v>
      </c>
      <c r="V25">
        <v>2.0668607293654868</v>
      </c>
    </row>
    <row r="26" spans="1:22" x14ac:dyDescent="0.35">
      <c r="A26" t="s">
        <v>23</v>
      </c>
      <c r="B26">
        <v>2.1482292437979469</v>
      </c>
      <c r="C26">
        <v>2.030659231404254</v>
      </c>
      <c r="D26">
        <v>1.751869508414615</v>
      </c>
      <c r="E26">
        <v>2.360589028930026</v>
      </c>
      <c r="F26">
        <v>2.7958346725995131</v>
      </c>
      <c r="G26">
        <v>2.9777878033820691</v>
      </c>
      <c r="H26">
        <v>3.0701556656408981</v>
      </c>
      <c r="I26">
        <v>2.354032472013861</v>
      </c>
      <c r="J26">
        <v>3.0970669062444589</v>
      </c>
      <c r="K26">
        <v>3.872150972354369</v>
      </c>
      <c r="L26">
        <v>3.9992585898566739</v>
      </c>
      <c r="M26">
        <v>4.0969297454113329</v>
      </c>
      <c r="N26">
        <v>4.1776028370898954</v>
      </c>
      <c r="O26">
        <v>2.9468339848628462</v>
      </c>
      <c r="P26">
        <v>3.089520870169173</v>
      </c>
      <c r="Q26">
        <v>3.5228216293845649</v>
      </c>
      <c r="R26">
        <v>4.6214207439675361</v>
      </c>
      <c r="S26">
        <v>4.2786555499422674</v>
      </c>
      <c r="T26">
        <v>3.9846220385044622</v>
      </c>
      <c r="U26">
        <v>3.9723604322480059</v>
      </c>
      <c r="V26">
        <v>4.4959174452512141</v>
      </c>
    </row>
    <row r="27" spans="1:22" x14ac:dyDescent="0.35">
      <c r="A27" t="s">
        <v>24</v>
      </c>
      <c r="B27">
        <v>5.3015084459501356</v>
      </c>
      <c r="C27">
        <v>4.8202721965935176</v>
      </c>
      <c r="D27">
        <v>5.3288944428545397</v>
      </c>
      <c r="E27">
        <v>5.5588189045350802</v>
      </c>
      <c r="F27">
        <v>6.2148109041479591</v>
      </c>
      <c r="G27">
        <v>6.5402372854611963</v>
      </c>
      <c r="H27">
        <v>5.7277695866310721</v>
      </c>
      <c r="I27">
        <v>6.0013730291550056</v>
      </c>
      <c r="J27">
        <v>6.2080411438656178</v>
      </c>
      <c r="K27">
        <v>6.7893360397493776</v>
      </c>
      <c r="L27">
        <v>5.9907227990279468</v>
      </c>
      <c r="M27">
        <v>5.7387810664752603</v>
      </c>
      <c r="N27">
        <v>5.1065572325564741</v>
      </c>
      <c r="O27">
        <v>5.3484440138847953</v>
      </c>
      <c r="P27">
        <v>5.2172520772673598</v>
      </c>
      <c r="Q27">
        <v>5.3905286936916923</v>
      </c>
      <c r="R27">
        <v>5.7781771322921891</v>
      </c>
      <c r="S27">
        <v>5.1683993416613312</v>
      </c>
      <c r="T27">
        <v>5.1585567209935652</v>
      </c>
      <c r="U27">
        <v>5.0759836216859338</v>
      </c>
      <c r="V27">
        <v>5.1743056639247351</v>
      </c>
    </row>
    <row r="28" spans="1:22" x14ac:dyDescent="0.35">
      <c r="A28" t="s">
        <v>25</v>
      </c>
      <c r="B28">
        <v>6.9451917140122832E-2</v>
      </c>
      <c r="C28">
        <v>-0.1228043321235667</v>
      </c>
      <c r="D28">
        <v>3.2127973147715587E-2</v>
      </c>
      <c r="E28">
        <v>0.24756094455108699</v>
      </c>
      <c r="F28">
        <v>0.29488001791551749</v>
      </c>
      <c r="G28">
        <v>0.40626853820039049</v>
      </c>
      <c r="H28">
        <v>0.30480541030441588</v>
      </c>
      <c r="I28">
        <v>0.116503963023622</v>
      </c>
      <c r="J28">
        <v>0.33420422093078722</v>
      </c>
      <c r="K28">
        <v>0.42436822698309512</v>
      </c>
      <c r="L28">
        <v>0.33334888252103839</v>
      </c>
      <c r="M28">
        <v>0.60775068411058641</v>
      </c>
      <c r="N28">
        <v>0.84333886093223343</v>
      </c>
      <c r="O28">
        <v>0.5307350055131077</v>
      </c>
      <c r="P28">
        <v>0.77593181295812108</v>
      </c>
      <c r="Q28">
        <v>0.77318013743634018</v>
      </c>
      <c r="R28">
        <v>1.0975091700408679</v>
      </c>
      <c r="S28">
        <v>0.9463993325111979</v>
      </c>
      <c r="T28">
        <v>1.0247001432003939</v>
      </c>
      <c r="U28">
        <v>0.84369476034510671</v>
      </c>
      <c r="V28">
        <v>1.0249065259274841</v>
      </c>
    </row>
    <row r="29" spans="1:22" x14ac:dyDescent="0.35">
      <c r="A29" t="s">
        <v>26</v>
      </c>
      <c r="B29">
        <v>145.79517206979409</v>
      </c>
      <c r="C29">
        <v>144.45755720148759</v>
      </c>
      <c r="D29">
        <v>144.57325380169391</v>
      </c>
      <c r="E29">
        <v>146.65779319315371</v>
      </c>
      <c r="F29">
        <v>148.43702396068409</v>
      </c>
      <c r="G29">
        <v>149.91868866333991</v>
      </c>
      <c r="H29">
        <v>148.84061813644001</v>
      </c>
      <c r="I29">
        <v>147.9846331887596</v>
      </c>
      <c r="J29">
        <v>150.26633478455449</v>
      </c>
      <c r="K29">
        <v>151.57103085185659</v>
      </c>
      <c r="L29">
        <v>151.46884620132229</v>
      </c>
      <c r="M29">
        <v>153.6695507552281</v>
      </c>
      <c r="N29">
        <v>153.7572211263155</v>
      </c>
      <c r="O29">
        <v>151.6853666273737</v>
      </c>
      <c r="P29">
        <v>151.62447666571211</v>
      </c>
      <c r="Q29">
        <v>152.7867135918726</v>
      </c>
      <c r="R29">
        <v>155.00861770241099</v>
      </c>
      <c r="S29">
        <v>153.6393514800977</v>
      </c>
      <c r="T29">
        <v>153.36272749220311</v>
      </c>
      <c r="U29">
        <v>153.38823327480071</v>
      </c>
      <c r="V29">
        <v>154.25410476859039</v>
      </c>
    </row>
    <row r="30" spans="1:22" x14ac:dyDescent="0.35">
      <c r="A30" t="s">
        <v>27</v>
      </c>
      <c r="B30">
        <v>29218296.469999999</v>
      </c>
      <c r="C30">
        <v>28704211.25</v>
      </c>
      <c r="D30">
        <v>50946629.479999997</v>
      </c>
      <c r="E30">
        <v>43605840.600000001</v>
      </c>
      <c r="F30">
        <v>37502657.079999998</v>
      </c>
      <c r="G30">
        <v>34131040.859999999</v>
      </c>
      <c r="H30">
        <v>33269283.25</v>
      </c>
      <c r="I30">
        <v>29007287.850000001</v>
      </c>
      <c r="J30">
        <v>27004751.27</v>
      </c>
      <c r="K30">
        <v>28852206.16</v>
      </c>
      <c r="L30">
        <v>19064750.879999999</v>
      </c>
      <c r="M30">
        <v>22918900.57</v>
      </c>
      <c r="N30">
        <v>23856936.02</v>
      </c>
      <c r="O30">
        <v>30556521.399999999</v>
      </c>
      <c r="P30">
        <v>52672958.689999998</v>
      </c>
      <c r="Q30">
        <v>41738202.899999999</v>
      </c>
      <c r="R30">
        <v>38774211.060000002</v>
      </c>
      <c r="S30">
        <v>38016709.469999999</v>
      </c>
      <c r="T30">
        <v>39889590.950000003</v>
      </c>
      <c r="U30">
        <v>34101716.939999998</v>
      </c>
      <c r="V30">
        <v>29811199.030000001</v>
      </c>
    </row>
    <row r="31" spans="1:22" x14ac:dyDescent="0.35">
      <c r="A31" t="s">
        <v>28</v>
      </c>
      <c r="B31">
        <v>1.478823734274757</v>
      </c>
      <c r="C31">
        <v>1.5114385239038719</v>
      </c>
      <c r="D31">
        <v>1.47700998293509</v>
      </c>
      <c r="E31">
        <v>1.46195597116877</v>
      </c>
      <c r="F31">
        <v>1.4206447830297519</v>
      </c>
      <c r="G31">
        <v>1.4010054189372569</v>
      </c>
      <c r="H31">
        <v>1.4510882765812401</v>
      </c>
      <c r="I31">
        <v>1.433827448396092</v>
      </c>
      <c r="J31">
        <v>1.4210591835630779</v>
      </c>
      <c r="K31">
        <v>1.3863354548817179</v>
      </c>
      <c r="L31">
        <v>1.4344916551033531</v>
      </c>
      <c r="M31">
        <v>1.4503855727176069</v>
      </c>
      <c r="N31">
        <v>1.49186504497544</v>
      </c>
      <c r="O31">
        <v>1.4757179506327129</v>
      </c>
      <c r="P31">
        <v>1.4844320029003519</v>
      </c>
      <c r="Q31">
        <v>1.4729442279445499</v>
      </c>
      <c r="R31">
        <v>1.447877053921268</v>
      </c>
      <c r="S31">
        <v>1.4877032613726111</v>
      </c>
      <c r="T31">
        <v>1.488364085046836</v>
      </c>
      <c r="U31">
        <v>1.4939311681497489</v>
      </c>
      <c r="V31">
        <v>1.4873069984624141</v>
      </c>
    </row>
    <row r="32" spans="1:22" x14ac:dyDescent="0.35">
      <c r="A32" t="s">
        <v>29</v>
      </c>
      <c r="B32">
        <v>0.2490078297551411</v>
      </c>
      <c r="C32">
        <v>0.25175434760176518</v>
      </c>
      <c r="D32">
        <v>0.24954102895503261</v>
      </c>
      <c r="E32">
        <v>0.24646341507784161</v>
      </c>
      <c r="F32">
        <v>0.24578742831549261</v>
      </c>
      <c r="G32">
        <v>0.24419616373999439</v>
      </c>
      <c r="H32">
        <v>0.2456456369956512</v>
      </c>
      <c r="I32">
        <v>0.24833565767109109</v>
      </c>
      <c r="J32">
        <v>0.24522565398670301</v>
      </c>
      <c r="K32">
        <v>0.24393759675738441</v>
      </c>
      <c r="L32">
        <v>0.24523787310684231</v>
      </c>
      <c r="M32">
        <v>0.24131784736984879</v>
      </c>
      <c r="N32">
        <v>0.23795230198668241</v>
      </c>
      <c r="O32">
        <v>0.24241807134981269</v>
      </c>
      <c r="P32">
        <v>0.23891525981488401</v>
      </c>
      <c r="Q32">
        <v>0.23895456946519511</v>
      </c>
      <c r="R32">
        <v>0.23432129757084469</v>
      </c>
      <c r="S32">
        <v>0.23648000953555429</v>
      </c>
      <c r="T32">
        <v>0.23536142652570871</v>
      </c>
      <c r="U32">
        <v>0.23794721770935559</v>
      </c>
      <c r="V32">
        <v>0.23535847820103589</v>
      </c>
    </row>
    <row r="34" spans="1:22" x14ac:dyDescent="0.35">
      <c r="A34" t="s">
        <v>34</v>
      </c>
      <c r="B34" t="s">
        <v>48</v>
      </c>
      <c r="C34" t="s">
        <v>49</v>
      </c>
      <c r="D34" t="s">
        <v>50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t="s">
        <v>57</v>
      </c>
      <c r="L34" t="s">
        <v>58</v>
      </c>
      <c r="M34" t="s">
        <v>59</v>
      </c>
      <c r="N34" t="s">
        <v>60</v>
      </c>
      <c r="O34" t="s">
        <v>61</v>
      </c>
      <c r="P34" t="s">
        <v>62</v>
      </c>
      <c r="Q34" t="s">
        <v>63</v>
      </c>
      <c r="R34" t="s">
        <v>64</v>
      </c>
      <c r="S34" t="s">
        <v>65</v>
      </c>
      <c r="T34" t="s">
        <v>66</v>
      </c>
      <c r="U34" t="s">
        <v>70</v>
      </c>
      <c r="V34" t="s">
        <v>71</v>
      </c>
    </row>
    <row r="35" spans="1:22" x14ac:dyDescent="0.35">
      <c r="A35" t="s">
        <v>21</v>
      </c>
      <c r="B35">
        <v>136.29760427434559</v>
      </c>
      <c r="C35">
        <v>136.46220924959371</v>
      </c>
      <c r="D35">
        <v>136.9609041136579</v>
      </c>
      <c r="E35">
        <v>138.18725838410501</v>
      </c>
      <c r="F35">
        <v>138.63590561533101</v>
      </c>
      <c r="G35">
        <v>138.10456953651311</v>
      </c>
      <c r="H35">
        <v>138.48578211254471</v>
      </c>
      <c r="I35">
        <v>137.63943630732629</v>
      </c>
      <c r="J35">
        <v>137.98695672742639</v>
      </c>
      <c r="K35">
        <v>137.8761249555609</v>
      </c>
      <c r="L35">
        <v>138.54180811037151</v>
      </c>
      <c r="M35">
        <v>140.2836420790112</v>
      </c>
      <c r="N35">
        <v>140.9409057046129</v>
      </c>
      <c r="O35">
        <v>140.84270790057471</v>
      </c>
      <c r="P35">
        <v>141.11748587277279</v>
      </c>
      <c r="Q35">
        <v>141.54083393714191</v>
      </c>
      <c r="R35">
        <v>141.70634236777059</v>
      </c>
      <c r="S35">
        <v>142.34249659097529</v>
      </c>
      <c r="T35">
        <v>142.27061346957839</v>
      </c>
      <c r="U35">
        <v>142.6429675584545</v>
      </c>
      <c r="V35">
        <v>143.71254974668111</v>
      </c>
    </row>
    <row r="36" spans="1:22" x14ac:dyDescent="0.35">
      <c r="A36" t="s">
        <v>22</v>
      </c>
      <c r="B36">
        <v>2.0847443397750278</v>
      </c>
      <c r="C36">
        <v>2.111620252590058</v>
      </c>
      <c r="D36">
        <v>1.415777739536082</v>
      </c>
      <c r="E36">
        <v>1.029701186736673</v>
      </c>
      <c r="F36">
        <v>1.6709415709649991</v>
      </c>
      <c r="G36">
        <v>1.9513403317334621</v>
      </c>
      <c r="H36">
        <v>1.9125456208967651</v>
      </c>
      <c r="I36">
        <v>2.1053961154962622</v>
      </c>
      <c r="J36">
        <v>2.3644807192563628</v>
      </c>
      <c r="K36">
        <v>0.95418483269546073</v>
      </c>
      <c r="L36">
        <v>0.71267748266078002</v>
      </c>
      <c r="M36">
        <v>1.2436686692300329</v>
      </c>
      <c r="N36">
        <v>1.7385209396625501</v>
      </c>
      <c r="O36">
        <v>1.5830091831885511</v>
      </c>
      <c r="P36">
        <v>1.437818650831957</v>
      </c>
      <c r="Q36">
        <v>1.627548971497419</v>
      </c>
      <c r="R36">
        <v>1.758628922189416</v>
      </c>
      <c r="S36">
        <v>2.0937937663952941</v>
      </c>
      <c r="T36">
        <v>1.714433775414562</v>
      </c>
      <c r="U36">
        <v>2.4500580579898208</v>
      </c>
      <c r="V36">
        <v>2.7812268368546431</v>
      </c>
    </row>
    <row r="37" spans="1:22" x14ac:dyDescent="0.35">
      <c r="A37" t="s">
        <v>23</v>
      </c>
      <c r="B37">
        <v>3.2549506790576541</v>
      </c>
      <c r="C37">
        <v>3.312043075116665</v>
      </c>
      <c r="D37">
        <v>1.4040831989869329</v>
      </c>
      <c r="E37">
        <v>1.3573649672569259</v>
      </c>
      <c r="F37">
        <v>1.3768705637057359</v>
      </c>
      <c r="G37">
        <v>2.3592977517005229</v>
      </c>
      <c r="H37">
        <v>2.8156878242368268</v>
      </c>
      <c r="I37">
        <v>1.7728814663087611</v>
      </c>
      <c r="J37">
        <v>2.5445227379458761</v>
      </c>
      <c r="K37">
        <v>2.637838645179241</v>
      </c>
      <c r="L37">
        <v>2.64838490064251</v>
      </c>
      <c r="M37">
        <v>3.0440844883962002</v>
      </c>
      <c r="N37">
        <v>1.585202957719998</v>
      </c>
      <c r="O37">
        <v>1.2541356553887471</v>
      </c>
      <c r="P37">
        <v>0.82793514396157397</v>
      </c>
      <c r="Q37">
        <v>0.54909112587381337</v>
      </c>
      <c r="R37">
        <v>0.53073973137091024</v>
      </c>
      <c r="S37">
        <v>0.1052771590177654</v>
      </c>
      <c r="T37">
        <v>-0.26808866073456122</v>
      </c>
      <c r="U37">
        <v>0.32710926451416728</v>
      </c>
      <c r="V37">
        <v>0.12658518896384061</v>
      </c>
    </row>
    <row r="38" spans="1:22" x14ac:dyDescent="0.35">
      <c r="A38" t="s">
        <v>24</v>
      </c>
      <c r="B38">
        <v>1.0735580683391299</v>
      </c>
      <c r="C38">
        <v>0.71397359544114836</v>
      </c>
      <c r="D38">
        <v>0.78916718862356849</v>
      </c>
      <c r="E38">
        <v>0.28920704976806921</v>
      </c>
      <c r="F38">
        <v>0.36002738105903093</v>
      </c>
      <c r="G38">
        <v>0.54372531551574732</v>
      </c>
      <c r="H38">
        <v>0.35418020403435141</v>
      </c>
      <c r="I38">
        <v>0.36738062952410622</v>
      </c>
      <c r="J38">
        <v>0.46839752329339429</v>
      </c>
      <c r="K38">
        <v>0.59282752428646668</v>
      </c>
      <c r="L38">
        <v>0.60689817551318659</v>
      </c>
      <c r="M38">
        <v>0.1115611537117616</v>
      </c>
      <c r="N38">
        <v>-0.4651619116505249</v>
      </c>
      <c r="O38">
        <v>-8.4071442165114529E-3</v>
      </c>
      <c r="P38">
        <v>-0.23226848632134139</v>
      </c>
      <c r="Q38">
        <v>-0.49702664339924019</v>
      </c>
      <c r="R38">
        <v>-0.28875864469415252</v>
      </c>
      <c r="S38">
        <v>-0.27323098262846007</v>
      </c>
      <c r="T38">
        <v>-0.78884759560840978</v>
      </c>
      <c r="U38">
        <v>-0.49384742724940051</v>
      </c>
      <c r="V38">
        <v>-0.88216324231763488</v>
      </c>
    </row>
    <row r="39" spans="1:22" x14ac:dyDescent="0.35">
      <c r="A39" t="s">
        <v>25</v>
      </c>
      <c r="B39">
        <v>-0.46572001518278999</v>
      </c>
      <c r="C39">
        <v>-0.2986647934090314</v>
      </c>
      <c r="D39">
        <v>-0.51036508209646614</v>
      </c>
      <c r="E39">
        <v>-0.47089861333617777</v>
      </c>
      <c r="F39">
        <v>-0.51269777589642151</v>
      </c>
      <c r="G39">
        <v>-0.56986390415944632</v>
      </c>
      <c r="H39">
        <v>-0.65552912577760025</v>
      </c>
      <c r="I39">
        <v>-0.45399754123740688</v>
      </c>
      <c r="J39">
        <v>-0.46232863930665191</v>
      </c>
      <c r="K39">
        <v>-0.50882924884749126</v>
      </c>
      <c r="L39">
        <v>-0.39948752989918979</v>
      </c>
      <c r="M39">
        <v>-0.54869921200708294</v>
      </c>
      <c r="N39">
        <v>-0.57764165419783187</v>
      </c>
      <c r="O39">
        <v>-0.48232709439872867</v>
      </c>
      <c r="P39">
        <v>-0.29466180402656061</v>
      </c>
      <c r="Q39">
        <v>-0.17645223111772471</v>
      </c>
      <c r="R39">
        <v>-0.44047773754927022</v>
      </c>
      <c r="S39">
        <v>-0.29349783849776773</v>
      </c>
      <c r="T39">
        <v>-0.50199293681261692</v>
      </c>
      <c r="U39">
        <v>-0.64271540766909996</v>
      </c>
      <c r="V39">
        <v>-0.63535936972289786</v>
      </c>
    </row>
    <row r="40" spans="1:22" x14ac:dyDescent="0.35">
      <c r="A40" t="s">
        <v>26</v>
      </c>
      <c r="B40">
        <v>142.24513734633459</v>
      </c>
      <c r="C40">
        <v>142.30118137933249</v>
      </c>
      <c r="D40">
        <v>140.05956715870801</v>
      </c>
      <c r="E40">
        <v>140.3926329745305</v>
      </c>
      <c r="F40">
        <v>141.5310473551643</v>
      </c>
      <c r="G40">
        <v>142.38906903130339</v>
      </c>
      <c r="H40">
        <v>142.91266663593501</v>
      </c>
      <c r="I40">
        <v>141.43109697741801</v>
      </c>
      <c r="J40">
        <v>142.90202906861529</v>
      </c>
      <c r="K40">
        <v>141.5521467088746</v>
      </c>
      <c r="L40">
        <v>142.11028113928879</v>
      </c>
      <c r="M40">
        <v>144.1342571783421</v>
      </c>
      <c r="N40">
        <v>143.22182603614709</v>
      </c>
      <c r="O40">
        <v>143.18911850053681</v>
      </c>
      <c r="P40">
        <v>142.85630937721839</v>
      </c>
      <c r="Q40">
        <v>143.0439951599962</v>
      </c>
      <c r="R40">
        <v>143.26647463908751</v>
      </c>
      <c r="S40">
        <v>143.97483869526209</v>
      </c>
      <c r="T40">
        <v>142.42611805183739</v>
      </c>
      <c r="U40">
        <v>144.28357204604001</v>
      </c>
      <c r="V40">
        <v>145.1028391604591</v>
      </c>
    </row>
    <row r="41" spans="1:22" x14ac:dyDescent="0.35">
      <c r="A41" t="s">
        <v>27</v>
      </c>
      <c r="B41">
        <v>10338839.33</v>
      </c>
      <c r="C41">
        <v>11583637.119999999</v>
      </c>
      <c r="D41">
        <v>21544150.359999999</v>
      </c>
      <c r="E41">
        <v>14690857.789999999</v>
      </c>
      <c r="F41">
        <v>13097759.619999999</v>
      </c>
      <c r="G41">
        <v>12138089.550000001</v>
      </c>
      <c r="H41">
        <v>12341720.619999999</v>
      </c>
      <c r="I41">
        <v>14023960.710000001</v>
      </c>
      <c r="J41">
        <v>16268241.57</v>
      </c>
      <c r="K41">
        <v>16171908.59</v>
      </c>
      <c r="L41">
        <v>13413464.140000001</v>
      </c>
      <c r="M41">
        <v>13425760.220000001</v>
      </c>
      <c r="N41">
        <v>12367358.27</v>
      </c>
      <c r="O41">
        <v>19125484.43</v>
      </c>
      <c r="P41">
        <v>30391573.989999998</v>
      </c>
      <c r="Q41">
        <v>20947460.09</v>
      </c>
      <c r="R41">
        <v>17281542.120000001</v>
      </c>
      <c r="S41">
        <v>14943408.119999999</v>
      </c>
      <c r="T41">
        <v>14633499.640000001</v>
      </c>
      <c r="U41">
        <v>9744764.7699999996</v>
      </c>
      <c r="V41">
        <v>9028399.7600000016</v>
      </c>
    </row>
    <row r="42" spans="1:22" x14ac:dyDescent="0.35">
      <c r="A42" t="s">
        <v>28</v>
      </c>
      <c r="B42">
        <v>1.3638709050422859</v>
      </c>
      <c r="C42">
        <v>1.391556776755267</v>
      </c>
      <c r="D42">
        <v>1.3856747614224481</v>
      </c>
      <c r="E42">
        <v>1.4257449707811021</v>
      </c>
      <c r="F42">
        <v>1.4199286359936749</v>
      </c>
      <c r="G42">
        <v>1.4050607585721511</v>
      </c>
      <c r="H42">
        <v>1.420407055256323</v>
      </c>
      <c r="I42">
        <v>1.4193274464253769</v>
      </c>
      <c r="J42">
        <v>1.4111197072960029</v>
      </c>
      <c r="K42">
        <v>1.401139183907264</v>
      </c>
      <c r="L42">
        <v>1.4000194556859551</v>
      </c>
      <c r="M42">
        <v>1.4405465274951279</v>
      </c>
      <c r="N42">
        <v>1.4907917373178581</v>
      </c>
      <c r="O42">
        <v>1.4507174347465479</v>
      </c>
      <c r="P42">
        <v>1.4700855616569961</v>
      </c>
      <c r="Q42">
        <v>1.493670229440238</v>
      </c>
      <c r="R42">
        <v>1.475054992977741</v>
      </c>
      <c r="S42">
        <v>1.4736856815802151</v>
      </c>
      <c r="T42">
        <v>1.520558155589379</v>
      </c>
      <c r="U42">
        <v>1.493382536684762</v>
      </c>
      <c r="V42">
        <v>1.5293615620130221</v>
      </c>
    </row>
    <row r="43" spans="1:22" x14ac:dyDescent="0.35">
      <c r="A43" t="s">
        <v>29</v>
      </c>
      <c r="B43">
        <v>0.24165314307403979</v>
      </c>
      <c r="C43">
        <v>0.23926663990584329</v>
      </c>
      <c r="D43">
        <v>0.24229092974423519</v>
      </c>
      <c r="E43">
        <v>0.2417271230476597</v>
      </c>
      <c r="F43">
        <v>0.24232425394137741</v>
      </c>
      <c r="G43">
        <v>0.24314091291656351</v>
      </c>
      <c r="H43">
        <v>0.24436470179682279</v>
      </c>
      <c r="I43">
        <v>0.2414856791605344</v>
      </c>
      <c r="J43">
        <v>0.2416046948472379</v>
      </c>
      <c r="K43">
        <v>0.24226898926924989</v>
      </c>
      <c r="L43">
        <v>0.24070696471284561</v>
      </c>
      <c r="M43">
        <v>0.24283856017152969</v>
      </c>
      <c r="N43">
        <v>0.24325202363139761</v>
      </c>
      <c r="O43">
        <v>0.241890387062839</v>
      </c>
      <c r="P43">
        <v>0.23920945434323659</v>
      </c>
      <c r="Q43">
        <v>0.2375207461588246</v>
      </c>
      <c r="R43">
        <v>0.2412925391078467</v>
      </c>
      <c r="S43">
        <v>0.23919282626425381</v>
      </c>
      <c r="T43">
        <v>0.24217132766875171</v>
      </c>
      <c r="U43">
        <v>0.2441816486809871</v>
      </c>
      <c r="V43">
        <v>0.24407656242461279</v>
      </c>
    </row>
    <row r="45" spans="1:22" x14ac:dyDescent="0.35">
      <c r="A45" t="s">
        <v>35</v>
      </c>
      <c r="B45" t="s">
        <v>48</v>
      </c>
      <c r="C45" t="s">
        <v>49</v>
      </c>
      <c r="D45" t="s">
        <v>50</v>
      </c>
      <c r="E45" t="s">
        <v>51</v>
      </c>
      <c r="F45" t="s">
        <v>52</v>
      </c>
      <c r="G45" t="s">
        <v>53</v>
      </c>
      <c r="H45" t="s">
        <v>54</v>
      </c>
      <c r="I45" t="s">
        <v>55</v>
      </c>
      <c r="J45" t="s">
        <v>56</v>
      </c>
      <c r="K45" t="s">
        <v>57</v>
      </c>
      <c r="L45" t="s">
        <v>58</v>
      </c>
      <c r="M45" t="s">
        <v>59</v>
      </c>
      <c r="N45" t="s">
        <v>60</v>
      </c>
      <c r="O45" t="s">
        <v>61</v>
      </c>
      <c r="P45" t="s">
        <v>62</v>
      </c>
      <c r="Q45" t="s">
        <v>63</v>
      </c>
      <c r="R45" t="s">
        <v>64</v>
      </c>
      <c r="S45" t="s">
        <v>65</v>
      </c>
      <c r="T45" t="s">
        <v>66</v>
      </c>
      <c r="U45" t="s">
        <v>70</v>
      </c>
      <c r="V45" t="s">
        <v>71</v>
      </c>
    </row>
    <row r="46" spans="1:22" x14ac:dyDescent="0.35">
      <c r="A46" t="s">
        <v>21</v>
      </c>
      <c r="B46">
        <v>134.36428329235119</v>
      </c>
      <c r="C46">
        <v>134.03043325043319</v>
      </c>
      <c r="D46">
        <v>135.01082013108359</v>
      </c>
      <c r="E46">
        <v>136.09272166002839</v>
      </c>
      <c r="F46">
        <v>136.37059792706319</v>
      </c>
      <c r="G46">
        <v>136.8923781864508</v>
      </c>
      <c r="H46">
        <v>137.17727947788671</v>
      </c>
      <c r="I46">
        <v>137.004396017923</v>
      </c>
      <c r="J46">
        <v>136.7968899413944</v>
      </c>
      <c r="K46">
        <v>136.93947473087951</v>
      </c>
      <c r="L46">
        <v>136.85220404335959</v>
      </c>
      <c r="M46">
        <v>137.94895532856131</v>
      </c>
      <c r="N46">
        <v>139.5511416970518</v>
      </c>
      <c r="O46">
        <v>139.650374971064</v>
      </c>
      <c r="P46">
        <v>140.14787275293409</v>
      </c>
      <c r="Q46">
        <v>140.4932955574796</v>
      </c>
      <c r="R46">
        <v>141.8914668568255</v>
      </c>
      <c r="S46">
        <v>144.0745300312725</v>
      </c>
      <c r="T46">
        <v>144.7910778711163</v>
      </c>
      <c r="U46">
        <v>145.56697710442569</v>
      </c>
      <c r="V46">
        <v>145.84195746364401</v>
      </c>
    </row>
    <row r="47" spans="1:22" x14ac:dyDescent="0.35">
      <c r="A47" t="s">
        <v>22</v>
      </c>
      <c r="B47">
        <v>-1.2319745885087341</v>
      </c>
      <c r="C47">
        <v>-1.604170365636548</v>
      </c>
      <c r="D47">
        <v>-2.032143067925404</v>
      </c>
      <c r="E47">
        <v>-1.248909680228365</v>
      </c>
      <c r="F47">
        <v>-0.71437864529059425</v>
      </c>
      <c r="G47">
        <v>-0.23129847556998581</v>
      </c>
      <c r="H47">
        <v>-0.67601324158829357</v>
      </c>
      <c r="I47">
        <v>-1.252090985610181</v>
      </c>
      <c r="J47">
        <v>-1.0636309288147461</v>
      </c>
      <c r="K47">
        <v>-0.55485317716295413</v>
      </c>
      <c r="L47">
        <v>-0.2605466054964154</v>
      </c>
      <c r="M47">
        <v>-0.13870295713323341</v>
      </c>
      <c r="N47">
        <v>0.18919254773558691</v>
      </c>
      <c r="O47">
        <v>-0.1114179970595046</v>
      </c>
      <c r="P47">
        <v>-0.6873359788591813</v>
      </c>
      <c r="Q47">
        <v>-0.55980815441571963</v>
      </c>
      <c r="R47">
        <v>-0.55507980939248114</v>
      </c>
      <c r="S47">
        <v>-0.48711416002907981</v>
      </c>
      <c r="T47">
        <v>-0.42715247721667993</v>
      </c>
      <c r="U47">
        <v>-0.25181853858924802</v>
      </c>
      <c r="V47">
        <v>-7.337310843095679E-2</v>
      </c>
    </row>
    <row r="48" spans="1:22" x14ac:dyDescent="0.35">
      <c r="A48" t="s">
        <v>23</v>
      </c>
      <c r="B48">
        <v>4.1396580228629363</v>
      </c>
      <c r="C48">
        <v>4.587422601325577</v>
      </c>
      <c r="D48">
        <v>3.4656664426782409</v>
      </c>
      <c r="E48">
        <v>2.4462319830193771</v>
      </c>
      <c r="F48">
        <v>2.9327104413029921</v>
      </c>
      <c r="G48">
        <v>3.0618635152896561</v>
      </c>
      <c r="H48">
        <v>3.0072394503209239</v>
      </c>
      <c r="I48">
        <v>2.869693080259025</v>
      </c>
      <c r="J48">
        <v>3.0256798153133739</v>
      </c>
      <c r="K48">
        <v>3.6057768274427509</v>
      </c>
      <c r="L48">
        <v>3.920292003800312</v>
      </c>
      <c r="M48">
        <v>4.5447673170044469</v>
      </c>
      <c r="N48">
        <v>3.170739635456898</v>
      </c>
      <c r="O48">
        <v>3.183361880905518</v>
      </c>
      <c r="P48">
        <v>2.7886432942000532</v>
      </c>
      <c r="Q48">
        <v>2.179775192558298</v>
      </c>
      <c r="R48">
        <v>1.131678482724384</v>
      </c>
      <c r="S48">
        <v>0.54614634752071145</v>
      </c>
      <c r="T48">
        <v>-0.32558064116614471</v>
      </c>
      <c r="U48">
        <v>-1.333413926585882</v>
      </c>
      <c r="V48">
        <v>-1.405407461486242</v>
      </c>
    </row>
    <row r="49" spans="1:22" x14ac:dyDescent="0.35">
      <c r="A49" t="s">
        <v>24</v>
      </c>
      <c r="B49">
        <v>1.2218517186439359</v>
      </c>
      <c r="C49">
        <v>1.402996430927991</v>
      </c>
      <c r="D49">
        <v>1.7532831274052469</v>
      </c>
      <c r="E49">
        <v>1.78972022002137</v>
      </c>
      <c r="F49">
        <v>2.037806645757561</v>
      </c>
      <c r="G49">
        <v>1.988542750024207</v>
      </c>
      <c r="H49">
        <v>1.8775045541680739</v>
      </c>
      <c r="I49">
        <v>1.839563961507289</v>
      </c>
      <c r="J49">
        <v>1.829141291391555</v>
      </c>
      <c r="K49">
        <v>1.9111547785505241</v>
      </c>
      <c r="L49">
        <v>1.8018751507089601</v>
      </c>
      <c r="M49">
        <v>1.2718203376049111</v>
      </c>
      <c r="N49">
        <v>1.2385118029466919</v>
      </c>
      <c r="O49">
        <v>1.361783728161249</v>
      </c>
      <c r="P49">
        <v>1.7799351911762651</v>
      </c>
      <c r="Q49">
        <v>1.869089311413884</v>
      </c>
      <c r="R49">
        <v>1.961077621487693</v>
      </c>
      <c r="S49">
        <v>1.47355463489293</v>
      </c>
      <c r="T49">
        <v>1.3475160918740201</v>
      </c>
      <c r="U49">
        <v>1.6037157092882111</v>
      </c>
      <c r="V49">
        <v>2.1874964546000308</v>
      </c>
    </row>
    <row r="50" spans="1:22" x14ac:dyDescent="0.35">
      <c r="A50" t="s">
        <v>25</v>
      </c>
      <c r="B50">
        <v>-0.19212612570981721</v>
      </c>
      <c r="C50">
        <v>-0.21915980175881419</v>
      </c>
      <c r="D50">
        <v>-0.26016234600327148</v>
      </c>
      <c r="E50">
        <v>-0.1436191557361535</v>
      </c>
      <c r="F50">
        <v>-0.17779438350925439</v>
      </c>
      <c r="G50">
        <v>-0.23404375152464879</v>
      </c>
      <c r="H50">
        <v>-0.2419084587770956</v>
      </c>
      <c r="I50">
        <v>-0.17073501170256361</v>
      </c>
      <c r="J50">
        <v>-0.16039278947698629</v>
      </c>
      <c r="K50">
        <v>-0.17358391233358361</v>
      </c>
      <c r="L50">
        <v>-0.1081127515810654</v>
      </c>
      <c r="M50">
        <v>-0.26644132432141032</v>
      </c>
      <c r="N50">
        <v>-0.10613986551781859</v>
      </c>
      <c r="O50">
        <v>-0.2022881484111963</v>
      </c>
      <c r="P50">
        <v>-0.16327198012711819</v>
      </c>
      <c r="Q50">
        <v>-0.1012741240132797</v>
      </c>
      <c r="R50">
        <v>-7.0917937077019377E-2</v>
      </c>
      <c r="S50">
        <v>-0.113072782177675</v>
      </c>
      <c r="T50">
        <v>-0.36425744801673771</v>
      </c>
      <c r="U50">
        <v>-0.39499603270446848</v>
      </c>
      <c r="V50">
        <v>-0.13926907708749101</v>
      </c>
    </row>
    <row r="51" spans="1:22" x14ac:dyDescent="0.35">
      <c r="A51" t="s">
        <v>26</v>
      </c>
      <c r="B51">
        <v>138.3016923196395</v>
      </c>
      <c r="C51">
        <v>138.19752211529141</v>
      </c>
      <c r="D51">
        <v>137.93746428723841</v>
      </c>
      <c r="E51">
        <v>138.9361450271046</v>
      </c>
      <c r="F51">
        <v>140.4489419853239</v>
      </c>
      <c r="G51">
        <v>141.47744222467</v>
      </c>
      <c r="H51">
        <v>141.1441017820103</v>
      </c>
      <c r="I51">
        <v>140.29082706237651</v>
      </c>
      <c r="J51">
        <v>140.42768732980761</v>
      </c>
      <c r="K51">
        <v>141.72796924737631</v>
      </c>
      <c r="L51">
        <v>142.20571184079139</v>
      </c>
      <c r="M51">
        <v>143.36039870171601</v>
      </c>
      <c r="N51">
        <v>144.04344581767319</v>
      </c>
      <c r="O51">
        <v>143.8818144346601</v>
      </c>
      <c r="P51">
        <v>143.86584327932411</v>
      </c>
      <c r="Q51">
        <v>143.8810777830227</v>
      </c>
      <c r="R51">
        <v>144.35822521456811</v>
      </c>
      <c r="S51">
        <v>145.49404407147941</v>
      </c>
      <c r="T51">
        <v>145.02160339659079</v>
      </c>
      <c r="U51">
        <v>145.1904643158343</v>
      </c>
      <c r="V51">
        <v>146.41140427123929</v>
      </c>
    </row>
    <row r="52" spans="1:22" x14ac:dyDescent="0.35">
      <c r="A52" t="s">
        <v>27</v>
      </c>
      <c r="B52">
        <v>38477597.130000003</v>
      </c>
      <c r="C52">
        <v>41691974.539999999</v>
      </c>
      <c r="D52">
        <v>70978039.359999999</v>
      </c>
      <c r="E52">
        <v>53091558.990000002</v>
      </c>
      <c r="F52">
        <v>39710399.25</v>
      </c>
      <c r="G52">
        <v>37422826.590000004</v>
      </c>
      <c r="H52">
        <v>39053427.369999997</v>
      </c>
      <c r="I52">
        <v>33437034.600000001</v>
      </c>
      <c r="J52">
        <v>36195578.530000001</v>
      </c>
      <c r="K52">
        <v>38482419.890000001</v>
      </c>
      <c r="L52">
        <v>27220312.309999999</v>
      </c>
      <c r="M52">
        <v>25710349.010000002</v>
      </c>
      <c r="N52">
        <v>27176409.02</v>
      </c>
      <c r="O52">
        <v>26545115.27</v>
      </c>
      <c r="P52">
        <v>42828165.989999987</v>
      </c>
      <c r="Q52">
        <v>26319309.84</v>
      </c>
      <c r="R52">
        <v>17392589.59</v>
      </c>
      <c r="S52">
        <v>16770443.52</v>
      </c>
      <c r="T52">
        <v>15961965.34</v>
      </c>
      <c r="U52">
        <v>13992728.68</v>
      </c>
      <c r="V52">
        <v>12512209.09</v>
      </c>
    </row>
    <row r="53" spans="1:22" x14ac:dyDescent="0.35">
      <c r="A53" t="s">
        <v>28</v>
      </c>
      <c r="B53">
        <v>1.352771407681856</v>
      </c>
      <c r="C53">
        <v>1.339455783329573</v>
      </c>
      <c r="D53">
        <v>1.314436508665384</v>
      </c>
      <c r="E53">
        <v>1.3118875486892141</v>
      </c>
      <c r="F53">
        <v>1.2947920135270981</v>
      </c>
      <c r="G53">
        <v>1.298151223319576</v>
      </c>
      <c r="H53">
        <v>1.3057869979195631</v>
      </c>
      <c r="I53">
        <v>1.308416694269809</v>
      </c>
      <c r="J53">
        <v>1.3091409543604451</v>
      </c>
      <c r="K53">
        <v>1.3034635001749659</v>
      </c>
      <c r="L53">
        <v>1.311039446992101</v>
      </c>
      <c r="M53">
        <v>1.3490719339697239</v>
      </c>
      <c r="N53">
        <v>1.3515357100581771</v>
      </c>
      <c r="O53">
        <v>1.3424621684327209</v>
      </c>
      <c r="P53">
        <v>1.31257108978639</v>
      </c>
      <c r="Q53">
        <v>1.3063693532410841</v>
      </c>
      <c r="R53">
        <v>1.3000315958870039</v>
      </c>
      <c r="S53">
        <v>1.3343398434777121</v>
      </c>
      <c r="T53">
        <v>1.3435061114848841</v>
      </c>
      <c r="U53">
        <v>1.3250041220363891</v>
      </c>
      <c r="V53">
        <v>1.284690791126655</v>
      </c>
    </row>
    <row r="54" spans="1:22" x14ac:dyDescent="0.35">
      <c r="A54" t="s">
        <v>29</v>
      </c>
      <c r="B54">
        <v>0.23774465893871169</v>
      </c>
      <c r="C54">
        <v>0.23813085431084019</v>
      </c>
      <c r="D54">
        <v>0.23871660494290389</v>
      </c>
      <c r="E54">
        <v>0.23705170222480221</v>
      </c>
      <c r="F54">
        <v>0.23753991976441791</v>
      </c>
      <c r="G54">
        <v>0.2383434821646378</v>
      </c>
      <c r="H54">
        <v>0.23845583512538709</v>
      </c>
      <c r="I54">
        <v>0.23743907159575089</v>
      </c>
      <c r="J54">
        <v>0.23729132556395691</v>
      </c>
      <c r="K54">
        <v>0.23747977017619401</v>
      </c>
      <c r="L54">
        <v>0.23654446787972949</v>
      </c>
      <c r="M54">
        <v>0.23880630463316299</v>
      </c>
      <c r="N54">
        <v>0.23651628379311171</v>
      </c>
      <c r="O54">
        <v>0.23788983069158851</v>
      </c>
      <c r="P54">
        <v>0.23733245685895879</v>
      </c>
      <c r="Q54">
        <v>0.2364467732001897</v>
      </c>
      <c r="R54">
        <v>0.23601311338681449</v>
      </c>
      <c r="S54">
        <v>0.23661532545968109</v>
      </c>
      <c r="T54">
        <v>0.2402036778288105</v>
      </c>
      <c r="U54">
        <v>0.24064280046720671</v>
      </c>
      <c r="V54">
        <v>0.236989558244107</v>
      </c>
    </row>
    <row r="56" spans="1:22" x14ac:dyDescent="0.35">
      <c r="A56" t="s">
        <v>36</v>
      </c>
      <c r="B56" t="s">
        <v>48</v>
      </c>
      <c r="C56" t="s">
        <v>49</v>
      </c>
      <c r="D56" t="s">
        <v>50</v>
      </c>
      <c r="E56" t="s">
        <v>51</v>
      </c>
      <c r="F56" t="s">
        <v>52</v>
      </c>
      <c r="G56" t="s">
        <v>53</v>
      </c>
      <c r="H56" t="s">
        <v>54</v>
      </c>
      <c r="I56" t="s">
        <v>55</v>
      </c>
      <c r="J56" t="s">
        <v>56</v>
      </c>
      <c r="K56" t="s">
        <v>57</v>
      </c>
      <c r="L56" t="s">
        <v>58</v>
      </c>
      <c r="M56" t="s">
        <v>59</v>
      </c>
      <c r="N56" t="s">
        <v>60</v>
      </c>
      <c r="O56" t="s">
        <v>61</v>
      </c>
      <c r="P56" t="s">
        <v>62</v>
      </c>
      <c r="Q56" t="s">
        <v>63</v>
      </c>
      <c r="R56" t="s">
        <v>64</v>
      </c>
      <c r="S56" t="s">
        <v>65</v>
      </c>
      <c r="T56" t="s">
        <v>66</v>
      </c>
      <c r="U56" t="s">
        <v>70</v>
      </c>
      <c r="V56" t="s">
        <v>71</v>
      </c>
    </row>
    <row r="57" spans="1:22" x14ac:dyDescent="0.35">
      <c r="A57" t="s">
        <v>21</v>
      </c>
      <c r="B57">
        <v>140.00187422513321</v>
      </c>
      <c r="C57">
        <v>139.58231385995111</v>
      </c>
      <c r="D57">
        <v>139.69243477931039</v>
      </c>
      <c r="E57">
        <v>139.81185596064211</v>
      </c>
      <c r="F57">
        <v>139.80736887266229</v>
      </c>
      <c r="G57">
        <v>139.99039728109071</v>
      </c>
      <c r="H57">
        <v>140.13812276144941</v>
      </c>
      <c r="I57">
        <v>139.74641615198391</v>
      </c>
      <c r="J57">
        <v>139.852726401778</v>
      </c>
      <c r="K57">
        <v>140.19002198155829</v>
      </c>
      <c r="L57">
        <v>140.75184859632159</v>
      </c>
      <c r="M57">
        <v>141.8630778429746</v>
      </c>
      <c r="N57">
        <v>141.74660826253341</v>
      </c>
      <c r="O57">
        <v>142.07628750630369</v>
      </c>
      <c r="P57">
        <v>142.44616016064541</v>
      </c>
      <c r="Q57">
        <v>142.9128287488243</v>
      </c>
      <c r="R57">
        <v>142.98220859294011</v>
      </c>
      <c r="S57">
        <v>142.94548344593511</v>
      </c>
      <c r="T57">
        <v>143.2970837804919</v>
      </c>
      <c r="U57">
        <v>143.92994406619269</v>
      </c>
      <c r="V57">
        <v>143.9083521686504</v>
      </c>
    </row>
    <row r="58" spans="1:22" x14ac:dyDescent="0.35">
      <c r="A58" t="s">
        <v>22</v>
      </c>
      <c r="B58">
        <v>0.93976127727756875</v>
      </c>
      <c r="C58">
        <v>0.51836653158176205</v>
      </c>
      <c r="D58">
        <v>0.40900348827324251</v>
      </c>
      <c r="E58">
        <v>1.467693648174873</v>
      </c>
      <c r="F58">
        <v>1.9116408221852339</v>
      </c>
      <c r="G58">
        <v>1.971805558525602</v>
      </c>
      <c r="H58">
        <v>1.854883124724068</v>
      </c>
      <c r="I58">
        <v>0.95891655034679957</v>
      </c>
      <c r="J58">
        <v>1.042468056890272</v>
      </c>
      <c r="K58">
        <v>1.561155529481709</v>
      </c>
      <c r="L58">
        <v>1.293023022633236</v>
      </c>
      <c r="M58">
        <v>1.1413545166786889</v>
      </c>
      <c r="N58">
        <v>0.76208033141725195</v>
      </c>
      <c r="O58">
        <v>0.28401957055305621</v>
      </c>
      <c r="P58">
        <v>0.15154009626945711</v>
      </c>
      <c r="Q58">
        <v>0.41760444137068481</v>
      </c>
      <c r="R58">
        <v>0.3577656353481018</v>
      </c>
      <c r="S58">
        <v>0.16061236547733421</v>
      </c>
      <c r="T58">
        <v>0.26844787748541421</v>
      </c>
      <c r="U58">
        <v>0.4082500365363444</v>
      </c>
      <c r="V58">
        <v>0.46085936528930921</v>
      </c>
    </row>
    <row r="59" spans="1:22" x14ac:dyDescent="0.35">
      <c r="A59" t="s">
        <v>23</v>
      </c>
      <c r="B59">
        <v>-0.57781159803969206</v>
      </c>
      <c r="C59">
        <v>-0.63186071137569511</v>
      </c>
      <c r="D59">
        <v>-0.44428776813724219</v>
      </c>
      <c r="E59">
        <v>-0.31753584977953447</v>
      </c>
      <c r="F59">
        <v>0.28041782971521839</v>
      </c>
      <c r="G59">
        <v>0.49185668218447848</v>
      </c>
      <c r="H59">
        <v>0.54938003699436344</v>
      </c>
      <c r="I59">
        <v>0.8024647740238281</v>
      </c>
      <c r="J59">
        <v>0.5722872084788444</v>
      </c>
      <c r="K59">
        <v>0.73900786137891128</v>
      </c>
      <c r="L59">
        <v>0.6572996252118255</v>
      </c>
      <c r="M59">
        <v>1.4515096578075839</v>
      </c>
      <c r="N59">
        <v>1.0032434742215239</v>
      </c>
      <c r="O59">
        <v>0.68947528489663212</v>
      </c>
      <c r="P59">
        <v>0.81194331358468552</v>
      </c>
      <c r="Q59">
        <v>1.165643328263952</v>
      </c>
      <c r="R59">
        <v>1.108439527798383</v>
      </c>
      <c r="S59">
        <v>0.57517054564110526</v>
      </c>
      <c r="T59">
        <v>0.74446614939350098</v>
      </c>
      <c r="U59">
        <v>0.84558621020782199</v>
      </c>
      <c r="V59">
        <v>0.59604357682700482</v>
      </c>
    </row>
    <row r="60" spans="1:22" x14ac:dyDescent="0.35">
      <c r="A60" t="s">
        <v>24</v>
      </c>
      <c r="B60">
        <v>-1.4528219152995701</v>
      </c>
      <c r="C60">
        <v>-0.52069732748770636</v>
      </c>
      <c r="D60">
        <v>-0.50989008563823612</v>
      </c>
      <c r="E60">
        <v>-0.21748690651727751</v>
      </c>
      <c r="F60">
        <v>-0.40627198430266698</v>
      </c>
      <c r="G60">
        <v>-0.32166589548604191</v>
      </c>
      <c r="H60">
        <v>-0.26176945116062228</v>
      </c>
      <c r="I60">
        <v>-0.46462670301122883</v>
      </c>
      <c r="J60">
        <v>-0.82327363194454106</v>
      </c>
      <c r="K60">
        <v>-0.66662769466088889</v>
      </c>
      <c r="L60">
        <v>-0.57158612722314583</v>
      </c>
      <c r="M60">
        <v>0.56020399411396138</v>
      </c>
      <c r="N60">
        <v>0.44021489437537947</v>
      </c>
      <c r="O60">
        <v>0.56148115468605209</v>
      </c>
      <c r="P60">
        <v>0.44007291127528231</v>
      </c>
      <c r="Q60">
        <v>0.50463724677118249</v>
      </c>
      <c r="R60">
        <v>1.2590270352203139</v>
      </c>
      <c r="S60">
        <v>1.4621636923618999</v>
      </c>
      <c r="T60">
        <v>1.5308707652763209</v>
      </c>
      <c r="U60">
        <v>1.0634793187310141</v>
      </c>
      <c r="V60">
        <v>0.54716377877662581</v>
      </c>
    </row>
    <row r="61" spans="1:22" x14ac:dyDescent="0.35">
      <c r="A61" t="s">
        <v>25</v>
      </c>
      <c r="B61">
        <v>-0.25085866679637792</v>
      </c>
      <c r="C61">
        <v>-2.705321692972457E-2</v>
      </c>
      <c r="D61">
        <v>-5.1557950882397119E-2</v>
      </c>
      <c r="E61">
        <v>4.6935155842799427E-2</v>
      </c>
      <c r="F61">
        <v>-7.8838868890839492E-2</v>
      </c>
      <c r="G61">
        <v>-0.1440813783076452</v>
      </c>
      <c r="H61">
        <v>-9.5991149643794335E-2</v>
      </c>
      <c r="I61">
        <v>-0.13568882991838241</v>
      </c>
      <c r="J61">
        <v>0.29717056664644731</v>
      </c>
      <c r="K61">
        <v>0.5887133673280851</v>
      </c>
      <c r="L61">
        <v>0.66691098858540587</v>
      </c>
      <c r="M61">
        <v>0.83227782831676478</v>
      </c>
      <c r="N61">
        <v>0.25361585046056367</v>
      </c>
      <c r="O61">
        <v>0.45468182299286097</v>
      </c>
      <c r="P61">
        <v>0.60737728482436193</v>
      </c>
      <c r="Q61">
        <v>0.64910294188634854</v>
      </c>
      <c r="R61">
        <v>0.71842068777994317</v>
      </c>
      <c r="S61">
        <v>0.72621559499010135</v>
      </c>
      <c r="T61">
        <v>0.92298615133907713</v>
      </c>
      <c r="U61">
        <v>1.0713142077516931</v>
      </c>
      <c r="V61">
        <v>1.049365821508017</v>
      </c>
    </row>
    <row r="62" spans="1:22" x14ac:dyDescent="0.35">
      <c r="A62" t="s">
        <v>26</v>
      </c>
      <c r="B62">
        <v>138.6601433222751</v>
      </c>
      <c r="C62">
        <v>138.9210691357398</v>
      </c>
      <c r="D62">
        <v>139.09570246292569</v>
      </c>
      <c r="E62">
        <v>140.791462008363</v>
      </c>
      <c r="F62">
        <v>141.51431667136919</v>
      </c>
      <c r="G62">
        <v>141.98831224800699</v>
      </c>
      <c r="H62">
        <v>142.18462532236339</v>
      </c>
      <c r="I62">
        <v>140.9074819434249</v>
      </c>
      <c r="J62">
        <v>140.9413786018491</v>
      </c>
      <c r="K62">
        <v>142.4122710450861</v>
      </c>
      <c r="L62">
        <v>142.79749610552889</v>
      </c>
      <c r="M62">
        <v>145.84842383989161</v>
      </c>
      <c r="N62">
        <v>144.20576281300811</v>
      </c>
      <c r="O62">
        <v>144.06594533943229</v>
      </c>
      <c r="P62">
        <v>144.4570937665992</v>
      </c>
      <c r="Q62">
        <v>145.64981670711651</v>
      </c>
      <c r="R62">
        <v>146.4258614790869</v>
      </c>
      <c r="S62">
        <v>145.86964564440561</v>
      </c>
      <c r="T62">
        <v>146.76385472398621</v>
      </c>
      <c r="U62">
        <v>147.31857383941951</v>
      </c>
      <c r="V62">
        <v>146.56178471105139</v>
      </c>
    </row>
    <row r="63" spans="1:22" x14ac:dyDescent="0.35">
      <c r="A63" t="s">
        <v>27</v>
      </c>
      <c r="B63">
        <v>97266973.449999988</v>
      </c>
      <c r="C63">
        <v>140209841.40000001</v>
      </c>
      <c r="D63">
        <v>203309615.94</v>
      </c>
      <c r="E63">
        <v>136829594.90000001</v>
      </c>
      <c r="F63">
        <v>129792336.12</v>
      </c>
      <c r="G63">
        <v>118326828.31</v>
      </c>
      <c r="H63">
        <v>119013396.65000001</v>
      </c>
      <c r="I63">
        <v>123393314.67</v>
      </c>
      <c r="J63">
        <v>136201560.53</v>
      </c>
      <c r="K63">
        <v>120206677.98999999</v>
      </c>
      <c r="L63">
        <v>104007862.43000001</v>
      </c>
      <c r="M63">
        <v>116955201.51000001</v>
      </c>
      <c r="N63">
        <v>134109345.7</v>
      </c>
      <c r="O63">
        <v>168225192.22999999</v>
      </c>
      <c r="P63">
        <v>257311736.72999999</v>
      </c>
      <c r="Q63">
        <v>157463836.25</v>
      </c>
      <c r="R63">
        <v>158650736.91999999</v>
      </c>
      <c r="S63">
        <v>168080497.08000001</v>
      </c>
      <c r="T63">
        <v>164648763.87</v>
      </c>
      <c r="U63">
        <v>164576835.40000001</v>
      </c>
      <c r="V63">
        <v>137713897.58000001</v>
      </c>
    </row>
    <row r="64" spans="1:22" x14ac:dyDescent="0.35">
      <c r="A64" t="s">
        <v>28</v>
      </c>
      <c r="B64">
        <v>1.683517856709825</v>
      </c>
      <c r="C64">
        <v>1.62229836319813</v>
      </c>
      <c r="D64">
        <v>1.621614671075259</v>
      </c>
      <c r="E64">
        <v>1.6033327957892971</v>
      </c>
      <c r="F64">
        <v>1.6150886724624081</v>
      </c>
      <c r="G64">
        <v>1.6097989007783149</v>
      </c>
      <c r="H64">
        <v>1.6060749341246241</v>
      </c>
      <c r="I64">
        <v>1.61875745054075</v>
      </c>
      <c r="J64">
        <v>1.641676884668122</v>
      </c>
      <c r="K64">
        <v>1.6315870423917851</v>
      </c>
      <c r="L64">
        <v>1.6255254751276469</v>
      </c>
      <c r="M64">
        <v>1.5566570832311919</v>
      </c>
      <c r="N64">
        <v>1.563680526611273</v>
      </c>
      <c r="O64">
        <v>1.556582665237805</v>
      </c>
      <c r="P64">
        <v>1.5636888749937801</v>
      </c>
      <c r="Q64">
        <v>1.5599017678422169</v>
      </c>
      <c r="R64">
        <v>1.5169739814504839</v>
      </c>
      <c r="S64">
        <v>1.505815489500391</v>
      </c>
      <c r="T64">
        <v>1.5020784032612571</v>
      </c>
      <c r="U64">
        <v>1.5278729508714579</v>
      </c>
      <c r="V64">
        <v>1.5574173220245171</v>
      </c>
    </row>
    <row r="65" spans="1:22" x14ac:dyDescent="0.35">
      <c r="A65" t="s">
        <v>29</v>
      </c>
      <c r="B65">
        <v>0.25232940190596642</v>
      </c>
      <c r="C65">
        <v>0.25025120844291893</v>
      </c>
      <c r="D65">
        <v>0.25047875240105077</v>
      </c>
      <c r="E65">
        <v>0.24956417355288829</v>
      </c>
      <c r="F65">
        <v>0.25073207521112922</v>
      </c>
      <c r="G65">
        <v>0.25133789851285671</v>
      </c>
      <c r="H65">
        <v>0.25089134638954952</v>
      </c>
      <c r="I65">
        <v>0.25125996770638498</v>
      </c>
      <c r="J65">
        <v>0.2472405590239973</v>
      </c>
      <c r="K65">
        <v>0.24453337587481061</v>
      </c>
      <c r="L65">
        <v>0.24380725510599269</v>
      </c>
      <c r="M65">
        <v>0.24227170587991581</v>
      </c>
      <c r="N65">
        <v>0.24764499567429479</v>
      </c>
      <c r="O65">
        <v>0.2457779545007806</v>
      </c>
      <c r="P65">
        <v>0.2443600680694881</v>
      </c>
      <c r="Q65">
        <v>0.24397261553962679</v>
      </c>
      <c r="R65">
        <v>0.2433289507563291</v>
      </c>
      <c r="S65">
        <v>0.24325656947509189</v>
      </c>
      <c r="T65">
        <v>0.24142941430899431</v>
      </c>
      <c r="U65">
        <v>0.2400520823565914</v>
      </c>
      <c r="V65">
        <v>0.2402558888002827</v>
      </c>
    </row>
    <row r="67" spans="1:22" x14ac:dyDescent="0.35">
      <c r="A67" t="s">
        <v>37</v>
      </c>
      <c r="B67" t="s">
        <v>48</v>
      </c>
      <c r="C67" t="s">
        <v>49</v>
      </c>
      <c r="D67" t="s">
        <v>50</v>
      </c>
      <c r="E67" t="s">
        <v>51</v>
      </c>
      <c r="F67" t="s">
        <v>52</v>
      </c>
      <c r="G67" t="s">
        <v>53</v>
      </c>
      <c r="H67" t="s">
        <v>54</v>
      </c>
      <c r="I67" t="s">
        <v>55</v>
      </c>
      <c r="J67" t="s">
        <v>56</v>
      </c>
      <c r="K67" t="s">
        <v>57</v>
      </c>
      <c r="L67" t="s">
        <v>58</v>
      </c>
      <c r="M67" t="s">
        <v>59</v>
      </c>
      <c r="N67" t="s">
        <v>60</v>
      </c>
      <c r="O67" t="s">
        <v>61</v>
      </c>
      <c r="P67" t="s">
        <v>62</v>
      </c>
      <c r="Q67" t="s">
        <v>63</v>
      </c>
      <c r="R67" t="s">
        <v>64</v>
      </c>
      <c r="S67" t="s">
        <v>65</v>
      </c>
      <c r="T67" t="s">
        <v>66</v>
      </c>
      <c r="U67" t="s">
        <v>70</v>
      </c>
      <c r="V67" t="s">
        <v>71</v>
      </c>
    </row>
    <row r="68" spans="1:22" x14ac:dyDescent="0.35">
      <c r="A68" t="s">
        <v>21</v>
      </c>
      <c r="B68">
        <v>138.09408784185209</v>
      </c>
      <c r="C68">
        <v>138.15625322377079</v>
      </c>
      <c r="D68">
        <v>138.0873895414916</v>
      </c>
      <c r="E68">
        <v>138.81573255913219</v>
      </c>
      <c r="F68">
        <v>139.3729753286805</v>
      </c>
      <c r="G68">
        <v>139.38547145922371</v>
      </c>
      <c r="H68">
        <v>139.60065685518589</v>
      </c>
      <c r="I68">
        <v>139.24971629735501</v>
      </c>
      <c r="J68">
        <v>139.77933794473839</v>
      </c>
      <c r="K68">
        <v>139.9150471630135</v>
      </c>
      <c r="L68">
        <v>140.1203591632999</v>
      </c>
      <c r="M68">
        <v>141.3947971373579</v>
      </c>
      <c r="N68">
        <v>141.81844229661991</v>
      </c>
      <c r="O68">
        <v>141.57025252197349</v>
      </c>
      <c r="P68">
        <v>141.61160323516069</v>
      </c>
      <c r="Q68">
        <v>141.9522095198829</v>
      </c>
      <c r="R68">
        <v>141.94894976587219</v>
      </c>
      <c r="S68">
        <v>142.15773646884381</v>
      </c>
      <c r="T68">
        <v>142.19511904320669</v>
      </c>
      <c r="U68">
        <v>142.46480934287939</v>
      </c>
      <c r="V68">
        <v>142.62533870543669</v>
      </c>
    </row>
    <row r="69" spans="1:22" x14ac:dyDescent="0.35">
      <c r="A69" t="s">
        <v>22</v>
      </c>
      <c r="B69">
        <v>0.68140819054231472</v>
      </c>
      <c r="C69">
        <v>0.60207624950473471</v>
      </c>
      <c r="D69">
        <v>0.32625818657786859</v>
      </c>
      <c r="E69">
        <v>0.58737409369452553</v>
      </c>
      <c r="F69">
        <v>1.0250366765528109</v>
      </c>
      <c r="G69">
        <v>1.354427802079299</v>
      </c>
      <c r="H69">
        <v>0.93893058396348128</v>
      </c>
      <c r="I69">
        <v>1.3659924213749199</v>
      </c>
      <c r="J69">
        <v>1.7729600821180731</v>
      </c>
      <c r="K69">
        <v>1.445379178609804</v>
      </c>
      <c r="L69">
        <v>1.359215430796352</v>
      </c>
      <c r="M69">
        <v>1.7758169778305759</v>
      </c>
      <c r="N69">
        <v>1.9305152454356309</v>
      </c>
      <c r="O69">
        <v>1.7234308658739661</v>
      </c>
      <c r="P69">
        <v>1.7294466547642691</v>
      </c>
      <c r="Q69">
        <v>1.96650815329022</v>
      </c>
      <c r="R69">
        <v>2.1701029668146781</v>
      </c>
      <c r="S69">
        <v>2.1740113988425551</v>
      </c>
      <c r="T69">
        <v>2.2221716266973321</v>
      </c>
      <c r="U69">
        <v>2.2033907331194009</v>
      </c>
      <c r="V69">
        <v>2.4195968071717</v>
      </c>
    </row>
    <row r="70" spans="1:22" x14ac:dyDescent="0.35">
      <c r="A70" t="s">
        <v>23</v>
      </c>
      <c r="B70">
        <v>1.9963911912327821</v>
      </c>
      <c r="C70">
        <v>1.5514410700159309</v>
      </c>
      <c r="D70">
        <v>1.335567641654404</v>
      </c>
      <c r="E70">
        <v>1.6827429562723879</v>
      </c>
      <c r="F70">
        <v>1.8608035740075271</v>
      </c>
      <c r="G70">
        <v>2.3850458288700871</v>
      </c>
      <c r="H70">
        <v>2.632011271150215</v>
      </c>
      <c r="I70">
        <v>2.3023925185462968</v>
      </c>
      <c r="J70">
        <v>2.7146144642097769</v>
      </c>
      <c r="K70">
        <v>3.5681279691378411</v>
      </c>
      <c r="L70">
        <v>3.3300339891861941</v>
      </c>
      <c r="M70">
        <v>3.6899696181314061</v>
      </c>
      <c r="N70">
        <v>3.4912716139358242</v>
      </c>
      <c r="O70">
        <v>2.404849215023193</v>
      </c>
      <c r="P70">
        <v>2.1540030452292349</v>
      </c>
      <c r="Q70">
        <v>2.520938426064629</v>
      </c>
      <c r="R70">
        <v>3.3251242239217862</v>
      </c>
      <c r="S70">
        <v>2.954482409091856</v>
      </c>
      <c r="T70">
        <v>2.8881826140458782</v>
      </c>
      <c r="U70">
        <v>3.121458825077438</v>
      </c>
      <c r="V70">
        <v>3.2742833548143051</v>
      </c>
    </row>
    <row r="71" spans="1:22" x14ac:dyDescent="0.35">
      <c r="A71" t="s">
        <v>24</v>
      </c>
      <c r="B71">
        <v>4.5441640607944178</v>
      </c>
      <c r="C71">
        <v>4.1454641096234246</v>
      </c>
      <c r="D71">
        <v>4.488281654574549</v>
      </c>
      <c r="E71">
        <v>4.8617399084535364</v>
      </c>
      <c r="F71">
        <v>5.2748225709718897</v>
      </c>
      <c r="G71">
        <v>5.460177151092517</v>
      </c>
      <c r="H71">
        <v>5.017778810859447</v>
      </c>
      <c r="I71">
        <v>4.9491953835259892</v>
      </c>
      <c r="J71">
        <v>5.0808639534330906</v>
      </c>
      <c r="K71">
        <v>5.3139909259691427</v>
      </c>
      <c r="L71">
        <v>4.8494566091473921</v>
      </c>
      <c r="M71">
        <v>4.5827039034914758</v>
      </c>
      <c r="N71">
        <v>4.2902104543109703</v>
      </c>
      <c r="O71">
        <v>4.0206687173214677</v>
      </c>
      <c r="P71">
        <v>4.1376967038978956</v>
      </c>
      <c r="Q71">
        <v>4.1730795193423917</v>
      </c>
      <c r="R71">
        <v>4.4951633258737909</v>
      </c>
      <c r="S71">
        <v>4.2390848432029982</v>
      </c>
      <c r="T71">
        <v>4.1412933675160559</v>
      </c>
      <c r="U71">
        <v>4.2510460648818551</v>
      </c>
      <c r="V71">
        <v>4.3063100557705729</v>
      </c>
    </row>
    <row r="72" spans="1:22" x14ac:dyDescent="0.35">
      <c r="A72" t="s">
        <v>25</v>
      </c>
      <c r="B72">
        <v>-0.24344325234612049</v>
      </c>
      <c r="C72">
        <v>-0.36845111042202422</v>
      </c>
      <c r="D72">
        <v>-0.26065623622144829</v>
      </c>
      <c r="E72">
        <v>-0.12956050222535381</v>
      </c>
      <c r="F72">
        <v>-7.3306256083211674E-2</v>
      </c>
      <c r="G72">
        <v>-4.2039084929945222E-2</v>
      </c>
      <c r="H72">
        <v>-5.1958433210246582E-2</v>
      </c>
      <c r="I72">
        <v>-0.1428967454669163</v>
      </c>
      <c r="J72">
        <v>-0.1297589519461182</v>
      </c>
      <c r="K72">
        <v>-0.11858358044430969</v>
      </c>
      <c r="L72">
        <v>-0.13938046903371901</v>
      </c>
      <c r="M72">
        <v>-8.4907435083892507E-2</v>
      </c>
      <c r="N72">
        <v>7.0793354888023088E-2</v>
      </c>
      <c r="O72">
        <v>-6.1682986743852163E-2</v>
      </c>
      <c r="P72">
        <v>0.111862666180988</v>
      </c>
      <c r="Q72">
        <v>0.19976561029821219</v>
      </c>
      <c r="R72">
        <v>0.38853889788991458</v>
      </c>
      <c r="S72">
        <v>0.32795223113706279</v>
      </c>
      <c r="T72">
        <v>0.47813224178975477</v>
      </c>
      <c r="U72">
        <v>0.27203160786751962</v>
      </c>
      <c r="V72">
        <v>0.32798679657798741</v>
      </c>
    </row>
    <row r="73" spans="1:22" x14ac:dyDescent="0.35">
      <c r="A73" t="s">
        <v>26</v>
      </c>
      <c r="B73">
        <v>145.07260803207549</v>
      </c>
      <c r="C73">
        <v>144.0867835424929</v>
      </c>
      <c r="D73">
        <v>143.976840788077</v>
      </c>
      <c r="E73">
        <v>145.81802901532731</v>
      </c>
      <c r="F73">
        <v>147.4603318941295</v>
      </c>
      <c r="G73">
        <v>148.5430831563356</v>
      </c>
      <c r="H73">
        <v>148.13741908794881</v>
      </c>
      <c r="I73">
        <v>147.72439987533531</v>
      </c>
      <c r="J73">
        <v>149.2180174925532</v>
      </c>
      <c r="K73">
        <v>150.1239616562859</v>
      </c>
      <c r="L73">
        <v>149.5196847233961</v>
      </c>
      <c r="M73">
        <v>151.35838020172741</v>
      </c>
      <c r="N73">
        <v>151.60123296519041</v>
      </c>
      <c r="O73">
        <v>149.65751833344831</v>
      </c>
      <c r="P73">
        <v>149.74461230523301</v>
      </c>
      <c r="Q73">
        <v>150.8125012288784</v>
      </c>
      <c r="R73">
        <v>152.32787918037229</v>
      </c>
      <c r="S73">
        <v>151.85326735111829</v>
      </c>
      <c r="T73">
        <v>151.9248988932558</v>
      </c>
      <c r="U73">
        <v>152.31273657382559</v>
      </c>
      <c r="V73">
        <v>152.95351571977119</v>
      </c>
    </row>
    <row r="74" spans="1:22" x14ac:dyDescent="0.35">
      <c r="A74" t="s">
        <v>27</v>
      </c>
      <c r="B74">
        <v>100020632.5</v>
      </c>
      <c r="C74">
        <v>99456929.800000012</v>
      </c>
      <c r="D74">
        <v>181991795.53999999</v>
      </c>
      <c r="E74">
        <v>143479517.38999999</v>
      </c>
      <c r="F74">
        <v>129248220.95</v>
      </c>
      <c r="G74">
        <v>117278819.13</v>
      </c>
      <c r="H74">
        <v>120408216.98999999</v>
      </c>
      <c r="I74">
        <v>108551850.23999999</v>
      </c>
      <c r="J74">
        <v>104264874.09999999</v>
      </c>
      <c r="K74">
        <v>102076409.55</v>
      </c>
      <c r="L74">
        <v>77262894.439999998</v>
      </c>
      <c r="M74">
        <v>89533458.879999995</v>
      </c>
      <c r="N74">
        <v>85380851.61999999</v>
      </c>
      <c r="O74">
        <v>110408891.40000001</v>
      </c>
      <c r="P74">
        <v>187535326.88</v>
      </c>
      <c r="Q74">
        <v>145377459.84</v>
      </c>
      <c r="R74">
        <v>136224383.25999999</v>
      </c>
      <c r="S74">
        <v>127479279.29000001</v>
      </c>
      <c r="T74">
        <v>124257595.01000001</v>
      </c>
      <c r="U74">
        <v>103408064.70999999</v>
      </c>
      <c r="V74">
        <v>89928195.040000007</v>
      </c>
    </row>
    <row r="75" spans="1:22" x14ac:dyDescent="0.35">
      <c r="A75" t="s">
        <v>28</v>
      </c>
      <c r="B75">
        <v>1.489597013763502</v>
      </c>
      <c r="C75">
        <v>1.5120391531302579</v>
      </c>
      <c r="D75">
        <v>1.4878908701271989</v>
      </c>
      <c r="E75">
        <v>1.4696372920923859</v>
      </c>
      <c r="F75">
        <v>1.4433032669999519</v>
      </c>
      <c r="G75">
        <v>1.4316814932415951</v>
      </c>
      <c r="H75">
        <v>1.4601108969004379</v>
      </c>
      <c r="I75">
        <v>1.4542110568763731</v>
      </c>
      <c r="J75">
        <v>1.435442130993974</v>
      </c>
      <c r="K75">
        <v>1.419302307785465</v>
      </c>
      <c r="L75">
        <v>1.443048151881698</v>
      </c>
      <c r="M75">
        <v>1.470390806507349</v>
      </c>
      <c r="N75">
        <v>1.493359185525005</v>
      </c>
      <c r="O75">
        <v>1.4987474065253099</v>
      </c>
      <c r="P75">
        <v>1.495576363670424</v>
      </c>
      <c r="Q75">
        <v>1.5015784402409931</v>
      </c>
      <c r="R75">
        <v>1.4853287118305429</v>
      </c>
      <c r="S75">
        <v>1.506339192923291</v>
      </c>
      <c r="T75">
        <v>1.514072806249094</v>
      </c>
      <c r="U75">
        <v>1.5149885814170181</v>
      </c>
      <c r="V75">
        <v>1.509671965764797</v>
      </c>
    </row>
    <row r="76" spans="1:22" x14ac:dyDescent="0.35">
      <c r="A76" t="s">
        <v>29</v>
      </c>
      <c r="B76">
        <v>0.25192725475645039</v>
      </c>
      <c r="C76">
        <v>0.25351655410713347</v>
      </c>
      <c r="D76">
        <v>0.25194796368209949</v>
      </c>
      <c r="E76">
        <v>0.25031501536248651</v>
      </c>
      <c r="F76">
        <v>0.24952716183454751</v>
      </c>
      <c r="G76">
        <v>0.24904809266284261</v>
      </c>
      <c r="H76">
        <v>0.24920477848271799</v>
      </c>
      <c r="I76">
        <v>0.25010351174069861</v>
      </c>
      <c r="J76">
        <v>0.24951327905543411</v>
      </c>
      <c r="K76">
        <v>0.24931760952160989</v>
      </c>
      <c r="L76">
        <v>0.2493870280895083</v>
      </c>
      <c r="M76">
        <v>0.24896367682547191</v>
      </c>
      <c r="N76">
        <v>0.24681592656369289</v>
      </c>
      <c r="O76">
        <v>0.2482828235378268</v>
      </c>
      <c r="P76">
        <v>0.24597109399238959</v>
      </c>
      <c r="Q76">
        <v>0.24498485330736269</v>
      </c>
      <c r="R76">
        <v>0.24254653144815799</v>
      </c>
      <c r="S76">
        <v>0.24355663435622801</v>
      </c>
      <c r="T76">
        <v>0.24140302770943389</v>
      </c>
      <c r="U76">
        <v>0.24470029382750841</v>
      </c>
      <c r="V76">
        <v>0.24380853955697271</v>
      </c>
    </row>
    <row r="78" spans="1:22" x14ac:dyDescent="0.35">
      <c r="A78" t="s">
        <v>38</v>
      </c>
      <c r="B78" t="s">
        <v>48</v>
      </c>
      <c r="C78" t="s">
        <v>49</v>
      </c>
      <c r="D78" t="s">
        <v>50</v>
      </c>
      <c r="E78" t="s">
        <v>51</v>
      </c>
      <c r="F78" t="s">
        <v>52</v>
      </c>
      <c r="G78" t="s">
        <v>53</v>
      </c>
      <c r="H78" t="s">
        <v>54</v>
      </c>
      <c r="I78" t="s">
        <v>55</v>
      </c>
      <c r="J78" t="s">
        <v>56</v>
      </c>
      <c r="K78" t="s">
        <v>57</v>
      </c>
      <c r="L78" t="s">
        <v>58</v>
      </c>
      <c r="M78" t="s">
        <v>59</v>
      </c>
      <c r="N78" t="s">
        <v>60</v>
      </c>
      <c r="O78" t="s">
        <v>61</v>
      </c>
      <c r="P78" t="s">
        <v>62</v>
      </c>
      <c r="Q78" t="s">
        <v>63</v>
      </c>
      <c r="R78" t="s">
        <v>64</v>
      </c>
      <c r="S78" t="s">
        <v>65</v>
      </c>
      <c r="T78" t="s">
        <v>66</v>
      </c>
      <c r="U78" t="s">
        <v>70</v>
      </c>
      <c r="V78" t="s">
        <v>71</v>
      </c>
    </row>
    <row r="79" spans="1:22" x14ac:dyDescent="0.35">
      <c r="A79" t="s">
        <v>21</v>
      </c>
      <c r="B79">
        <v>137.05787303092831</v>
      </c>
      <c r="C79">
        <v>136.93758573152681</v>
      </c>
      <c r="D79">
        <v>137.2241685776481</v>
      </c>
      <c r="E79">
        <v>138.08027902017551</v>
      </c>
      <c r="F79">
        <v>138.6673255951761</v>
      </c>
      <c r="G79">
        <v>138.78238416312249</v>
      </c>
      <c r="H79">
        <v>139.0071524248616</v>
      </c>
      <c r="I79">
        <v>138.72096468446611</v>
      </c>
      <c r="J79">
        <v>139.01078402870451</v>
      </c>
      <c r="K79">
        <v>139.1003902097456</v>
      </c>
      <c r="L79">
        <v>139.26892852856491</v>
      </c>
      <c r="M79">
        <v>140.62604611151559</v>
      </c>
      <c r="N79">
        <v>141.27101347581529</v>
      </c>
      <c r="O79">
        <v>141.19813218659721</v>
      </c>
      <c r="P79">
        <v>141.3394729107051</v>
      </c>
      <c r="Q79">
        <v>141.72857334619161</v>
      </c>
      <c r="R79">
        <v>141.94244152249951</v>
      </c>
      <c r="S79">
        <v>142.3805824996854</v>
      </c>
      <c r="T79">
        <v>142.49063134357149</v>
      </c>
      <c r="U79">
        <v>142.83454953418251</v>
      </c>
      <c r="V79">
        <v>143.01822085781899</v>
      </c>
    </row>
    <row r="80" spans="1:22" x14ac:dyDescent="0.35">
      <c r="A80" t="s">
        <v>22</v>
      </c>
      <c r="B80">
        <v>0.14983192473379661</v>
      </c>
      <c r="C80">
        <v>-4.9595671985092099E-2</v>
      </c>
      <c r="D80">
        <v>-0.33545982867473417</v>
      </c>
      <c r="E80">
        <v>9.1415226800279969E-2</v>
      </c>
      <c r="F80">
        <v>0.61622132987084954</v>
      </c>
      <c r="G80">
        <v>0.97083550587915857</v>
      </c>
      <c r="H80">
        <v>0.54341797244524281</v>
      </c>
      <c r="I80">
        <v>0.7494586302708337</v>
      </c>
      <c r="J80">
        <v>1.041992391417482</v>
      </c>
      <c r="K80">
        <v>0.89775238277576008</v>
      </c>
      <c r="L80">
        <v>0.93722964124007346</v>
      </c>
      <c r="M80">
        <v>1.348696626501112</v>
      </c>
      <c r="N80">
        <v>1.5100812583305041</v>
      </c>
      <c r="O80">
        <v>1.367791219003623</v>
      </c>
      <c r="P80">
        <v>1.2801290719084399</v>
      </c>
      <c r="Q80">
        <v>1.579250421066837</v>
      </c>
      <c r="R80">
        <v>1.8615564259933719</v>
      </c>
      <c r="S80">
        <v>1.8646294810452659</v>
      </c>
      <c r="T80">
        <v>1.920584462855522</v>
      </c>
      <c r="U80">
        <v>1.9107600259527679</v>
      </c>
      <c r="V80">
        <v>2.1151021001856192</v>
      </c>
    </row>
    <row r="81" spans="1:22" x14ac:dyDescent="0.35">
      <c r="A81" t="s">
        <v>23</v>
      </c>
      <c r="B81">
        <v>2.5918338760228359</v>
      </c>
      <c r="C81">
        <v>2.4481966296791859</v>
      </c>
      <c r="D81">
        <v>1.9332287683240119</v>
      </c>
      <c r="E81">
        <v>1.8889524528485571</v>
      </c>
      <c r="F81">
        <v>2.112734192337232</v>
      </c>
      <c r="G81">
        <v>2.548770208103694</v>
      </c>
      <c r="H81">
        <v>2.7239076422257442</v>
      </c>
      <c r="I81">
        <v>2.43598641592751</v>
      </c>
      <c r="J81">
        <v>2.7947736131589211</v>
      </c>
      <c r="K81">
        <v>3.57843553344697</v>
      </c>
      <c r="L81">
        <v>3.4838099690881199</v>
      </c>
      <c r="M81">
        <v>3.880670945806624</v>
      </c>
      <c r="N81">
        <v>3.4138807099496851</v>
      </c>
      <c r="O81">
        <v>2.5557444604963448</v>
      </c>
      <c r="P81">
        <v>2.2719925651320079</v>
      </c>
      <c r="Q81">
        <v>2.468641688826041</v>
      </c>
      <c r="R81">
        <v>3.0767812130109329</v>
      </c>
      <c r="S81">
        <v>2.6744897469849289</v>
      </c>
      <c r="T81">
        <v>2.5223422308453052</v>
      </c>
      <c r="U81">
        <v>2.590492858681682</v>
      </c>
      <c r="V81">
        <v>2.702699608465557</v>
      </c>
    </row>
    <row r="82" spans="1:22" x14ac:dyDescent="0.35">
      <c r="A82" t="s">
        <v>24</v>
      </c>
      <c r="B82">
        <v>3.6211587907429168</v>
      </c>
      <c r="C82">
        <v>3.3354054473080379</v>
      </c>
      <c r="D82">
        <v>3.7208983292555322</v>
      </c>
      <c r="E82">
        <v>4.0320231591208664</v>
      </c>
      <c r="F82">
        <v>4.5140256692411</v>
      </c>
      <c r="G82">
        <v>4.6203776029338517</v>
      </c>
      <c r="H82">
        <v>4.2487006221966661</v>
      </c>
      <c r="I82">
        <v>4.2169067007290746</v>
      </c>
      <c r="J82">
        <v>4.2429200285210431</v>
      </c>
      <c r="K82">
        <v>4.3823570331461301</v>
      </c>
      <c r="L82">
        <v>4.0554905578627016</v>
      </c>
      <c r="M82">
        <v>3.8440614239608828</v>
      </c>
      <c r="N82">
        <v>3.5533924979775051</v>
      </c>
      <c r="O82">
        <v>3.5053102386389199</v>
      </c>
      <c r="P82">
        <v>3.6993520678897052</v>
      </c>
      <c r="Q82">
        <v>3.8199020410251632</v>
      </c>
      <c r="R82">
        <v>4.2082528899722176</v>
      </c>
      <c r="S82">
        <v>3.917564862035293</v>
      </c>
      <c r="T82">
        <v>3.8232623030185859</v>
      </c>
      <c r="U82">
        <v>3.93551689065308</v>
      </c>
      <c r="V82">
        <v>4.0475153055376616</v>
      </c>
    </row>
    <row r="83" spans="1:22" x14ac:dyDescent="0.35">
      <c r="A83" t="s">
        <v>25</v>
      </c>
      <c r="B83">
        <v>-0.22918632119360011</v>
      </c>
      <c r="C83">
        <v>-0.32435406646030251</v>
      </c>
      <c r="D83">
        <v>-0.26051766096657991</v>
      </c>
      <c r="E83">
        <v>-0.1333575808491983</v>
      </c>
      <c r="F83">
        <v>-9.7864134527421598E-2</v>
      </c>
      <c r="G83">
        <v>-8.848563246990733E-2</v>
      </c>
      <c r="H83">
        <v>-9.8478708083728259E-2</v>
      </c>
      <c r="I83">
        <v>-0.14945239292040721</v>
      </c>
      <c r="J83">
        <v>-0.13765305630974731</v>
      </c>
      <c r="K83">
        <v>-0.1336416587897607</v>
      </c>
      <c r="L83">
        <v>-0.13123449935345671</v>
      </c>
      <c r="M83">
        <v>-0.12540678802001029</v>
      </c>
      <c r="N83">
        <v>2.8073680123069031E-2</v>
      </c>
      <c r="O83">
        <v>-8.8935787262569801E-2</v>
      </c>
      <c r="P83">
        <v>6.0710844532176407E-2</v>
      </c>
      <c r="Q83">
        <v>0.15361938369032541</v>
      </c>
      <c r="R83">
        <v>0.33651896795220371</v>
      </c>
      <c r="S83">
        <v>0.27667875252910729</v>
      </c>
      <c r="T83">
        <v>0.38223838077705641</v>
      </c>
      <c r="U83">
        <v>0.19253012813237999</v>
      </c>
      <c r="V83">
        <v>0.27091553412558789</v>
      </c>
    </row>
    <row r="84" spans="1:22" x14ac:dyDescent="0.35">
      <c r="A84" t="s">
        <v>26</v>
      </c>
      <c r="B84">
        <v>143.19151130123419</v>
      </c>
      <c r="C84">
        <v>142.3472380700687</v>
      </c>
      <c r="D84">
        <v>142.28231818558629</v>
      </c>
      <c r="E84">
        <v>143.95931227809601</v>
      </c>
      <c r="F84">
        <v>145.8124426520979</v>
      </c>
      <c r="G84">
        <v>146.8338818475693</v>
      </c>
      <c r="H84">
        <v>146.4246999536455</v>
      </c>
      <c r="I84">
        <v>145.97386403847301</v>
      </c>
      <c r="J84">
        <v>146.95281700549219</v>
      </c>
      <c r="K84">
        <v>147.8252935003247</v>
      </c>
      <c r="L84">
        <v>147.61422419740231</v>
      </c>
      <c r="M84">
        <v>149.57406831976419</v>
      </c>
      <c r="N84">
        <v>149.77644162219599</v>
      </c>
      <c r="O84">
        <v>148.5380423174735</v>
      </c>
      <c r="P84">
        <v>148.6516574601674</v>
      </c>
      <c r="Q84">
        <v>149.74998688080001</v>
      </c>
      <c r="R84">
        <v>151.42555101942821</v>
      </c>
      <c r="S84">
        <v>151.11394534228</v>
      </c>
      <c r="T84">
        <v>151.13905872106801</v>
      </c>
      <c r="U84">
        <v>151.46384943760251</v>
      </c>
      <c r="V84">
        <v>152.1544534061334</v>
      </c>
    </row>
    <row r="85" spans="1:22" x14ac:dyDescent="0.35">
      <c r="A85" t="s">
        <v>27</v>
      </c>
      <c r="B85">
        <v>138498229.63</v>
      </c>
      <c r="C85">
        <v>141148904.34</v>
      </c>
      <c r="D85">
        <v>252969834.90000001</v>
      </c>
      <c r="E85">
        <v>196571076.38</v>
      </c>
      <c r="F85">
        <v>168958620.19999999</v>
      </c>
      <c r="G85">
        <v>154701645.72</v>
      </c>
      <c r="H85">
        <v>159461644.36000001</v>
      </c>
      <c r="I85">
        <v>141988884.84</v>
      </c>
      <c r="J85">
        <v>140460452.63</v>
      </c>
      <c r="K85">
        <v>140558829.44</v>
      </c>
      <c r="L85">
        <v>104483206.75</v>
      </c>
      <c r="M85">
        <v>115243807.89</v>
      </c>
      <c r="N85">
        <v>112557260.64</v>
      </c>
      <c r="O85">
        <v>136954006.66999999</v>
      </c>
      <c r="P85">
        <v>230363492.87</v>
      </c>
      <c r="Q85">
        <v>171696769.68000001</v>
      </c>
      <c r="R85">
        <v>153616972.84999999</v>
      </c>
      <c r="S85">
        <v>144249722.81</v>
      </c>
      <c r="T85">
        <v>140219560.34999999</v>
      </c>
      <c r="U85">
        <v>117400793.39</v>
      </c>
      <c r="V85">
        <v>102440404.13</v>
      </c>
    </row>
    <row r="86" spans="1:22" x14ac:dyDescent="0.35">
      <c r="A86" t="s">
        <v>28</v>
      </c>
      <c r="B86">
        <v>1.4515841051368541</v>
      </c>
      <c r="C86">
        <v>1.461062197316096</v>
      </c>
      <c r="D86">
        <v>1.439223207835103</v>
      </c>
      <c r="E86">
        <v>1.427030923130167</v>
      </c>
      <c r="F86">
        <v>1.4083986189769979</v>
      </c>
      <c r="G86">
        <v>1.3993800906769971</v>
      </c>
      <c r="H86">
        <v>1.4223157443137839</v>
      </c>
      <c r="I86">
        <v>1.4198778683845139</v>
      </c>
      <c r="J86">
        <v>1.402895289006268</v>
      </c>
      <c r="K86">
        <v>1.38758777479039</v>
      </c>
      <c r="L86">
        <v>1.408656805305484</v>
      </c>
      <c r="M86">
        <v>1.4433251392793169</v>
      </c>
      <c r="N86">
        <v>1.4591165897474501</v>
      </c>
      <c r="O86">
        <v>1.468455414629348</v>
      </c>
      <c r="P86">
        <v>1.461552829171519</v>
      </c>
      <c r="Q86">
        <v>1.4716549393276701</v>
      </c>
      <c r="R86">
        <v>1.464349280781843</v>
      </c>
      <c r="S86">
        <v>1.486342583438272</v>
      </c>
      <c r="T86">
        <v>1.4946562593480139</v>
      </c>
      <c r="U86">
        <v>1.492344773681421</v>
      </c>
      <c r="V86">
        <v>1.4821924617322491</v>
      </c>
    </row>
    <row r="87" spans="1:22" x14ac:dyDescent="0.35">
      <c r="A87" t="s">
        <v>29</v>
      </c>
      <c r="B87">
        <v>0.2479870440433572</v>
      </c>
      <c r="C87">
        <v>0.2489719902850723</v>
      </c>
      <c r="D87">
        <v>0.24823552143874611</v>
      </c>
      <c r="E87">
        <v>0.24673274891301691</v>
      </c>
      <c r="F87">
        <v>0.24670979644681071</v>
      </c>
      <c r="G87">
        <v>0.2464586128901913</v>
      </c>
      <c r="H87">
        <v>0.24657227660181391</v>
      </c>
      <c r="I87">
        <v>0.24712115629933129</v>
      </c>
      <c r="J87">
        <v>0.2463637756250551</v>
      </c>
      <c r="K87">
        <v>0.24607662703694069</v>
      </c>
      <c r="L87">
        <v>0.24604124161679219</v>
      </c>
      <c r="M87">
        <v>0.24669761508323931</v>
      </c>
      <c r="N87">
        <v>0.2443291273727598</v>
      </c>
      <c r="O87">
        <v>0.24626840132549649</v>
      </c>
      <c r="P87">
        <v>0.24436503662423389</v>
      </c>
      <c r="Q87">
        <v>0.24367605538298559</v>
      </c>
      <c r="R87">
        <v>0.24180681462616471</v>
      </c>
      <c r="S87">
        <v>0.2427496391916151</v>
      </c>
      <c r="T87">
        <v>0.24126649910260289</v>
      </c>
      <c r="U87">
        <v>0.24421669059049289</v>
      </c>
      <c r="V87">
        <v>0.24297565998477669</v>
      </c>
    </row>
    <row r="89" spans="1:22" x14ac:dyDescent="0.35">
      <c r="A89" t="s">
        <v>39</v>
      </c>
      <c r="B89" t="s">
        <v>48</v>
      </c>
      <c r="C89" t="s">
        <v>49</v>
      </c>
      <c r="D89" t="s">
        <v>50</v>
      </c>
      <c r="E89" t="s">
        <v>51</v>
      </c>
      <c r="F89" t="s">
        <v>52</v>
      </c>
      <c r="G89" t="s">
        <v>53</v>
      </c>
      <c r="H89" t="s">
        <v>54</v>
      </c>
      <c r="I89" t="s">
        <v>55</v>
      </c>
      <c r="J89" t="s">
        <v>56</v>
      </c>
      <c r="K89" t="s">
        <v>57</v>
      </c>
      <c r="L89" t="s">
        <v>58</v>
      </c>
      <c r="M89" t="s">
        <v>59</v>
      </c>
      <c r="N89" t="s">
        <v>60</v>
      </c>
      <c r="O89" t="s">
        <v>61</v>
      </c>
      <c r="P89" t="s">
        <v>62</v>
      </c>
      <c r="Q89" t="s">
        <v>63</v>
      </c>
      <c r="R89" t="s">
        <v>64</v>
      </c>
      <c r="S89" t="s">
        <v>65</v>
      </c>
      <c r="T89" t="s">
        <v>66</v>
      </c>
      <c r="U89" t="s">
        <v>70</v>
      </c>
      <c r="V89" t="s">
        <v>71</v>
      </c>
    </row>
    <row r="90" spans="1:22" x14ac:dyDescent="0.35">
      <c r="A90" t="s">
        <v>21</v>
      </c>
      <c r="B90">
        <v>138.2724461835929</v>
      </c>
      <c r="C90">
        <v>138.25553627348421</v>
      </c>
      <c r="D90">
        <v>138.32398197615589</v>
      </c>
      <c r="E90">
        <v>138.79092837307749</v>
      </c>
      <c r="F90">
        <v>139.1626173327675</v>
      </c>
      <c r="G90">
        <v>139.30592062324399</v>
      </c>
      <c r="H90">
        <v>139.4905013841778</v>
      </c>
      <c r="I90">
        <v>139.1977632634358</v>
      </c>
      <c r="J90">
        <v>139.42527485011931</v>
      </c>
      <c r="K90">
        <v>139.60268446182229</v>
      </c>
      <c r="L90">
        <v>140.00869808804069</v>
      </c>
      <c r="M90">
        <v>141.249120670709</v>
      </c>
      <c r="N90">
        <v>141.52958802148029</v>
      </c>
      <c r="O90">
        <v>141.6822013761026</v>
      </c>
      <c r="P90">
        <v>141.9233935222413</v>
      </c>
      <c r="Q90">
        <v>142.29509739384139</v>
      </c>
      <c r="R90">
        <v>142.4707055946063</v>
      </c>
      <c r="S90">
        <v>142.68458392445959</v>
      </c>
      <c r="T90">
        <v>142.926168217396</v>
      </c>
      <c r="U90">
        <v>143.47387885391009</v>
      </c>
      <c r="V90">
        <v>143.52865707028641</v>
      </c>
    </row>
    <row r="91" spans="1:22" x14ac:dyDescent="0.35">
      <c r="A91" t="s">
        <v>22</v>
      </c>
      <c r="B91">
        <v>0.47572411050804497</v>
      </c>
      <c r="C91">
        <v>0.2334376144828956</v>
      </c>
      <c r="D91">
        <v>-3.7408552003257468E-3</v>
      </c>
      <c r="E91">
        <v>0.65624797936586754</v>
      </c>
      <c r="F91">
        <v>1.1790162552292609</v>
      </c>
      <c r="G91">
        <v>1.404642316629356</v>
      </c>
      <c r="H91">
        <v>1.103905985283735</v>
      </c>
      <c r="I91">
        <v>0.8468491375836027</v>
      </c>
      <c r="J91">
        <v>1.042226562993638</v>
      </c>
      <c r="K91">
        <v>1.203565406973532</v>
      </c>
      <c r="L91">
        <v>1.114720740551844</v>
      </c>
      <c r="M91">
        <v>1.2442614771072751</v>
      </c>
      <c r="N91">
        <v>1.103403125526994</v>
      </c>
      <c r="O91">
        <v>0.77037929004131589</v>
      </c>
      <c r="P91">
        <v>0.6846524683208659</v>
      </c>
      <c r="Q91">
        <v>1.02354226817127</v>
      </c>
      <c r="R91">
        <v>1.097540456218254</v>
      </c>
      <c r="S91">
        <v>0.94761272897318782</v>
      </c>
      <c r="T91">
        <v>1.028323034182816</v>
      </c>
      <c r="U91">
        <v>1.0338169142735061</v>
      </c>
      <c r="V91">
        <v>1.166494421939382</v>
      </c>
    </row>
    <row r="92" spans="1:22" x14ac:dyDescent="0.35">
      <c r="A92" t="s">
        <v>23</v>
      </c>
      <c r="B92">
        <v>1.284169224310262</v>
      </c>
      <c r="C92">
        <v>0.91330795878895676</v>
      </c>
      <c r="D92">
        <v>0.87385172859745874</v>
      </c>
      <c r="E92">
        <v>0.9833966858458123</v>
      </c>
      <c r="F92">
        <v>1.3166844519612499</v>
      </c>
      <c r="G92">
        <v>1.657331853570692</v>
      </c>
      <c r="H92">
        <v>1.7945679230568601</v>
      </c>
      <c r="I92">
        <v>1.6764567626506679</v>
      </c>
      <c r="J92">
        <v>1.70063671624032</v>
      </c>
      <c r="K92">
        <v>2.269527115243676</v>
      </c>
      <c r="L92">
        <v>2.0737769151108689</v>
      </c>
      <c r="M92">
        <v>2.657138387798136</v>
      </c>
      <c r="N92">
        <v>2.1032493796676048</v>
      </c>
      <c r="O92">
        <v>1.526993182723116</v>
      </c>
      <c r="P92">
        <v>1.501627810426045</v>
      </c>
      <c r="Q92">
        <v>1.845313390162014</v>
      </c>
      <c r="R92">
        <v>2.0767455093535361</v>
      </c>
      <c r="S92">
        <v>1.5447411910631521</v>
      </c>
      <c r="T92">
        <v>1.5621732796300201</v>
      </c>
      <c r="U92">
        <v>1.5720744277354599</v>
      </c>
      <c r="V92">
        <v>1.4946603982094271</v>
      </c>
    </row>
    <row r="93" spans="1:22" x14ac:dyDescent="0.35">
      <c r="A93" t="s">
        <v>24</v>
      </c>
      <c r="B93">
        <v>1.5278441702092771</v>
      </c>
      <c r="C93">
        <v>1.4137891241537131</v>
      </c>
      <c r="D93">
        <v>1.835737894850874</v>
      </c>
      <c r="E93">
        <v>2.287999253672838</v>
      </c>
      <c r="F93">
        <v>2.3764026312242419</v>
      </c>
      <c r="G93">
        <v>2.4785631470766649</v>
      </c>
      <c r="H93">
        <v>2.3210364337958511</v>
      </c>
      <c r="I93">
        <v>2.0401596336972641</v>
      </c>
      <c r="J93">
        <v>1.748817297823609</v>
      </c>
      <c r="K93">
        <v>2.054895524400199</v>
      </c>
      <c r="L93">
        <v>1.7472269127663169</v>
      </c>
      <c r="M93">
        <v>2.1900310797734739</v>
      </c>
      <c r="N93">
        <v>1.8607993348336731</v>
      </c>
      <c r="O93">
        <v>1.8825711550930919</v>
      </c>
      <c r="P93">
        <v>1.979660909976634</v>
      </c>
      <c r="Q93">
        <v>2.2339458139339552</v>
      </c>
      <c r="R93">
        <v>2.709869161649701</v>
      </c>
      <c r="S93">
        <v>2.596190807117174</v>
      </c>
      <c r="T93">
        <v>2.585221473552342</v>
      </c>
      <c r="U93">
        <v>2.2592461284471521</v>
      </c>
      <c r="V93">
        <v>2.040276425292805</v>
      </c>
    </row>
    <row r="94" spans="1:22" x14ac:dyDescent="0.35">
      <c r="A94" t="s">
        <v>25</v>
      </c>
      <c r="B94">
        <v>-0.23812743479648121</v>
      </c>
      <c r="C94">
        <v>-0.17619977734754211</v>
      </c>
      <c r="D94">
        <v>-0.16740911021782759</v>
      </c>
      <c r="E94">
        <v>-5.9364382124471322E-2</v>
      </c>
      <c r="F94">
        <v>-8.9598608944867209E-2</v>
      </c>
      <c r="G94">
        <v>-0.11258007278746041</v>
      </c>
      <c r="H94">
        <v>-9.7415586669944973E-2</v>
      </c>
      <c r="I94">
        <v>-0.14305282405849781</v>
      </c>
      <c r="J94">
        <v>7.6411951478986051E-2</v>
      </c>
      <c r="K94">
        <v>0.1993467754352494</v>
      </c>
      <c r="L94">
        <v>0.26692838807939112</v>
      </c>
      <c r="M94">
        <v>0.35696476720805681</v>
      </c>
      <c r="N94">
        <v>0.1506979515659051</v>
      </c>
      <c r="O94">
        <v>0.21072479679577921</v>
      </c>
      <c r="P94">
        <v>0.34914807206773107</v>
      </c>
      <c r="Q94">
        <v>0.39064878656163371</v>
      </c>
      <c r="R94">
        <v>0.53054796097973422</v>
      </c>
      <c r="S94">
        <v>0.51859698882154326</v>
      </c>
      <c r="T94">
        <v>0.67427741833953692</v>
      </c>
      <c r="U94">
        <v>0.70543430228357851</v>
      </c>
      <c r="V94">
        <v>0.71730946662803208</v>
      </c>
    </row>
    <row r="95" spans="1:22" x14ac:dyDescent="0.35">
      <c r="A95" t="s">
        <v>26</v>
      </c>
      <c r="B95">
        <v>141.322056253824</v>
      </c>
      <c r="C95">
        <v>140.6398711935623</v>
      </c>
      <c r="D95">
        <v>140.86242163418609</v>
      </c>
      <c r="E95">
        <v>142.65920790983759</v>
      </c>
      <c r="F95">
        <v>143.9451220622374</v>
      </c>
      <c r="G95">
        <v>144.7338778677333</v>
      </c>
      <c r="H95">
        <v>144.6125961396443</v>
      </c>
      <c r="I95">
        <v>143.61817597330881</v>
      </c>
      <c r="J95">
        <v>143.99336737865579</v>
      </c>
      <c r="K95">
        <v>145.330019283875</v>
      </c>
      <c r="L95">
        <v>145.2113510445491</v>
      </c>
      <c r="M95">
        <v>147.69751638259589</v>
      </c>
      <c r="N95">
        <v>146.74773781307451</v>
      </c>
      <c r="O95">
        <v>146.07286980075591</v>
      </c>
      <c r="P95">
        <v>146.43848278303261</v>
      </c>
      <c r="Q95">
        <v>147.7885476526703</v>
      </c>
      <c r="R95">
        <v>148.88540868280751</v>
      </c>
      <c r="S95">
        <v>148.29172564043469</v>
      </c>
      <c r="T95">
        <v>148.77616342310071</v>
      </c>
      <c r="U95">
        <v>149.04445062664979</v>
      </c>
      <c r="V95">
        <v>148.94739778235601</v>
      </c>
    </row>
    <row r="96" spans="1:22" x14ac:dyDescent="0.35">
      <c r="A96" t="s">
        <v>27</v>
      </c>
      <c r="B96">
        <v>235765203.08000001</v>
      </c>
      <c r="C96">
        <v>281358745.74000001</v>
      </c>
      <c r="D96">
        <v>456279450.83999997</v>
      </c>
      <c r="E96">
        <v>333400671.27999997</v>
      </c>
      <c r="F96">
        <v>298750956.31999999</v>
      </c>
      <c r="G96">
        <v>273028474.02999997</v>
      </c>
      <c r="H96">
        <v>278475041.00999999</v>
      </c>
      <c r="I96">
        <v>265382199.50999999</v>
      </c>
      <c r="J96">
        <v>276662013.16000003</v>
      </c>
      <c r="K96">
        <v>260765507.43000001</v>
      </c>
      <c r="L96">
        <v>208491069.18000001</v>
      </c>
      <c r="M96">
        <v>232199009.40000001</v>
      </c>
      <c r="N96">
        <v>246666606.34</v>
      </c>
      <c r="O96">
        <v>305179198.89999998</v>
      </c>
      <c r="P96">
        <v>487675229.60000002</v>
      </c>
      <c r="Q96">
        <v>329160605.93000001</v>
      </c>
      <c r="R96">
        <v>312267709.76999998</v>
      </c>
      <c r="S96">
        <v>312330219.88999999</v>
      </c>
      <c r="T96">
        <v>304868324.22000003</v>
      </c>
      <c r="U96">
        <v>281977628.79000002</v>
      </c>
      <c r="V96">
        <v>240154301.71000001</v>
      </c>
    </row>
    <row r="97" spans="1:22" x14ac:dyDescent="0.35">
      <c r="A97" t="s">
        <v>28</v>
      </c>
      <c r="B97">
        <v>1.5472703801328811</v>
      </c>
      <c r="C97">
        <v>1.5414112093462919</v>
      </c>
      <c r="D97">
        <v>1.520493443156514</v>
      </c>
      <c r="E97">
        <v>1.499386247801366</v>
      </c>
      <c r="F97">
        <v>1.4981951010538761</v>
      </c>
      <c r="G97">
        <v>1.4905727419362109</v>
      </c>
      <c r="H97">
        <v>1.5008499112025679</v>
      </c>
      <c r="I97">
        <v>1.5123498235787729</v>
      </c>
      <c r="J97">
        <v>1.520448203421662</v>
      </c>
      <c r="K97">
        <v>1.500065616202104</v>
      </c>
      <c r="L97">
        <v>1.5168439178995829</v>
      </c>
      <c r="M97">
        <v>1.5004087606808969</v>
      </c>
      <c r="N97">
        <v>1.515966608340134</v>
      </c>
      <c r="O97">
        <v>1.5170341635340761</v>
      </c>
      <c r="P97">
        <v>1.5154427988441981</v>
      </c>
      <c r="Q97">
        <v>1.5138704532879019</v>
      </c>
      <c r="R97">
        <v>1.4910857869272389</v>
      </c>
      <c r="S97">
        <v>1.496821927165132</v>
      </c>
      <c r="T97">
        <v>1.498664700775004</v>
      </c>
      <c r="U97">
        <v>1.513080868933224</v>
      </c>
      <c r="V97">
        <v>1.5253293476093499</v>
      </c>
    </row>
    <row r="98" spans="1:22" x14ac:dyDescent="0.35">
      <c r="A98" t="s">
        <v>29</v>
      </c>
      <c r="B98">
        <v>0.24977852133269021</v>
      </c>
      <c r="C98">
        <v>0.249609464604756</v>
      </c>
      <c r="D98">
        <v>0.24923506333039011</v>
      </c>
      <c r="E98">
        <v>0.24789478222559569</v>
      </c>
      <c r="F98">
        <v>0.248457275229063</v>
      </c>
      <c r="G98">
        <v>0.24857322893600761</v>
      </c>
      <c r="H98">
        <v>0.24841814100654649</v>
      </c>
      <c r="I98">
        <v>0.24904555687801869</v>
      </c>
      <c r="J98">
        <v>0.2467954187907313</v>
      </c>
      <c r="K98">
        <v>0.24536522506766889</v>
      </c>
      <c r="L98">
        <v>0.24492679502394979</v>
      </c>
      <c r="M98">
        <v>0.2444683501777721</v>
      </c>
      <c r="N98">
        <v>0.2461319207664196</v>
      </c>
      <c r="O98">
        <v>0.24599805029350019</v>
      </c>
      <c r="P98">
        <v>0.24436241506920489</v>
      </c>
      <c r="Q98">
        <v>0.24381792381773251</v>
      </c>
      <c r="R98">
        <v>0.24258015112938819</v>
      </c>
      <c r="S98">
        <v>0.24302244370621409</v>
      </c>
      <c r="T98">
        <v>0.2413544839315174</v>
      </c>
      <c r="U98">
        <v>0.24178600824609059</v>
      </c>
      <c r="V98">
        <v>0.24141603649406479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98"/>
  <sheetViews>
    <sheetView topLeftCell="D77" zoomScale="85" workbookViewId="0"/>
  </sheetViews>
  <sheetFormatPr defaultRowHeight="14.5" x14ac:dyDescent="0.35"/>
  <sheetData>
    <row r="1" spans="1:22" x14ac:dyDescent="0.3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70</v>
      </c>
      <c r="V1" t="s">
        <v>71</v>
      </c>
    </row>
    <row r="2" spans="1:22" x14ac:dyDescent="0.35">
      <c r="A2" t="s">
        <v>21</v>
      </c>
      <c r="B2">
        <v>136.82380299527509</v>
      </c>
      <c r="C2">
        <v>137.05183927259171</v>
      </c>
      <c r="D2">
        <v>136.62074134082249</v>
      </c>
      <c r="E2">
        <v>137.56525012492671</v>
      </c>
      <c r="F2">
        <v>138.30009568671281</v>
      </c>
      <c r="G2">
        <v>138.20068058195491</v>
      </c>
      <c r="H2">
        <v>138.46661782208571</v>
      </c>
      <c r="I2">
        <v>138.33461915343329</v>
      </c>
      <c r="J2">
        <v>138.84727691646029</v>
      </c>
      <c r="K2">
        <v>138.81220292695591</v>
      </c>
      <c r="L2">
        <v>138.99432222552699</v>
      </c>
      <c r="M2">
        <v>140.3063705008916</v>
      </c>
      <c r="N2">
        <v>140.39661826955091</v>
      </c>
      <c r="O2">
        <v>140.1670215760148</v>
      </c>
      <c r="P2">
        <v>140.29640620718681</v>
      </c>
      <c r="Q2">
        <v>140.7397600374656</v>
      </c>
      <c r="R2">
        <v>140.87261868900441</v>
      </c>
      <c r="S2">
        <v>141.1551288971016</v>
      </c>
      <c r="T2">
        <v>140.93325276682069</v>
      </c>
      <c r="U2">
        <v>141.92180039212619</v>
      </c>
      <c r="V2">
        <v>141.92009060556171</v>
      </c>
    </row>
    <row r="3" spans="1:22" x14ac:dyDescent="0.35">
      <c r="A3" t="s">
        <v>22</v>
      </c>
      <c r="B3">
        <v>0.65857302507342297</v>
      </c>
      <c r="C3">
        <v>0.90503912083062232</v>
      </c>
      <c r="D3">
        <v>0.48805493372938707</v>
      </c>
      <c r="E3">
        <v>1.4296354567624969</v>
      </c>
      <c r="F3">
        <v>1.763585624660351</v>
      </c>
      <c r="G3">
        <v>2.0577963592392341</v>
      </c>
      <c r="H3">
        <v>1.8826711550587449</v>
      </c>
      <c r="I3">
        <v>2.1242920602475981</v>
      </c>
      <c r="J3">
        <v>2.068519586020074</v>
      </c>
      <c r="K3">
        <v>1.7492859600364741</v>
      </c>
      <c r="L3">
        <v>1.4429463589999609</v>
      </c>
      <c r="M3">
        <v>2.2974660178326189</v>
      </c>
      <c r="N3">
        <v>2.4567329656242411</v>
      </c>
      <c r="O3">
        <v>1.971165607564245</v>
      </c>
      <c r="P3">
        <v>1.8026735764931059</v>
      </c>
      <c r="Q3">
        <v>2.253159395419658</v>
      </c>
      <c r="R3">
        <v>2.3533040540287691</v>
      </c>
      <c r="S3">
        <v>2.6476649631845248</v>
      </c>
      <c r="T3">
        <v>2.6668549069797218</v>
      </c>
      <c r="U3">
        <v>2.5618789777315669</v>
      </c>
      <c r="V3">
        <v>2.9123880062649898</v>
      </c>
    </row>
    <row r="4" spans="1:22" x14ac:dyDescent="0.35">
      <c r="A4" t="s">
        <v>23</v>
      </c>
      <c r="B4">
        <v>1.9746688558459951</v>
      </c>
      <c r="C4">
        <v>0.43116200570091417</v>
      </c>
      <c r="D4">
        <v>0.48902894564109378</v>
      </c>
      <c r="E4">
        <v>1.1957043477835321</v>
      </c>
      <c r="F4">
        <v>1.290807296296983</v>
      </c>
      <c r="G4">
        <v>1.9260856696533519</v>
      </c>
      <c r="H4">
        <v>3.2155033661593579</v>
      </c>
      <c r="I4">
        <v>2.400003204607668</v>
      </c>
      <c r="J4">
        <v>2.3476641779251959</v>
      </c>
      <c r="K4">
        <v>3.4357148962652171</v>
      </c>
      <c r="L4">
        <v>2.452208979989742</v>
      </c>
      <c r="M4">
        <v>2.4194561461782822</v>
      </c>
      <c r="N4">
        <v>3.6774582698674139</v>
      </c>
      <c r="O4">
        <v>2.004174891588923</v>
      </c>
      <c r="P4">
        <v>1.344224914808982</v>
      </c>
      <c r="Q4">
        <v>2.4762025520465478</v>
      </c>
      <c r="R4">
        <v>3.8469990130787961</v>
      </c>
      <c r="S4">
        <v>3.1803764141444688</v>
      </c>
      <c r="T4">
        <v>3.4741021659814608</v>
      </c>
      <c r="U4">
        <v>3.7037211639789329</v>
      </c>
      <c r="V4">
        <v>2.9033878838592768</v>
      </c>
    </row>
    <row r="5" spans="1:22" x14ac:dyDescent="0.35">
      <c r="A5" t="s">
        <v>24</v>
      </c>
      <c r="B5">
        <v>3.5360654621442138</v>
      </c>
      <c r="C5">
        <v>3.4404768956174379</v>
      </c>
      <c r="D5">
        <v>3.4756952849098499</v>
      </c>
      <c r="E5">
        <v>3.9608328482208748</v>
      </c>
      <c r="F5">
        <v>4.3794467798827084</v>
      </c>
      <c r="G5">
        <v>3.8948185744594981</v>
      </c>
      <c r="H5">
        <v>3.680877165613273</v>
      </c>
      <c r="I5">
        <v>3.9114945479691681</v>
      </c>
      <c r="J5">
        <v>4.2762920166978704</v>
      </c>
      <c r="K5">
        <v>4.7198107608907449</v>
      </c>
      <c r="L5">
        <v>4.0870223174906792</v>
      </c>
      <c r="M5">
        <v>3.897491438484193</v>
      </c>
      <c r="N5">
        <v>3.8620430813318589</v>
      </c>
      <c r="O5">
        <v>4.2823007424992836</v>
      </c>
      <c r="P5">
        <v>4.3673661040686644</v>
      </c>
      <c r="Q5">
        <v>3.722166783350993</v>
      </c>
      <c r="R5">
        <v>4.5859825381798673</v>
      </c>
      <c r="S5">
        <v>4.114303624576797</v>
      </c>
      <c r="T5">
        <v>4.3268182842538216</v>
      </c>
      <c r="U5">
        <v>3.985519412909754</v>
      </c>
      <c r="V5">
        <v>4.010285163386917</v>
      </c>
    </row>
    <row r="6" spans="1:22" x14ac:dyDescent="0.35">
      <c r="A6" t="s">
        <v>25</v>
      </c>
      <c r="B6">
        <v>7.3273182866173672E-3</v>
      </c>
      <c r="C6">
        <v>-0.27413140294217708</v>
      </c>
      <c r="D6">
        <v>-3.3089570478974102E-2</v>
      </c>
      <c r="E6">
        <v>0.27780104455992238</v>
      </c>
      <c r="F6">
        <v>0.44710485738609967</v>
      </c>
      <c r="G6">
        <v>0.43484576472742759</v>
      </c>
      <c r="H6">
        <v>0.67828337374182335</v>
      </c>
      <c r="I6">
        <v>0.56777664806910988</v>
      </c>
      <c r="J6">
        <v>0.85284910500433808</v>
      </c>
      <c r="K6">
        <v>0.62903513354100826</v>
      </c>
      <c r="L6">
        <v>0.43625937406562088</v>
      </c>
      <c r="M6">
        <v>0.55781854082284166</v>
      </c>
      <c r="N6">
        <v>0.6833677632538151</v>
      </c>
      <c r="O6">
        <v>0.4274714361070775</v>
      </c>
      <c r="P6">
        <v>0.58930339515382069</v>
      </c>
      <c r="Q6">
        <v>0.89468482737023669</v>
      </c>
      <c r="R6">
        <v>1.4356480722288121</v>
      </c>
      <c r="S6">
        <v>1.523579858161505</v>
      </c>
      <c r="T6">
        <v>1.607620641436259</v>
      </c>
      <c r="U6">
        <v>1.302867728727644</v>
      </c>
      <c r="V6">
        <v>1.2279751948956299</v>
      </c>
    </row>
    <row r="7" spans="1:22" x14ac:dyDescent="0.35">
      <c r="A7" t="s">
        <v>26</v>
      </c>
      <c r="B7">
        <v>143.00043765662539</v>
      </c>
      <c r="C7">
        <v>141.55438589179849</v>
      </c>
      <c r="D7">
        <v>141.04043093462391</v>
      </c>
      <c r="E7">
        <v>144.42922382225359</v>
      </c>
      <c r="F7">
        <v>146.18104024493891</v>
      </c>
      <c r="G7">
        <v>146.51422695003441</v>
      </c>
      <c r="H7">
        <v>147.92395288265891</v>
      </c>
      <c r="I7">
        <v>147.33818561432679</v>
      </c>
      <c r="J7">
        <v>148.39260180210781</v>
      </c>
      <c r="K7">
        <v>149.34604967768939</v>
      </c>
      <c r="L7">
        <v>147.412759256073</v>
      </c>
      <c r="M7">
        <v>149.47860264420959</v>
      </c>
      <c r="N7">
        <v>151.07622034962819</v>
      </c>
      <c r="O7">
        <v>148.8521342537743</v>
      </c>
      <c r="P7">
        <v>148.39997419771129</v>
      </c>
      <c r="Q7">
        <v>150.08597359565309</v>
      </c>
      <c r="R7">
        <v>153.0945523665207</v>
      </c>
      <c r="S7">
        <v>152.62105375716891</v>
      </c>
      <c r="T7">
        <v>153.00864876547189</v>
      </c>
      <c r="U7">
        <v>153.47578767547421</v>
      </c>
      <c r="V7">
        <v>152.97412685396861</v>
      </c>
    </row>
    <row r="8" spans="1:22" x14ac:dyDescent="0.35">
      <c r="A8" t="s">
        <v>27</v>
      </c>
      <c r="B8">
        <v>13864426.98</v>
      </c>
      <c r="C8">
        <v>14750080.689999999</v>
      </c>
      <c r="D8">
        <v>26969070.140000001</v>
      </c>
      <c r="E8">
        <v>20832746.460000001</v>
      </c>
      <c r="F8">
        <v>20015885.079999998</v>
      </c>
      <c r="G8">
        <v>16944616.73</v>
      </c>
      <c r="H8">
        <v>17583715.16</v>
      </c>
      <c r="I8">
        <v>17009856.440000001</v>
      </c>
      <c r="J8">
        <v>16644481.210000001</v>
      </c>
      <c r="K8">
        <v>14256426.640000001</v>
      </c>
      <c r="L8">
        <v>11610680.67</v>
      </c>
      <c r="M8">
        <v>13454664.560000001</v>
      </c>
      <c r="N8">
        <v>13296244.279999999</v>
      </c>
      <c r="O8">
        <v>15280720.529999999</v>
      </c>
      <c r="P8">
        <v>24336515.620000001</v>
      </c>
      <c r="Q8">
        <v>20618795.710000001</v>
      </c>
      <c r="R8">
        <v>22261812.370000001</v>
      </c>
      <c r="S8">
        <v>23382323.920000002</v>
      </c>
      <c r="T8">
        <v>25967502.93</v>
      </c>
      <c r="U8">
        <v>19891358.82</v>
      </c>
      <c r="V8">
        <v>16878055.57</v>
      </c>
    </row>
    <row r="9" spans="1:22" x14ac:dyDescent="0.35">
      <c r="A9" t="s">
        <v>28</v>
      </c>
      <c r="B9">
        <v>1.6059551456336509</v>
      </c>
      <c r="C9">
        <v>1.613465290874456</v>
      </c>
      <c r="D9">
        <v>1.6106901153342299</v>
      </c>
      <c r="E9">
        <v>1.573410762769347</v>
      </c>
      <c r="F9">
        <v>1.542603058888923</v>
      </c>
      <c r="G9">
        <v>1.578381735284013</v>
      </c>
      <c r="H9">
        <v>1.5947099214358691</v>
      </c>
      <c r="I9">
        <v>1.5771230470565709</v>
      </c>
      <c r="J9">
        <v>1.550082127755952</v>
      </c>
      <c r="K9">
        <v>1.5184294358302901</v>
      </c>
      <c r="L9">
        <v>1.5639951200053821</v>
      </c>
      <c r="M9">
        <v>1.5781798546051811</v>
      </c>
      <c r="N9">
        <v>1.5808614655537621</v>
      </c>
      <c r="O9">
        <v>1.549644486234574</v>
      </c>
      <c r="P9">
        <v>1.5434752153996241</v>
      </c>
      <c r="Q9">
        <v>1.5915324080152391</v>
      </c>
      <c r="R9">
        <v>1.5278433558290501</v>
      </c>
      <c r="S9">
        <v>1.561974317808505</v>
      </c>
      <c r="T9">
        <v>1.54640976260158</v>
      </c>
      <c r="U9">
        <v>1.57155986235497</v>
      </c>
      <c r="V9">
        <v>1.56970739537947</v>
      </c>
    </row>
    <row r="10" spans="1:22" x14ac:dyDescent="0.35">
      <c r="A10" t="s">
        <v>29</v>
      </c>
      <c r="B10">
        <v>0.24989532402447689</v>
      </c>
      <c r="C10">
        <v>0.25391616289917401</v>
      </c>
      <c r="D10">
        <v>0.25047270814969957</v>
      </c>
      <c r="E10">
        <v>0.24603141364914399</v>
      </c>
      <c r="F10">
        <v>0.24361278775162709</v>
      </c>
      <c r="G10">
        <v>0.24378791764675101</v>
      </c>
      <c r="H10">
        <v>0.24031023751797401</v>
      </c>
      <c r="I10">
        <v>0.24188890502758409</v>
      </c>
      <c r="J10">
        <v>0.23781644135708091</v>
      </c>
      <c r="K10">
        <v>0.241013783806557</v>
      </c>
      <c r="L10">
        <v>0.24376772322763399</v>
      </c>
      <c r="M10">
        <v>0.2420311637025308</v>
      </c>
      <c r="N10">
        <v>0.24023760338208841</v>
      </c>
      <c r="O10">
        <v>0.24389326519847029</v>
      </c>
      <c r="P10">
        <v>0.24158138006923111</v>
      </c>
      <c r="Q10">
        <v>0.23721878818042519</v>
      </c>
      <c r="R10">
        <v>0.22949074182530271</v>
      </c>
      <c r="S10">
        <v>0.22823457345483561</v>
      </c>
      <c r="T10">
        <v>0.2270339908366249</v>
      </c>
      <c r="U10">
        <v>0.2313876038753194</v>
      </c>
      <c r="V10">
        <v>0.23245749721577669</v>
      </c>
    </row>
    <row r="12" spans="1:22" x14ac:dyDescent="0.35">
      <c r="A12" t="s">
        <v>32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  <c r="N12" t="s">
        <v>60</v>
      </c>
      <c r="O12" t="s">
        <v>61</v>
      </c>
      <c r="P12" t="s">
        <v>62</v>
      </c>
      <c r="Q12" t="s">
        <v>63</v>
      </c>
      <c r="R12" t="s">
        <v>64</v>
      </c>
      <c r="S12" t="s">
        <v>65</v>
      </c>
      <c r="T12" t="s">
        <v>66</v>
      </c>
      <c r="U12" t="s">
        <v>70</v>
      </c>
      <c r="V12" t="s">
        <v>71</v>
      </c>
    </row>
    <row r="13" spans="1:22" x14ac:dyDescent="0.35">
      <c r="A13" t="s">
        <v>21</v>
      </c>
      <c r="B13">
        <v>139.70466316546089</v>
      </c>
      <c r="C13">
        <v>140.0393408597794</v>
      </c>
      <c r="D13">
        <v>139.7581823304717</v>
      </c>
      <c r="E13">
        <v>140.29098187839671</v>
      </c>
      <c r="F13">
        <v>140.83948512532419</v>
      </c>
      <c r="G13">
        <v>140.68426185860321</v>
      </c>
      <c r="H13">
        <v>140.85961083647209</v>
      </c>
      <c r="I13">
        <v>140.67206801892999</v>
      </c>
      <c r="J13">
        <v>141.2816610672576</v>
      </c>
      <c r="K13">
        <v>141.57875589844929</v>
      </c>
      <c r="L13">
        <v>141.49383641028859</v>
      </c>
      <c r="M13">
        <v>142.15471144645059</v>
      </c>
      <c r="N13">
        <v>142.79798832263609</v>
      </c>
      <c r="O13">
        <v>142.8155576323723</v>
      </c>
      <c r="P13">
        <v>142.76467027561461</v>
      </c>
      <c r="Q13">
        <v>143.1150974086006</v>
      </c>
      <c r="R13">
        <v>142.882615560907</v>
      </c>
      <c r="S13">
        <v>143.30722561743079</v>
      </c>
      <c r="T13">
        <v>143.7975214550716</v>
      </c>
      <c r="U13">
        <v>143.58336640004271</v>
      </c>
      <c r="V13">
        <v>143.57357503705421</v>
      </c>
    </row>
    <row r="14" spans="1:22" x14ac:dyDescent="0.35">
      <c r="A14" t="s">
        <v>22</v>
      </c>
      <c r="B14">
        <v>-0.14831519523335149</v>
      </c>
      <c r="C14">
        <v>-0.30252810694415189</v>
      </c>
      <c r="D14">
        <v>-0.32311339317007542</v>
      </c>
      <c r="E14">
        <v>-9.1534275777945595E-2</v>
      </c>
      <c r="F14">
        <v>0.5022074156715064</v>
      </c>
      <c r="G14">
        <v>0.83070769083397522</v>
      </c>
      <c r="H14">
        <v>0.23542066734628969</v>
      </c>
      <c r="I14">
        <v>0.90991819143837915</v>
      </c>
      <c r="J14">
        <v>1.5134823734150871</v>
      </c>
      <c r="K14">
        <v>1.59398842246091</v>
      </c>
      <c r="L14">
        <v>1.4396478452808881</v>
      </c>
      <c r="M14">
        <v>1.731080466235966</v>
      </c>
      <c r="N14">
        <v>1.7312206917952151</v>
      </c>
      <c r="O14">
        <v>1.52394991499159</v>
      </c>
      <c r="P14">
        <v>1.7769344991594951</v>
      </c>
      <c r="Q14">
        <v>1.9125453754716659</v>
      </c>
      <c r="R14">
        <v>2.1818041445126251</v>
      </c>
      <c r="S14">
        <v>2.0430916875684768</v>
      </c>
      <c r="T14">
        <v>2.363277972523576</v>
      </c>
      <c r="U14">
        <v>2.0804909272868599</v>
      </c>
      <c r="V14">
        <v>2.3543461833052111</v>
      </c>
    </row>
    <row r="15" spans="1:22" x14ac:dyDescent="0.35">
      <c r="A15" t="s">
        <v>23</v>
      </c>
      <c r="B15">
        <v>1.6409622787171381</v>
      </c>
      <c r="C15">
        <v>1.159009406769488</v>
      </c>
      <c r="D15">
        <v>1.3441761083449031</v>
      </c>
      <c r="E15">
        <v>1.4567601649374891</v>
      </c>
      <c r="F15">
        <v>1.5565721505665939</v>
      </c>
      <c r="G15">
        <v>2.1682424022065909</v>
      </c>
      <c r="H15">
        <v>2.1580406951284359</v>
      </c>
      <c r="I15">
        <v>2.390364027111425</v>
      </c>
      <c r="J15">
        <v>2.68184495278126</v>
      </c>
      <c r="K15">
        <v>3.7588135926237758</v>
      </c>
      <c r="L15">
        <v>3.5257819431176132</v>
      </c>
      <c r="M15">
        <v>4.1036882854853589</v>
      </c>
      <c r="N15">
        <v>3.622996359723575</v>
      </c>
      <c r="O15">
        <v>2.6594224534881299</v>
      </c>
      <c r="P15">
        <v>2.2879279684980292</v>
      </c>
      <c r="Q15">
        <v>2.5210567571781421</v>
      </c>
      <c r="R15">
        <v>3.0901667783192548</v>
      </c>
      <c r="S15">
        <v>2.699366995658683</v>
      </c>
      <c r="T15">
        <v>2.5965452428082609</v>
      </c>
      <c r="U15">
        <v>2.7780806421029882</v>
      </c>
      <c r="V15">
        <v>3.1547556436610251</v>
      </c>
    </row>
    <row r="16" spans="1:22" x14ac:dyDescent="0.35">
      <c r="A16" t="s">
        <v>24</v>
      </c>
      <c r="B16">
        <v>5.1359330655629556</v>
      </c>
      <c r="C16">
        <v>4.8367188804715031</v>
      </c>
      <c r="D16">
        <v>5.2615284874381736</v>
      </c>
      <c r="E16">
        <v>5.7215806896787758</v>
      </c>
      <c r="F16">
        <v>6.0772589131839769</v>
      </c>
      <c r="G16">
        <v>6.3721425790594806</v>
      </c>
      <c r="H16">
        <v>6.0246688533474044</v>
      </c>
      <c r="I16">
        <v>6.0084558059497599</v>
      </c>
      <c r="J16">
        <v>6.3884774972233149</v>
      </c>
      <c r="K16">
        <v>6.3013326797790654</v>
      </c>
      <c r="L16">
        <v>6.1736283249904016</v>
      </c>
      <c r="M16">
        <v>5.65864977141851</v>
      </c>
      <c r="N16">
        <v>5.5458849047665311</v>
      </c>
      <c r="O16">
        <v>4.7408599090160841</v>
      </c>
      <c r="P16">
        <v>5.0156904055855449</v>
      </c>
      <c r="Q16">
        <v>5.0782548366008582</v>
      </c>
      <c r="R16">
        <v>5.028846609956525</v>
      </c>
      <c r="S16">
        <v>4.9238665788528886</v>
      </c>
      <c r="T16">
        <v>4.7524702181285789</v>
      </c>
      <c r="U16">
        <v>4.8406008324260341</v>
      </c>
      <c r="V16">
        <v>5.0188232362071066</v>
      </c>
    </row>
    <row r="17" spans="1:22" x14ac:dyDescent="0.35">
      <c r="A17" t="s">
        <v>25</v>
      </c>
      <c r="B17">
        <v>-0.46855032005840558</v>
      </c>
      <c r="C17">
        <v>-0.57725739856091474</v>
      </c>
      <c r="D17">
        <v>-0.4519974865621656</v>
      </c>
      <c r="E17">
        <v>-0.43881647596458678</v>
      </c>
      <c r="F17">
        <v>-0.38905561754083612</v>
      </c>
      <c r="G17">
        <v>-0.35788946785340109</v>
      </c>
      <c r="H17">
        <v>-0.35305074278142168</v>
      </c>
      <c r="I17">
        <v>-0.45726210941404832</v>
      </c>
      <c r="J17">
        <v>-0.65907718443282248</v>
      </c>
      <c r="K17">
        <v>-0.5862154434452499</v>
      </c>
      <c r="L17">
        <v>-0.50619864621461397</v>
      </c>
      <c r="M17">
        <v>-0.54536463291993131</v>
      </c>
      <c r="N17">
        <v>-0.44666112425986332</v>
      </c>
      <c r="O17">
        <v>-0.44745465180707322</v>
      </c>
      <c r="P17">
        <v>-0.31545523803553349</v>
      </c>
      <c r="Q17">
        <v>-0.29322249082907981</v>
      </c>
      <c r="R17">
        <v>-0.24132864580457269</v>
      </c>
      <c r="S17">
        <v>-0.49691876309622462</v>
      </c>
      <c r="T17">
        <v>-0.36244857572558631</v>
      </c>
      <c r="U17">
        <v>-0.51156446015450663</v>
      </c>
      <c r="V17">
        <v>-0.4299499727178191</v>
      </c>
    </row>
    <row r="18" spans="1:22" x14ac:dyDescent="0.35">
      <c r="A18" t="s">
        <v>26</v>
      </c>
      <c r="B18">
        <v>145.8646929944492</v>
      </c>
      <c r="C18">
        <v>145.1552836415153</v>
      </c>
      <c r="D18">
        <v>145.5887760465225</v>
      </c>
      <c r="E18">
        <v>146.9389719812705</v>
      </c>
      <c r="F18">
        <v>148.5864679872054</v>
      </c>
      <c r="G18">
        <v>149.6974650628498</v>
      </c>
      <c r="H18">
        <v>148.92469030951281</v>
      </c>
      <c r="I18">
        <v>149.52354393401549</v>
      </c>
      <c r="J18">
        <v>151.20638870624441</v>
      </c>
      <c r="K18">
        <v>152.64667514986769</v>
      </c>
      <c r="L18">
        <v>152.12669587746291</v>
      </c>
      <c r="M18">
        <v>153.10276533667059</v>
      </c>
      <c r="N18">
        <v>153.25142915466151</v>
      </c>
      <c r="O18">
        <v>151.29233525806109</v>
      </c>
      <c r="P18">
        <v>151.5297679108221</v>
      </c>
      <c r="Q18">
        <v>152.3337318870222</v>
      </c>
      <c r="R18">
        <v>152.94210444789081</v>
      </c>
      <c r="S18">
        <v>152.47663211641461</v>
      </c>
      <c r="T18">
        <v>153.14736631280641</v>
      </c>
      <c r="U18">
        <v>152.770974341704</v>
      </c>
      <c r="V18">
        <v>153.67155012750979</v>
      </c>
    </row>
    <row r="19" spans="1:22" x14ac:dyDescent="0.35">
      <c r="A19" t="s">
        <v>27</v>
      </c>
      <c r="B19">
        <v>46629489.400000013</v>
      </c>
      <c r="C19">
        <v>44395003.899999999</v>
      </c>
      <c r="D19">
        <v>82482577.159999996</v>
      </c>
      <c r="E19">
        <v>64340727.159999996</v>
      </c>
      <c r="F19">
        <v>58591900.160000011</v>
      </c>
      <c r="G19">
        <v>54123524.640000001</v>
      </c>
      <c r="H19">
        <v>57224279.959999993</v>
      </c>
      <c r="I19">
        <v>48510745.240000002</v>
      </c>
      <c r="J19">
        <v>44347400.049999997</v>
      </c>
      <c r="K19">
        <v>42795868.159999996</v>
      </c>
      <c r="L19">
        <v>33149877.75</v>
      </c>
      <c r="M19">
        <v>39734133.530000001</v>
      </c>
      <c r="N19">
        <v>35860313.049999997</v>
      </c>
      <c r="O19">
        <v>45446165.039999999</v>
      </c>
      <c r="P19">
        <v>80134278.580000013</v>
      </c>
      <c r="Q19">
        <v>62030567</v>
      </c>
      <c r="R19">
        <v>57906817.709999993</v>
      </c>
      <c r="S19">
        <v>51136837.780000001</v>
      </c>
      <c r="T19">
        <v>43767001.489999987</v>
      </c>
      <c r="U19">
        <v>39670224.18</v>
      </c>
      <c r="V19">
        <v>37342616.039999999</v>
      </c>
    </row>
    <row r="20" spans="1:22" x14ac:dyDescent="0.35">
      <c r="A20" t="s">
        <v>28</v>
      </c>
      <c r="B20">
        <v>1.489885242348661</v>
      </c>
      <c r="C20">
        <v>1.510300159127564</v>
      </c>
      <c r="D20">
        <v>1.4814795856722101</v>
      </c>
      <c r="E20">
        <v>1.4514835235464529</v>
      </c>
      <c r="F20">
        <v>1.4291125355948839</v>
      </c>
      <c r="G20">
        <v>1.41108158520087</v>
      </c>
      <c r="H20">
        <v>1.432376735147062</v>
      </c>
      <c r="I20">
        <v>1.43338606806771</v>
      </c>
      <c r="J20">
        <v>1.4100960613582221</v>
      </c>
      <c r="K20">
        <v>1.4153696895036441</v>
      </c>
      <c r="L20">
        <v>1.423169455274055</v>
      </c>
      <c r="M20">
        <v>1.4555147960140491</v>
      </c>
      <c r="N20">
        <v>1.4627946580631901</v>
      </c>
      <c r="O20">
        <v>1.5169593170656031</v>
      </c>
      <c r="P20">
        <v>1.4980225190499921</v>
      </c>
      <c r="Q20">
        <v>1.4937774857696839</v>
      </c>
      <c r="R20">
        <v>1.497127860752083</v>
      </c>
      <c r="S20">
        <v>1.5042966933493169</v>
      </c>
      <c r="T20">
        <v>1.516149645041893</v>
      </c>
      <c r="U20">
        <v>1.5100317181309251</v>
      </c>
      <c r="V20">
        <v>1.497809380919533</v>
      </c>
    </row>
    <row r="21" spans="1:22" x14ac:dyDescent="0.35">
      <c r="A21" t="s">
        <v>29</v>
      </c>
      <c r="B21">
        <v>0.25669357600083442</v>
      </c>
      <c r="C21">
        <v>0.25824653426515592</v>
      </c>
      <c r="D21">
        <v>0.25645710695088808</v>
      </c>
      <c r="E21">
        <v>0.2562688067994941</v>
      </c>
      <c r="F21">
        <v>0.25555793739344052</v>
      </c>
      <c r="G21">
        <v>0.25511270668362002</v>
      </c>
      <c r="H21">
        <v>0.2550435820397346</v>
      </c>
      <c r="I21">
        <v>0.25653231584877212</v>
      </c>
      <c r="J21">
        <v>0.25941538834904032</v>
      </c>
      <c r="K21">
        <v>0.25837450633493209</v>
      </c>
      <c r="L21">
        <v>0.25723140923163729</v>
      </c>
      <c r="M21">
        <v>0.25779092332742759</v>
      </c>
      <c r="N21">
        <v>0.25638087320371228</v>
      </c>
      <c r="O21">
        <v>0.25639220931152962</v>
      </c>
      <c r="P21">
        <v>0.25450650340050762</v>
      </c>
      <c r="Q21">
        <v>0.25418889272612971</v>
      </c>
      <c r="R21">
        <v>0.25344755208292252</v>
      </c>
      <c r="S21">
        <v>0.25709883947280321</v>
      </c>
      <c r="T21">
        <v>0.2551778367960798</v>
      </c>
      <c r="U21">
        <v>0.25730806371649301</v>
      </c>
      <c r="V21">
        <v>0.25614214246739742</v>
      </c>
    </row>
    <row r="23" spans="1:22" x14ac:dyDescent="0.35">
      <c r="A23" t="s">
        <v>33</v>
      </c>
      <c r="B23" t="s">
        <v>48</v>
      </c>
      <c r="C23" t="s">
        <v>49</v>
      </c>
      <c r="D23" t="s">
        <v>50</v>
      </c>
      <c r="E23" t="s">
        <v>51</v>
      </c>
      <c r="F23" t="s">
        <v>52</v>
      </c>
      <c r="G23" t="s">
        <v>53</v>
      </c>
      <c r="H23" t="s">
        <v>54</v>
      </c>
      <c r="I23" t="s">
        <v>55</v>
      </c>
      <c r="J23" t="s">
        <v>56</v>
      </c>
      <c r="K23" t="s">
        <v>57</v>
      </c>
      <c r="L23" t="s">
        <v>58</v>
      </c>
      <c r="M23" t="s">
        <v>59</v>
      </c>
      <c r="N23" t="s">
        <v>60</v>
      </c>
      <c r="O23" t="s">
        <v>61</v>
      </c>
      <c r="P23" t="s">
        <v>62</v>
      </c>
      <c r="Q23" t="s">
        <v>63</v>
      </c>
      <c r="R23" t="s">
        <v>64</v>
      </c>
      <c r="S23" t="s">
        <v>65</v>
      </c>
      <c r="T23" t="s">
        <v>66</v>
      </c>
      <c r="U23" t="s">
        <v>70</v>
      </c>
      <c r="V23" t="s">
        <v>71</v>
      </c>
    </row>
    <row r="24" spans="1:22" x14ac:dyDescent="0.35">
      <c r="A24" t="s">
        <v>21</v>
      </c>
      <c r="B24">
        <v>136.7654580107075</v>
      </c>
      <c r="C24">
        <v>136.4958768236871</v>
      </c>
      <c r="D24">
        <v>136.63459075662161</v>
      </c>
      <c r="E24">
        <v>137.44887050916671</v>
      </c>
      <c r="F24">
        <v>137.9102606683598</v>
      </c>
      <c r="G24">
        <v>138.3718584545357</v>
      </c>
      <c r="H24">
        <v>138.44857104637239</v>
      </c>
      <c r="I24">
        <v>138.18615020984231</v>
      </c>
      <c r="J24">
        <v>138.96646018857109</v>
      </c>
      <c r="K24">
        <v>139.1350729015719</v>
      </c>
      <c r="L24">
        <v>139.52681145332659</v>
      </c>
      <c r="M24">
        <v>141.36722077284179</v>
      </c>
      <c r="N24">
        <v>141.59338832825401</v>
      </c>
      <c r="O24">
        <v>140.87523498246401</v>
      </c>
      <c r="P24">
        <v>140.7501388485712</v>
      </c>
      <c r="Q24">
        <v>141.03059283821739</v>
      </c>
      <c r="R24">
        <v>141.2806729953945</v>
      </c>
      <c r="S24">
        <v>141.1555747469458</v>
      </c>
      <c r="T24">
        <v>141.2307175724647</v>
      </c>
      <c r="U24">
        <v>141.42942648228521</v>
      </c>
      <c r="V24">
        <v>141.47930739667089</v>
      </c>
    </row>
    <row r="25" spans="1:22" x14ac:dyDescent="0.35">
      <c r="A25" t="s">
        <v>22</v>
      </c>
      <c r="B25">
        <v>1.5115474287266299</v>
      </c>
      <c r="C25">
        <v>1.233553281926191</v>
      </c>
      <c r="D25">
        <v>0.82123203090199581</v>
      </c>
      <c r="E25">
        <v>1.0431505040347699</v>
      </c>
      <c r="F25">
        <v>1.224938967725109</v>
      </c>
      <c r="G25">
        <v>1.630208132190887</v>
      </c>
      <c r="H25">
        <v>1.289316427491229</v>
      </c>
      <c r="I25">
        <v>1.3265735147247431</v>
      </c>
      <c r="J25">
        <v>1.660562324942561</v>
      </c>
      <c r="K25">
        <v>1.3501027111978769</v>
      </c>
      <c r="L25">
        <v>1.6187044765901251</v>
      </c>
      <c r="M25">
        <v>1.858868486389156</v>
      </c>
      <c r="N25">
        <v>2.0363338674829659</v>
      </c>
      <c r="O25">
        <v>1.9841186406489439</v>
      </c>
      <c r="P25">
        <v>1.7916330567462351</v>
      </c>
      <c r="Q25">
        <v>2.0695902931426819</v>
      </c>
      <c r="R25">
        <v>2.2308376607159062</v>
      </c>
      <c r="S25">
        <v>2.0903225090371218</v>
      </c>
      <c r="T25">
        <v>1.964131017039932</v>
      </c>
      <c r="U25">
        <v>2.0667679782363559</v>
      </c>
      <c r="V25">
        <v>2.084863915536459</v>
      </c>
    </row>
    <row r="26" spans="1:22" x14ac:dyDescent="0.35">
      <c r="A26" t="s">
        <v>23</v>
      </c>
      <c r="B26">
        <v>2.148245136565833</v>
      </c>
      <c r="C26">
        <v>2.0306592314042642</v>
      </c>
      <c r="D26">
        <v>1.761424621500016</v>
      </c>
      <c r="E26">
        <v>2.3620674260214578</v>
      </c>
      <c r="F26">
        <v>2.776048146717887</v>
      </c>
      <c r="G26">
        <v>3.022493086726989</v>
      </c>
      <c r="H26">
        <v>3.070155665640887</v>
      </c>
      <c r="I26">
        <v>2.354032472013861</v>
      </c>
      <c r="J26">
        <v>3.0970669062444371</v>
      </c>
      <c r="K26">
        <v>3.8721509723543579</v>
      </c>
      <c r="L26">
        <v>3.9992585898566642</v>
      </c>
      <c r="M26">
        <v>4.096929745411332</v>
      </c>
      <c r="N26">
        <v>4.177602837089907</v>
      </c>
      <c r="O26">
        <v>2.946833984862868</v>
      </c>
      <c r="P26">
        <v>3.082206773173116</v>
      </c>
      <c r="Q26">
        <v>3.5228216293845658</v>
      </c>
      <c r="R26">
        <v>4.6214207439675246</v>
      </c>
      <c r="S26">
        <v>4.2786555499422656</v>
      </c>
      <c r="T26">
        <v>3.98462203850446</v>
      </c>
      <c r="U26">
        <v>3.972360432247994</v>
      </c>
      <c r="V26">
        <v>4.5593916685254898</v>
      </c>
    </row>
    <row r="27" spans="1:22" x14ac:dyDescent="0.35">
      <c r="A27" t="s">
        <v>24</v>
      </c>
      <c r="B27">
        <v>5.2936374092107306</v>
      </c>
      <c r="C27">
        <v>4.8202721965935176</v>
      </c>
      <c r="D27">
        <v>5.3425884541233088</v>
      </c>
      <c r="E27">
        <v>5.5661706682712033</v>
      </c>
      <c r="F27">
        <v>6.2202052561115053</v>
      </c>
      <c r="G27">
        <v>6.5428405285026283</v>
      </c>
      <c r="H27">
        <v>5.7277695866310721</v>
      </c>
      <c r="I27">
        <v>6.001373029155002</v>
      </c>
      <c r="J27">
        <v>6.2080411438656178</v>
      </c>
      <c r="K27">
        <v>6.7893360397493812</v>
      </c>
      <c r="L27">
        <v>5.9907227990279468</v>
      </c>
      <c r="M27">
        <v>5.7387810664752559</v>
      </c>
      <c r="N27">
        <v>5.1065572325564634</v>
      </c>
      <c r="O27">
        <v>5.3484440138847988</v>
      </c>
      <c r="P27">
        <v>5.2172520772673598</v>
      </c>
      <c r="Q27">
        <v>5.3905286936916923</v>
      </c>
      <c r="R27">
        <v>5.7781771322921864</v>
      </c>
      <c r="S27">
        <v>5.1683993416613312</v>
      </c>
      <c r="T27">
        <v>5.1585567209935617</v>
      </c>
      <c r="U27">
        <v>5.0759836216859338</v>
      </c>
      <c r="V27">
        <v>5.0770865217188899</v>
      </c>
    </row>
    <row r="28" spans="1:22" x14ac:dyDescent="0.35">
      <c r="A28" t="s">
        <v>25</v>
      </c>
      <c r="B28">
        <v>6.8654281610175394E-2</v>
      </c>
      <c r="C28">
        <v>-0.1228043321235667</v>
      </c>
      <c r="D28">
        <v>3.4857358282002482E-2</v>
      </c>
      <c r="E28">
        <v>0.24803633513718559</v>
      </c>
      <c r="F28">
        <v>0.29062065451884189</v>
      </c>
      <c r="G28">
        <v>0.41398896476490482</v>
      </c>
      <c r="H28">
        <v>0.30480541030441588</v>
      </c>
      <c r="I28">
        <v>0.1165039630236239</v>
      </c>
      <c r="J28">
        <v>0.33420422093078522</v>
      </c>
      <c r="K28">
        <v>0.42436822698309901</v>
      </c>
      <c r="L28">
        <v>0.33334888252103839</v>
      </c>
      <c r="M28">
        <v>0.60775068411058641</v>
      </c>
      <c r="N28">
        <v>0.84333886093223132</v>
      </c>
      <c r="O28">
        <v>0.53073500551310959</v>
      </c>
      <c r="P28">
        <v>0.77593181295812108</v>
      </c>
      <c r="Q28">
        <v>0.7731801374363384</v>
      </c>
      <c r="R28">
        <v>1.0975091700408679</v>
      </c>
      <c r="S28">
        <v>0.94639933251119013</v>
      </c>
      <c r="T28">
        <v>1.0247001432003899</v>
      </c>
      <c r="U28">
        <v>0.84369476034510849</v>
      </c>
      <c r="V28">
        <v>0.99746612549549152</v>
      </c>
    </row>
    <row r="29" spans="1:22" x14ac:dyDescent="0.35">
      <c r="A29" t="s">
        <v>26</v>
      </c>
      <c r="B29">
        <v>145.78754226682091</v>
      </c>
      <c r="C29">
        <v>144.4575572014875</v>
      </c>
      <c r="D29">
        <v>144.59469322142891</v>
      </c>
      <c r="E29">
        <v>146.66829544263129</v>
      </c>
      <c r="F29">
        <v>148.42207369343319</v>
      </c>
      <c r="G29">
        <v>149.9813891667211</v>
      </c>
      <c r="H29">
        <v>148.84061813644001</v>
      </c>
      <c r="I29">
        <v>147.9846331887596</v>
      </c>
      <c r="J29">
        <v>150.26633478455449</v>
      </c>
      <c r="K29">
        <v>151.57103085185659</v>
      </c>
      <c r="L29">
        <v>151.46884620132229</v>
      </c>
      <c r="M29">
        <v>153.66955075522819</v>
      </c>
      <c r="N29">
        <v>153.75722112631561</v>
      </c>
      <c r="O29">
        <v>151.6853666273737</v>
      </c>
      <c r="P29">
        <v>151.61716256871611</v>
      </c>
      <c r="Q29">
        <v>152.7867135918726</v>
      </c>
      <c r="R29">
        <v>155.0086177024109</v>
      </c>
      <c r="S29">
        <v>153.6393514800977</v>
      </c>
      <c r="T29">
        <v>153.36272749220299</v>
      </c>
      <c r="U29">
        <v>153.3882332748006</v>
      </c>
      <c r="V29">
        <v>154.1981156279472</v>
      </c>
    </row>
    <row r="30" spans="1:22" x14ac:dyDescent="0.35">
      <c r="A30" t="s">
        <v>27</v>
      </c>
      <c r="B30">
        <v>29229077.82</v>
      </c>
      <c r="C30">
        <v>28704211.25</v>
      </c>
      <c r="D30">
        <v>50928689.460000001</v>
      </c>
      <c r="E30">
        <v>43617937.149999999</v>
      </c>
      <c r="F30">
        <v>37509619.270000003</v>
      </c>
      <c r="G30">
        <v>34174058.520000003</v>
      </c>
      <c r="H30">
        <v>33269283.25</v>
      </c>
      <c r="I30">
        <v>29007287.850000001</v>
      </c>
      <c r="J30">
        <v>27004751.27</v>
      </c>
      <c r="K30">
        <v>28852206.16</v>
      </c>
      <c r="L30">
        <v>19064750.879999999</v>
      </c>
      <c r="M30">
        <v>22918900.57</v>
      </c>
      <c r="N30">
        <v>23856936.02</v>
      </c>
      <c r="O30">
        <v>30556521.399999999</v>
      </c>
      <c r="P30">
        <v>52672958.689999998</v>
      </c>
      <c r="Q30">
        <v>41738202.899999999</v>
      </c>
      <c r="R30">
        <v>38774211.059999987</v>
      </c>
      <c r="S30">
        <v>38016709.469999999</v>
      </c>
      <c r="T30">
        <v>39889590.950000003</v>
      </c>
      <c r="U30">
        <v>34101716.939999998</v>
      </c>
      <c r="V30">
        <v>31569890.41</v>
      </c>
    </row>
    <row r="31" spans="1:22" x14ac:dyDescent="0.35">
      <c r="A31" t="s">
        <v>28</v>
      </c>
      <c r="B31">
        <v>1.4793458507750801</v>
      </c>
      <c r="C31">
        <v>1.5114385239038719</v>
      </c>
      <c r="D31">
        <v>1.47610470772976</v>
      </c>
      <c r="E31">
        <v>1.4614796850034899</v>
      </c>
      <c r="F31">
        <v>1.4203147489973089</v>
      </c>
      <c r="G31">
        <v>1.4008505031528411</v>
      </c>
      <c r="H31">
        <v>1.4510882765812401</v>
      </c>
      <c r="I31">
        <v>1.433827448396092</v>
      </c>
      <c r="J31">
        <v>1.4210591835630779</v>
      </c>
      <c r="K31">
        <v>1.3863354548817179</v>
      </c>
      <c r="L31">
        <v>1.4344916551033531</v>
      </c>
      <c r="M31">
        <v>1.4503855727176069</v>
      </c>
      <c r="N31">
        <v>1.49186504497544</v>
      </c>
      <c r="O31">
        <v>1.4757179506327129</v>
      </c>
      <c r="P31">
        <v>1.4844320029003519</v>
      </c>
      <c r="Q31">
        <v>1.4729442279445499</v>
      </c>
      <c r="R31">
        <v>1.447877053921268</v>
      </c>
      <c r="S31">
        <v>1.4877032613726111</v>
      </c>
      <c r="T31">
        <v>1.488364085046836</v>
      </c>
      <c r="U31">
        <v>1.4939311681497489</v>
      </c>
      <c r="V31">
        <v>1.4938565361672651</v>
      </c>
    </row>
    <row r="32" spans="1:22" x14ac:dyDescent="0.35">
      <c r="A32" t="s">
        <v>29</v>
      </c>
      <c r="B32">
        <v>0.24901922454842609</v>
      </c>
      <c r="C32">
        <v>0.25175434760176518</v>
      </c>
      <c r="D32">
        <v>0.24950203773882851</v>
      </c>
      <c r="E32">
        <v>0.24645662378375449</v>
      </c>
      <c r="F32">
        <v>0.24584827636401649</v>
      </c>
      <c r="G32">
        <v>0.2440858719319299</v>
      </c>
      <c r="H32">
        <v>0.2456456369956512</v>
      </c>
      <c r="I32">
        <v>0.24833565767109109</v>
      </c>
      <c r="J32">
        <v>0.2452256539867031</v>
      </c>
      <c r="K32">
        <v>0.2439375967573843</v>
      </c>
      <c r="L32">
        <v>0.24523787310684231</v>
      </c>
      <c r="M32">
        <v>0.24131784736984879</v>
      </c>
      <c r="N32">
        <v>0.23795230198668241</v>
      </c>
      <c r="O32">
        <v>0.24241807134981269</v>
      </c>
      <c r="P32">
        <v>0.23891525981488401</v>
      </c>
      <c r="Q32">
        <v>0.23895456946519519</v>
      </c>
      <c r="R32">
        <v>0.23432129757084469</v>
      </c>
      <c r="S32">
        <v>0.2364800095355544</v>
      </c>
      <c r="T32">
        <v>0.23536142652570871</v>
      </c>
      <c r="U32">
        <v>0.23794721770935559</v>
      </c>
      <c r="V32">
        <v>0.235750483921493</v>
      </c>
    </row>
    <row r="34" spans="1:22" x14ac:dyDescent="0.35">
      <c r="A34" t="s">
        <v>34</v>
      </c>
      <c r="B34" t="s">
        <v>48</v>
      </c>
      <c r="C34" t="s">
        <v>49</v>
      </c>
      <c r="D34" t="s">
        <v>50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t="s">
        <v>57</v>
      </c>
      <c r="L34" t="s">
        <v>58</v>
      </c>
      <c r="M34" t="s">
        <v>59</v>
      </c>
      <c r="N34" t="s">
        <v>60</v>
      </c>
      <c r="O34" t="s">
        <v>61</v>
      </c>
      <c r="P34" t="s">
        <v>62</v>
      </c>
      <c r="Q34" t="s">
        <v>63</v>
      </c>
      <c r="R34" t="s">
        <v>64</v>
      </c>
      <c r="S34" t="s">
        <v>65</v>
      </c>
      <c r="T34" t="s">
        <v>66</v>
      </c>
      <c r="U34" t="s">
        <v>70</v>
      </c>
      <c r="V34" t="s">
        <v>71</v>
      </c>
    </row>
    <row r="35" spans="1:22" x14ac:dyDescent="0.35">
      <c r="A35" t="s">
        <v>21</v>
      </c>
      <c r="B35">
        <v>136.29760427434559</v>
      </c>
      <c r="C35">
        <v>136.46220924959371</v>
      </c>
      <c r="D35">
        <v>136.9609041136579</v>
      </c>
      <c r="E35">
        <v>138.18725838410501</v>
      </c>
      <c r="F35">
        <v>138.63590561533101</v>
      </c>
      <c r="G35">
        <v>138.10456953651311</v>
      </c>
      <c r="H35">
        <v>138.4857821125446</v>
      </c>
      <c r="I35">
        <v>137.63943630732629</v>
      </c>
      <c r="J35">
        <v>137.98695672742639</v>
      </c>
      <c r="K35">
        <v>137.8761249555609</v>
      </c>
      <c r="L35">
        <v>138.54180811037151</v>
      </c>
      <c r="M35">
        <v>140.2836420790112</v>
      </c>
      <c r="N35">
        <v>140.9409057046129</v>
      </c>
      <c r="O35">
        <v>140.84270790057471</v>
      </c>
      <c r="P35">
        <v>141.1174858727727</v>
      </c>
      <c r="Q35">
        <v>141.54083393714191</v>
      </c>
      <c r="R35">
        <v>141.70634236777059</v>
      </c>
      <c r="S35">
        <v>142.34249659097529</v>
      </c>
      <c r="T35">
        <v>142.27061346957839</v>
      </c>
      <c r="U35">
        <v>142.6429675584545</v>
      </c>
      <c r="V35">
        <v>143.80178045906911</v>
      </c>
    </row>
    <row r="36" spans="1:22" x14ac:dyDescent="0.35">
      <c r="A36" t="s">
        <v>22</v>
      </c>
      <c r="B36">
        <v>2.0847443397750278</v>
      </c>
      <c r="C36">
        <v>2.121713464358407</v>
      </c>
      <c r="D36">
        <v>1.415777739536082</v>
      </c>
      <c r="E36">
        <v>1.029701186736673</v>
      </c>
      <c r="F36">
        <v>1.6709415709649991</v>
      </c>
      <c r="G36">
        <v>1.9513403317334621</v>
      </c>
      <c r="H36">
        <v>1.9125456208967651</v>
      </c>
      <c r="I36">
        <v>2.1053961154962622</v>
      </c>
      <c r="J36">
        <v>2.3644807192563628</v>
      </c>
      <c r="K36">
        <v>0.95418483269546073</v>
      </c>
      <c r="L36">
        <v>0.71267748266078002</v>
      </c>
      <c r="M36">
        <v>1.2436686692300329</v>
      </c>
      <c r="N36">
        <v>1.7385209396625501</v>
      </c>
      <c r="O36">
        <v>1.5830091831885511</v>
      </c>
      <c r="P36">
        <v>1.437818650831957</v>
      </c>
      <c r="Q36">
        <v>1.627548971497419</v>
      </c>
      <c r="R36">
        <v>1.758628922189416</v>
      </c>
      <c r="S36">
        <v>2.0937937663952941</v>
      </c>
      <c r="T36">
        <v>1.714433775414562</v>
      </c>
      <c r="U36">
        <v>2.4500580579898208</v>
      </c>
      <c r="V36">
        <v>2.8526386384533851</v>
      </c>
    </row>
    <row r="37" spans="1:22" x14ac:dyDescent="0.35">
      <c r="A37" t="s">
        <v>23</v>
      </c>
      <c r="B37">
        <v>3.2549506790576439</v>
      </c>
      <c r="C37">
        <v>3.334420863207908</v>
      </c>
      <c r="D37">
        <v>1.4040831989869511</v>
      </c>
      <c r="E37">
        <v>1.357364967256917</v>
      </c>
      <c r="F37">
        <v>1.376870563705745</v>
      </c>
      <c r="G37">
        <v>2.359297751700514</v>
      </c>
      <c r="H37">
        <v>2.8156878242368268</v>
      </c>
      <c r="I37">
        <v>1.7728814663087611</v>
      </c>
      <c r="J37">
        <v>2.5445227379458761</v>
      </c>
      <c r="K37">
        <v>2.6378386451792322</v>
      </c>
      <c r="L37">
        <v>2.64838490064251</v>
      </c>
      <c r="M37">
        <v>3.0440844883961908</v>
      </c>
      <c r="N37">
        <v>1.5852029577199971</v>
      </c>
      <c r="O37">
        <v>1.2541356553887371</v>
      </c>
      <c r="P37">
        <v>0.82793514396156476</v>
      </c>
      <c r="Q37">
        <v>0.5490911258738046</v>
      </c>
      <c r="R37">
        <v>0.53073973137091013</v>
      </c>
      <c r="S37">
        <v>0.1052771590177654</v>
      </c>
      <c r="T37">
        <v>-0.26808866073455268</v>
      </c>
      <c r="U37">
        <v>0.32710926451416728</v>
      </c>
      <c r="V37">
        <v>0.1542363907746164</v>
      </c>
    </row>
    <row r="38" spans="1:22" x14ac:dyDescent="0.35">
      <c r="A38" t="s">
        <v>24</v>
      </c>
      <c r="B38">
        <v>1.0735580683391299</v>
      </c>
      <c r="C38">
        <v>0.71061916304390316</v>
      </c>
      <c r="D38">
        <v>0.78916718862356472</v>
      </c>
      <c r="E38">
        <v>0.28920704976806538</v>
      </c>
      <c r="F38">
        <v>0.3600273810590271</v>
      </c>
      <c r="G38">
        <v>0.54372531551574732</v>
      </c>
      <c r="H38">
        <v>0.35418020403435141</v>
      </c>
      <c r="I38">
        <v>0.36738062952410622</v>
      </c>
      <c r="J38">
        <v>0.46839752329339812</v>
      </c>
      <c r="K38">
        <v>0.59282752428646668</v>
      </c>
      <c r="L38">
        <v>0.60689817551317904</v>
      </c>
      <c r="M38">
        <v>0.1115611537117616</v>
      </c>
      <c r="N38">
        <v>-0.46500220190621577</v>
      </c>
      <c r="O38">
        <v>-8.4071442165114529E-3</v>
      </c>
      <c r="P38">
        <v>-0.23224055847702529</v>
      </c>
      <c r="Q38">
        <v>-0.49702664339923452</v>
      </c>
      <c r="R38">
        <v>-0.28875864469415441</v>
      </c>
      <c r="S38">
        <v>-0.27323098262846202</v>
      </c>
      <c r="T38">
        <v>-0.78884759560841544</v>
      </c>
      <c r="U38">
        <v>-0.49384742724940051</v>
      </c>
      <c r="V38">
        <v>-0.87627211270059246</v>
      </c>
    </row>
    <row r="39" spans="1:22" x14ac:dyDescent="0.35">
      <c r="A39" t="s">
        <v>25</v>
      </c>
      <c r="B39">
        <v>-0.46572001518278999</v>
      </c>
      <c r="C39">
        <v>-0.30141679220056422</v>
      </c>
      <c r="D39">
        <v>-0.51036508209646614</v>
      </c>
      <c r="E39">
        <v>-0.47089861333617972</v>
      </c>
      <c r="F39">
        <v>-0.51269777589642351</v>
      </c>
      <c r="G39">
        <v>-0.56986390415944832</v>
      </c>
      <c r="H39">
        <v>-0.65552912577760025</v>
      </c>
      <c r="I39">
        <v>-0.45399754123740688</v>
      </c>
      <c r="J39">
        <v>-0.46232863930665191</v>
      </c>
      <c r="K39">
        <v>-0.50882924884749126</v>
      </c>
      <c r="L39">
        <v>-0.39948752989919573</v>
      </c>
      <c r="M39">
        <v>-0.54869921200707905</v>
      </c>
      <c r="N39">
        <v>-0.57764165419783187</v>
      </c>
      <c r="O39">
        <v>-0.48232709439872867</v>
      </c>
      <c r="P39">
        <v>-0.29466180402655667</v>
      </c>
      <c r="Q39">
        <v>-0.17645223111772271</v>
      </c>
      <c r="R39">
        <v>-0.44047773754927411</v>
      </c>
      <c r="S39">
        <v>-0.29349783849776567</v>
      </c>
      <c r="T39">
        <v>-0.5019929368126208</v>
      </c>
      <c r="U39">
        <v>-0.64271540766909996</v>
      </c>
      <c r="V39">
        <v>-0.60236491068490183</v>
      </c>
    </row>
    <row r="40" spans="1:22" x14ac:dyDescent="0.35">
      <c r="A40" t="s">
        <v>26</v>
      </c>
      <c r="B40">
        <v>142.24513734633459</v>
      </c>
      <c r="C40">
        <v>142.32754594800329</v>
      </c>
      <c r="D40">
        <v>140.05956715870809</v>
      </c>
      <c r="E40">
        <v>140.3926329745305</v>
      </c>
      <c r="F40">
        <v>141.5310473551643</v>
      </c>
      <c r="G40">
        <v>142.38906903130339</v>
      </c>
      <c r="H40">
        <v>142.91266663593501</v>
      </c>
      <c r="I40">
        <v>141.43109697741801</v>
      </c>
      <c r="J40">
        <v>142.90202906861529</v>
      </c>
      <c r="K40">
        <v>141.5521467088746</v>
      </c>
      <c r="L40">
        <v>142.11028113928879</v>
      </c>
      <c r="M40">
        <v>144.1342571783421</v>
      </c>
      <c r="N40">
        <v>143.2219857458914</v>
      </c>
      <c r="O40">
        <v>143.18911850053669</v>
      </c>
      <c r="P40">
        <v>142.85633730506271</v>
      </c>
      <c r="Q40">
        <v>143.0439951599962</v>
      </c>
      <c r="R40">
        <v>143.26647463908751</v>
      </c>
      <c r="S40">
        <v>143.97483869526209</v>
      </c>
      <c r="T40">
        <v>142.42611805183739</v>
      </c>
      <c r="U40">
        <v>144.28357204604001</v>
      </c>
      <c r="V40">
        <v>145.3300184649116</v>
      </c>
    </row>
    <row r="41" spans="1:22" x14ac:dyDescent="0.35">
      <c r="A41" t="s">
        <v>27</v>
      </c>
      <c r="B41">
        <v>10338839.33</v>
      </c>
      <c r="C41">
        <v>11568097.539999999</v>
      </c>
      <c r="D41">
        <v>21544150.359999999</v>
      </c>
      <c r="E41">
        <v>14690857.789999999</v>
      </c>
      <c r="F41">
        <v>13097759.619999999</v>
      </c>
      <c r="G41">
        <v>12138089.550000001</v>
      </c>
      <c r="H41">
        <v>12341720.619999999</v>
      </c>
      <c r="I41">
        <v>14023960.710000001</v>
      </c>
      <c r="J41">
        <v>16268241.57</v>
      </c>
      <c r="K41">
        <v>16171908.59</v>
      </c>
      <c r="L41">
        <v>13413464.140000001</v>
      </c>
      <c r="M41">
        <v>13425760.220000001</v>
      </c>
      <c r="N41">
        <v>12367358.27</v>
      </c>
      <c r="O41">
        <v>19125484.43</v>
      </c>
      <c r="P41">
        <v>30391573.989999998</v>
      </c>
      <c r="Q41">
        <v>20947460.09</v>
      </c>
      <c r="R41">
        <v>17281542.120000001</v>
      </c>
      <c r="S41">
        <v>14943408.119999999</v>
      </c>
      <c r="T41">
        <v>14633499.640000001</v>
      </c>
      <c r="U41">
        <v>9744764.7699999996</v>
      </c>
      <c r="V41">
        <v>9440069.1799999997</v>
      </c>
    </row>
    <row r="42" spans="1:22" x14ac:dyDescent="0.35">
      <c r="A42" t="s">
        <v>28</v>
      </c>
      <c r="B42">
        <v>1.3638709050422859</v>
      </c>
      <c r="C42">
        <v>1.391820340840271</v>
      </c>
      <c r="D42">
        <v>1.3856747614224481</v>
      </c>
      <c r="E42">
        <v>1.4257449707811021</v>
      </c>
      <c r="F42">
        <v>1.4199286359936749</v>
      </c>
      <c r="G42">
        <v>1.4050607585721511</v>
      </c>
      <c r="H42">
        <v>1.420407055256323</v>
      </c>
      <c r="I42">
        <v>1.4193274464253769</v>
      </c>
      <c r="J42">
        <v>1.4111197072960029</v>
      </c>
      <c r="K42">
        <v>1.401139183907264</v>
      </c>
      <c r="L42">
        <v>1.4000194556859551</v>
      </c>
      <c r="M42">
        <v>1.4405465274951279</v>
      </c>
      <c r="N42">
        <v>1.4907773379227029</v>
      </c>
      <c r="O42">
        <v>1.4507174347465479</v>
      </c>
      <c r="P42">
        <v>1.4700831131294601</v>
      </c>
      <c r="Q42">
        <v>1.493670229440238</v>
      </c>
      <c r="R42">
        <v>1.475054992977741</v>
      </c>
      <c r="S42">
        <v>1.4736856815802151</v>
      </c>
      <c r="T42">
        <v>1.520558155589379</v>
      </c>
      <c r="U42">
        <v>1.493382536684762</v>
      </c>
      <c r="V42">
        <v>1.528802778879486</v>
      </c>
    </row>
    <row r="43" spans="1:22" x14ac:dyDescent="0.35">
      <c r="A43" t="s">
        <v>29</v>
      </c>
      <c r="B43">
        <v>0.24165314307403979</v>
      </c>
      <c r="C43">
        <v>0.23930595417429379</v>
      </c>
      <c r="D43">
        <v>0.24229092974423519</v>
      </c>
      <c r="E43">
        <v>0.2417271230476597</v>
      </c>
      <c r="F43">
        <v>0.24232425394137749</v>
      </c>
      <c r="G43">
        <v>0.24314091291656351</v>
      </c>
      <c r="H43">
        <v>0.24436470179682279</v>
      </c>
      <c r="I43">
        <v>0.2414856791605344</v>
      </c>
      <c r="J43">
        <v>0.2416046948472379</v>
      </c>
      <c r="K43">
        <v>0.24226898926924989</v>
      </c>
      <c r="L43">
        <v>0.24070696471284561</v>
      </c>
      <c r="M43">
        <v>0.24283856017152969</v>
      </c>
      <c r="N43">
        <v>0.24325202363139761</v>
      </c>
      <c r="O43">
        <v>0.241890387062839</v>
      </c>
      <c r="P43">
        <v>0.23920945434323651</v>
      </c>
      <c r="Q43">
        <v>0.2375207461588246</v>
      </c>
      <c r="R43">
        <v>0.24129253910784679</v>
      </c>
      <c r="S43">
        <v>0.23919282626425381</v>
      </c>
      <c r="T43">
        <v>0.24217132766875171</v>
      </c>
      <c r="U43">
        <v>0.2441816486809871</v>
      </c>
      <c r="V43">
        <v>0.2436052130097843</v>
      </c>
    </row>
    <row r="45" spans="1:22" x14ac:dyDescent="0.35">
      <c r="A45" t="s">
        <v>35</v>
      </c>
      <c r="B45" t="s">
        <v>48</v>
      </c>
      <c r="C45" t="s">
        <v>49</v>
      </c>
      <c r="D45" t="s">
        <v>50</v>
      </c>
      <c r="E45" t="s">
        <v>51</v>
      </c>
      <c r="F45" t="s">
        <v>52</v>
      </c>
      <c r="G45" t="s">
        <v>53</v>
      </c>
      <c r="H45" t="s">
        <v>54</v>
      </c>
      <c r="I45" t="s">
        <v>55</v>
      </c>
      <c r="J45" t="s">
        <v>56</v>
      </c>
      <c r="K45" t="s">
        <v>57</v>
      </c>
      <c r="L45" t="s">
        <v>58</v>
      </c>
      <c r="M45" t="s">
        <v>59</v>
      </c>
      <c r="N45" t="s">
        <v>60</v>
      </c>
      <c r="O45" t="s">
        <v>61</v>
      </c>
      <c r="P45" t="s">
        <v>62</v>
      </c>
      <c r="Q45" t="s">
        <v>63</v>
      </c>
      <c r="R45" t="s">
        <v>64</v>
      </c>
      <c r="S45" t="s">
        <v>65</v>
      </c>
      <c r="T45" t="s">
        <v>66</v>
      </c>
      <c r="U45" t="s">
        <v>70</v>
      </c>
      <c r="V45" t="s">
        <v>71</v>
      </c>
    </row>
    <row r="46" spans="1:22" x14ac:dyDescent="0.35">
      <c r="A46" t="s">
        <v>21</v>
      </c>
      <c r="B46">
        <v>134.36428329235119</v>
      </c>
      <c r="C46">
        <v>134.03043325043319</v>
      </c>
      <c r="D46">
        <v>135.01082013108359</v>
      </c>
      <c r="E46">
        <v>136.09272166002839</v>
      </c>
      <c r="F46">
        <v>136.37059792706319</v>
      </c>
      <c r="G46">
        <v>136.8923781864508</v>
      </c>
      <c r="H46">
        <v>137.17727947788671</v>
      </c>
      <c r="I46">
        <v>137.004396017923</v>
      </c>
      <c r="J46">
        <v>136.7968899413944</v>
      </c>
      <c r="K46">
        <v>136.93947473087951</v>
      </c>
      <c r="L46">
        <v>136.85220404335959</v>
      </c>
      <c r="M46">
        <v>137.94895532856131</v>
      </c>
      <c r="N46">
        <v>139.5511416970518</v>
      </c>
      <c r="O46">
        <v>139.650374971064</v>
      </c>
      <c r="P46">
        <v>140.14787275293409</v>
      </c>
      <c r="Q46">
        <v>140.4932955574796</v>
      </c>
      <c r="R46">
        <v>141.8914668568255</v>
      </c>
      <c r="S46">
        <v>144.0745300312725</v>
      </c>
      <c r="T46">
        <v>144.7910778711163</v>
      </c>
      <c r="U46">
        <v>145.5669771044256</v>
      </c>
      <c r="V46">
        <v>145.86111882191901</v>
      </c>
    </row>
    <row r="47" spans="1:22" x14ac:dyDescent="0.35">
      <c r="A47" t="s">
        <v>22</v>
      </c>
      <c r="B47">
        <v>-1.2283594686994379</v>
      </c>
      <c r="C47">
        <v>-1.604170365636548</v>
      </c>
      <c r="D47">
        <v>-2.032143067925404</v>
      </c>
      <c r="E47">
        <v>-1.2503013190262779</v>
      </c>
      <c r="F47">
        <v>-0.714354936941902</v>
      </c>
      <c r="G47">
        <v>-0.23129847556995739</v>
      </c>
      <c r="H47">
        <v>-0.67601324158832199</v>
      </c>
      <c r="I47">
        <v>-1.252090985610181</v>
      </c>
      <c r="J47">
        <v>-1.0636309288147461</v>
      </c>
      <c r="K47">
        <v>-0.55485317716295413</v>
      </c>
      <c r="L47">
        <v>-0.2605466054964154</v>
      </c>
      <c r="M47">
        <v>-0.13870295713323341</v>
      </c>
      <c r="N47">
        <v>0.18919254773558691</v>
      </c>
      <c r="O47">
        <v>-0.1114179970595046</v>
      </c>
      <c r="P47">
        <v>-0.6873359788591813</v>
      </c>
      <c r="Q47">
        <v>-0.55980815441571963</v>
      </c>
      <c r="R47">
        <v>-0.55507980939248114</v>
      </c>
      <c r="S47">
        <v>-0.48711416002907981</v>
      </c>
      <c r="T47">
        <v>-0.42715247721667993</v>
      </c>
      <c r="U47">
        <v>-0.25181853858924802</v>
      </c>
      <c r="V47">
        <v>-6.941690920371002E-2</v>
      </c>
    </row>
    <row r="48" spans="1:22" x14ac:dyDescent="0.35">
      <c r="A48" t="s">
        <v>23</v>
      </c>
      <c r="B48">
        <v>4.1496093966605301</v>
      </c>
      <c r="C48">
        <v>4.5874226013255868</v>
      </c>
      <c r="D48">
        <v>3.46566644267824</v>
      </c>
      <c r="E48">
        <v>2.4434271913948589</v>
      </c>
      <c r="F48">
        <v>2.927373332496503</v>
      </c>
      <c r="G48">
        <v>3.0618635152896458</v>
      </c>
      <c r="H48">
        <v>3.0072394503209332</v>
      </c>
      <c r="I48">
        <v>2.869693080259025</v>
      </c>
      <c r="J48">
        <v>3.0256798153133739</v>
      </c>
      <c r="K48">
        <v>3.6057768274427509</v>
      </c>
      <c r="L48">
        <v>3.920292003800331</v>
      </c>
      <c r="M48">
        <v>4.5447673170044576</v>
      </c>
      <c r="N48">
        <v>3.1707396354568891</v>
      </c>
      <c r="O48">
        <v>3.183361880905518</v>
      </c>
      <c r="P48">
        <v>2.7886432942000532</v>
      </c>
      <c r="Q48">
        <v>2.179775192558298</v>
      </c>
      <c r="R48">
        <v>1.131678482724384</v>
      </c>
      <c r="S48">
        <v>0.54614634752069346</v>
      </c>
      <c r="T48">
        <v>-0.32558064116614482</v>
      </c>
      <c r="U48">
        <v>-1.333413926585882</v>
      </c>
      <c r="V48">
        <v>-1.3090376183638599</v>
      </c>
    </row>
    <row r="49" spans="1:22" x14ac:dyDescent="0.35">
      <c r="A49" t="s">
        <v>24</v>
      </c>
      <c r="B49">
        <v>1.2207782028247629</v>
      </c>
      <c r="C49">
        <v>1.402996430927991</v>
      </c>
      <c r="D49">
        <v>1.7532831274052441</v>
      </c>
      <c r="E49">
        <v>1.789529306624444</v>
      </c>
      <c r="F49">
        <v>2.0353909161904542</v>
      </c>
      <c r="G49">
        <v>1.988542750024207</v>
      </c>
      <c r="H49">
        <v>1.8775045541680699</v>
      </c>
      <c r="I49">
        <v>1.839563961507285</v>
      </c>
      <c r="J49">
        <v>1.829141291391555</v>
      </c>
      <c r="K49">
        <v>1.912962783913742</v>
      </c>
      <c r="L49">
        <v>1.801875150708957</v>
      </c>
      <c r="M49">
        <v>1.271531253222097</v>
      </c>
      <c r="N49">
        <v>1.2385118029466919</v>
      </c>
      <c r="O49">
        <v>1.361783728161249</v>
      </c>
      <c r="P49">
        <v>1.7799351911762651</v>
      </c>
      <c r="Q49">
        <v>1.86908931141388</v>
      </c>
      <c r="R49">
        <v>1.961077621487693</v>
      </c>
      <c r="S49">
        <v>1.47355463489293</v>
      </c>
      <c r="T49">
        <v>1.3475160918740201</v>
      </c>
      <c r="U49">
        <v>1.6037157092882111</v>
      </c>
      <c r="V49">
        <v>2.198655952024597</v>
      </c>
    </row>
    <row r="50" spans="1:22" x14ac:dyDescent="0.35">
      <c r="A50" t="s">
        <v>25</v>
      </c>
      <c r="B50">
        <v>-0.19157208768097289</v>
      </c>
      <c r="C50">
        <v>-0.21915980175881811</v>
      </c>
      <c r="D50">
        <v>-0.26016234600327542</v>
      </c>
      <c r="E50">
        <v>-0.1432872943581642</v>
      </c>
      <c r="F50">
        <v>-0.17703763858216229</v>
      </c>
      <c r="G50">
        <v>-0.23404375152464879</v>
      </c>
      <c r="H50">
        <v>-0.24190845877709949</v>
      </c>
      <c r="I50">
        <v>-0.1707350117025655</v>
      </c>
      <c r="J50">
        <v>-0.16039278947698629</v>
      </c>
      <c r="K50">
        <v>-0.17358391233358361</v>
      </c>
      <c r="L50">
        <v>-0.1081127515810673</v>
      </c>
      <c r="M50">
        <v>-0.26644132432141232</v>
      </c>
      <c r="N50">
        <v>-0.10613986551782061</v>
      </c>
      <c r="O50">
        <v>-0.2022881484111963</v>
      </c>
      <c r="P50">
        <v>-0.16327198012711819</v>
      </c>
      <c r="Q50">
        <v>-0.1012741240132797</v>
      </c>
      <c r="R50">
        <v>-7.0917937077019377E-2</v>
      </c>
      <c r="S50">
        <v>-0.11307278217767699</v>
      </c>
      <c r="T50">
        <v>-0.36425744801673571</v>
      </c>
      <c r="U50">
        <v>-0.39499603270446848</v>
      </c>
      <c r="V50">
        <v>-0.10637080868571371</v>
      </c>
    </row>
    <row r="51" spans="1:22" x14ac:dyDescent="0.35">
      <c r="A51" t="s">
        <v>26</v>
      </c>
      <c r="B51">
        <v>138.3147393354561</v>
      </c>
      <c r="C51">
        <v>138.19752211529141</v>
      </c>
      <c r="D51">
        <v>137.93746428723841</v>
      </c>
      <c r="E51">
        <v>138.9320895446632</v>
      </c>
      <c r="F51">
        <v>140.44196960022609</v>
      </c>
      <c r="G51">
        <v>141.47744222467</v>
      </c>
      <c r="H51">
        <v>141.1441017820103</v>
      </c>
      <c r="I51">
        <v>140.29082706237651</v>
      </c>
      <c r="J51">
        <v>140.42768732980761</v>
      </c>
      <c r="K51">
        <v>141.7297772527395</v>
      </c>
      <c r="L51">
        <v>142.20571184079139</v>
      </c>
      <c r="M51">
        <v>143.36010961733311</v>
      </c>
      <c r="N51">
        <v>144.04344581767319</v>
      </c>
      <c r="O51">
        <v>143.88181443465999</v>
      </c>
      <c r="P51">
        <v>143.86584327932411</v>
      </c>
      <c r="Q51">
        <v>143.8810777830227</v>
      </c>
      <c r="R51">
        <v>144.35822521456811</v>
      </c>
      <c r="S51">
        <v>145.49404407147941</v>
      </c>
      <c r="T51">
        <v>145.02160339659079</v>
      </c>
      <c r="U51">
        <v>145.1904643158343</v>
      </c>
      <c r="V51">
        <v>146.57494943769041</v>
      </c>
    </row>
    <row r="52" spans="1:22" x14ac:dyDescent="0.35">
      <c r="A52" t="s">
        <v>27</v>
      </c>
      <c r="B52">
        <v>38452559.130000003</v>
      </c>
      <c r="C52">
        <v>41691974.539999999</v>
      </c>
      <c r="D52">
        <v>70978039.359999985</v>
      </c>
      <c r="E52">
        <v>53071976.030000001</v>
      </c>
      <c r="F52">
        <v>39675697.229999997</v>
      </c>
      <c r="G52">
        <v>37422826.590000004</v>
      </c>
      <c r="H52">
        <v>39053427.369999997</v>
      </c>
      <c r="I52">
        <v>33437034.600000001</v>
      </c>
      <c r="J52">
        <v>36195578.530000001</v>
      </c>
      <c r="K52">
        <v>38482419.890000001</v>
      </c>
      <c r="L52">
        <v>27220312.309999999</v>
      </c>
      <c r="M52">
        <v>25710349.010000002</v>
      </c>
      <c r="N52">
        <v>27176409.02</v>
      </c>
      <c r="O52">
        <v>26545115.27</v>
      </c>
      <c r="P52">
        <v>42828165.989999987</v>
      </c>
      <c r="Q52">
        <v>26319309.84</v>
      </c>
      <c r="R52">
        <v>17392589.59</v>
      </c>
      <c r="S52">
        <v>16770443.52</v>
      </c>
      <c r="T52">
        <v>15961965.34</v>
      </c>
      <c r="U52">
        <v>13992728.68</v>
      </c>
      <c r="V52">
        <v>13147779.24</v>
      </c>
    </row>
    <row r="53" spans="1:22" x14ac:dyDescent="0.35">
      <c r="A53" t="s">
        <v>28</v>
      </c>
      <c r="B53">
        <v>1.35285110908043</v>
      </c>
      <c r="C53">
        <v>1.339455783329573</v>
      </c>
      <c r="D53">
        <v>1.314436508665384</v>
      </c>
      <c r="E53">
        <v>1.3119008782891319</v>
      </c>
      <c r="F53">
        <v>1.294956332051687</v>
      </c>
      <c r="G53">
        <v>1.298151223319576</v>
      </c>
      <c r="H53">
        <v>1.3057869979195631</v>
      </c>
      <c r="I53">
        <v>1.308416694269809</v>
      </c>
      <c r="J53">
        <v>1.3091409543604451</v>
      </c>
      <c r="K53">
        <v>1.3033388941560149</v>
      </c>
      <c r="L53">
        <v>1.311039446992101</v>
      </c>
      <c r="M53">
        <v>1.349093278411085</v>
      </c>
      <c r="N53">
        <v>1.3515357100581771</v>
      </c>
      <c r="O53">
        <v>1.3424621684327209</v>
      </c>
      <c r="P53">
        <v>1.31257108978639</v>
      </c>
      <c r="Q53">
        <v>1.3063693532410841</v>
      </c>
      <c r="R53">
        <v>1.3000315958870039</v>
      </c>
      <c r="S53">
        <v>1.3343398434777121</v>
      </c>
      <c r="T53">
        <v>1.3435061114848841</v>
      </c>
      <c r="U53">
        <v>1.3250041220363891</v>
      </c>
      <c r="V53">
        <v>1.2839440459580991</v>
      </c>
    </row>
    <row r="54" spans="1:22" x14ac:dyDescent="0.35">
      <c r="A54" t="s">
        <v>29</v>
      </c>
      <c r="B54">
        <v>0.2377367441097282</v>
      </c>
      <c r="C54">
        <v>0.23813085431084019</v>
      </c>
      <c r="D54">
        <v>0.23871660494290389</v>
      </c>
      <c r="E54">
        <v>0.23704696134797379</v>
      </c>
      <c r="F54">
        <v>0.23752910912260231</v>
      </c>
      <c r="G54">
        <v>0.2383434821646378</v>
      </c>
      <c r="H54">
        <v>0.23845583512538709</v>
      </c>
      <c r="I54">
        <v>0.23743907159575089</v>
      </c>
      <c r="J54">
        <v>0.23729132556395691</v>
      </c>
      <c r="K54">
        <v>0.23747977017619401</v>
      </c>
      <c r="L54">
        <v>0.23654446787972949</v>
      </c>
      <c r="M54">
        <v>0.23880630463316299</v>
      </c>
      <c r="N54">
        <v>0.23651628379311171</v>
      </c>
      <c r="O54">
        <v>0.23788983069158851</v>
      </c>
      <c r="P54">
        <v>0.23733245685895879</v>
      </c>
      <c r="Q54">
        <v>0.2364467732001897</v>
      </c>
      <c r="R54">
        <v>0.23601311338681449</v>
      </c>
      <c r="S54">
        <v>0.23661532545968109</v>
      </c>
      <c r="T54">
        <v>0.2402036778288105</v>
      </c>
      <c r="U54">
        <v>0.24064280046720671</v>
      </c>
      <c r="V54">
        <v>0.2365195829812245</v>
      </c>
    </row>
    <row r="56" spans="1:22" x14ac:dyDescent="0.35">
      <c r="A56" t="s">
        <v>36</v>
      </c>
      <c r="B56" t="s">
        <v>48</v>
      </c>
      <c r="C56" t="s">
        <v>49</v>
      </c>
      <c r="D56" t="s">
        <v>50</v>
      </c>
      <c r="E56" t="s">
        <v>51</v>
      </c>
      <c r="F56" t="s">
        <v>52</v>
      </c>
      <c r="G56" t="s">
        <v>53</v>
      </c>
      <c r="H56" t="s">
        <v>54</v>
      </c>
      <c r="I56" t="s">
        <v>55</v>
      </c>
      <c r="J56" t="s">
        <v>56</v>
      </c>
      <c r="K56" t="s">
        <v>57</v>
      </c>
      <c r="L56" t="s">
        <v>58</v>
      </c>
      <c r="M56" t="s">
        <v>59</v>
      </c>
      <c r="N56" t="s">
        <v>60</v>
      </c>
      <c r="O56" t="s">
        <v>61</v>
      </c>
      <c r="P56" t="s">
        <v>62</v>
      </c>
      <c r="Q56" t="s">
        <v>63</v>
      </c>
      <c r="R56" t="s">
        <v>64</v>
      </c>
      <c r="S56" t="s">
        <v>65</v>
      </c>
      <c r="T56" t="s">
        <v>66</v>
      </c>
      <c r="U56" t="s">
        <v>70</v>
      </c>
      <c r="V56" t="s">
        <v>71</v>
      </c>
    </row>
    <row r="57" spans="1:22" x14ac:dyDescent="0.35">
      <c r="A57" t="s">
        <v>21</v>
      </c>
      <c r="B57">
        <v>140.00187422513321</v>
      </c>
      <c r="C57">
        <v>139.58231385995111</v>
      </c>
      <c r="D57">
        <v>139.69243477931039</v>
      </c>
      <c r="E57">
        <v>139.81185596064211</v>
      </c>
      <c r="F57">
        <v>139.80736887266229</v>
      </c>
      <c r="G57">
        <v>139.99039728109071</v>
      </c>
      <c r="H57">
        <v>140.13812276144949</v>
      </c>
      <c r="I57">
        <v>139.74641615198391</v>
      </c>
      <c r="J57">
        <v>139.852726401778</v>
      </c>
      <c r="K57">
        <v>140.1900219815582</v>
      </c>
      <c r="L57">
        <v>140.75184859632171</v>
      </c>
      <c r="M57">
        <v>141.8630778429746</v>
      </c>
      <c r="N57">
        <v>141.74660826253341</v>
      </c>
      <c r="O57">
        <v>142.07628750630369</v>
      </c>
      <c r="P57">
        <v>142.44616016064541</v>
      </c>
      <c r="Q57">
        <v>142.9128287488243</v>
      </c>
      <c r="R57">
        <v>142.98220859294011</v>
      </c>
      <c r="S57">
        <v>142.94548344593511</v>
      </c>
      <c r="T57">
        <v>143.2970837804919</v>
      </c>
      <c r="U57">
        <v>143.92994406619269</v>
      </c>
      <c r="V57">
        <v>143.93743836952129</v>
      </c>
    </row>
    <row r="58" spans="1:22" x14ac:dyDescent="0.35">
      <c r="A58" t="s">
        <v>22</v>
      </c>
      <c r="B58">
        <v>0.93976127727756875</v>
      </c>
      <c r="C58">
        <v>0.51836653158176205</v>
      </c>
      <c r="D58">
        <v>0.40900348827324251</v>
      </c>
      <c r="E58">
        <v>1.467693648174873</v>
      </c>
      <c r="F58">
        <v>1.9116408221852339</v>
      </c>
      <c r="G58">
        <v>1.971805558525602</v>
      </c>
      <c r="H58">
        <v>1.854883124724068</v>
      </c>
      <c r="I58">
        <v>0.95891655034679957</v>
      </c>
      <c r="J58">
        <v>1.042468056890272</v>
      </c>
      <c r="K58">
        <v>1.561155529481709</v>
      </c>
      <c r="L58">
        <v>1.293023022633236</v>
      </c>
      <c r="M58">
        <v>1.1413545166786889</v>
      </c>
      <c r="N58">
        <v>0.76208033141725195</v>
      </c>
      <c r="O58">
        <v>0.28401957055305621</v>
      </c>
      <c r="P58">
        <v>0.15154009626945711</v>
      </c>
      <c r="Q58">
        <v>0.41760444137068481</v>
      </c>
      <c r="R58">
        <v>0.3577656353481018</v>
      </c>
      <c r="S58">
        <v>0.16061236547733421</v>
      </c>
      <c r="T58">
        <v>0.26844787748541421</v>
      </c>
      <c r="U58">
        <v>0.33205766053114871</v>
      </c>
      <c r="V58">
        <v>0.2057208464387088</v>
      </c>
    </row>
    <row r="59" spans="1:22" x14ac:dyDescent="0.35">
      <c r="A59" t="s">
        <v>23</v>
      </c>
      <c r="B59">
        <v>-0.57781159803969206</v>
      </c>
      <c r="C59">
        <v>-0.63186071137569522</v>
      </c>
      <c r="D59">
        <v>-0.44428776813724219</v>
      </c>
      <c r="E59">
        <v>-0.31753584977953458</v>
      </c>
      <c r="F59">
        <v>0.28041782971521828</v>
      </c>
      <c r="G59">
        <v>0.49185668218447859</v>
      </c>
      <c r="H59">
        <v>0.54938003699436366</v>
      </c>
      <c r="I59">
        <v>0.80246477402382832</v>
      </c>
      <c r="J59">
        <v>0.57228720847883507</v>
      </c>
      <c r="K59">
        <v>0.73900786137892049</v>
      </c>
      <c r="L59">
        <v>0.65729962521182561</v>
      </c>
      <c r="M59">
        <v>1.4515096578075839</v>
      </c>
      <c r="N59">
        <v>1.0032434742215151</v>
      </c>
      <c r="O59">
        <v>0.68947528489664156</v>
      </c>
      <c r="P59">
        <v>0.81194331358469507</v>
      </c>
      <c r="Q59">
        <v>1.165643328263942</v>
      </c>
      <c r="R59">
        <v>1.1084395277983821</v>
      </c>
      <c r="S59">
        <v>0.57517054564110526</v>
      </c>
      <c r="T59">
        <v>0.74446614939350098</v>
      </c>
      <c r="U59">
        <v>0.84513984725535829</v>
      </c>
      <c r="V59">
        <v>0.57767435082303453</v>
      </c>
    </row>
    <row r="60" spans="1:22" x14ac:dyDescent="0.35">
      <c r="A60" t="s">
        <v>24</v>
      </c>
      <c r="B60">
        <v>-1.4528219152995701</v>
      </c>
      <c r="C60">
        <v>-0.52069732748770636</v>
      </c>
      <c r="D60">
        <v>-0.50989008563823912</v>
      </c>
      <c r="E60">
        <v>-0.21748690651727751</v>
      </c>
      <c r="F60">
        <v>-0.40627198430266698</v>
      </c>
      <c r="G60">
        <v>-0.32166589548604191</v>
      </c>
      <c r="H60">
        <v>-0.26176945116062228</v>
      </c>
      <c r="I60">
        <v>-0.464626703011223</v>
      </c>
      <c r="J60">
        <v>-0.82327363194453229</v>
      </c>
      <c r="K60">
        <v>-0.66662769466089478</v>
      </c>
      <c r="L60">
        <v>-0.57158612722314872</v>
      </c>
      <c r="M60">
        <v>0.56020399411395561</v>
      </c>
      <c r="N60">
        <v>0.44021489437537947</v>
      </c>
      <c r="O60">
        <v>0.56148115468605209</v>
      </c>
      <c r="P60">
        <v>0.44007291127527648</v>
      </c>
      <c r="Q60">
        <v>0.50463724677118837</v>
      </c>
      <c r="R60">
        <v>1.2590270352203079</v>
      </c>
      <c r="S60">
        <v>1.4621636923619059</v>
      </c>
      <c r="T60">
        <v>1.5308707652763209</v>
      </c>
      <c r="U60">
        <v>1.0634793187310081</v>
      </c>
      <c r="V60">
        <v>0.52924072001342026</v>
      </c>
    </row>
    <row r="61" spans="1:22" x14ac:dyDescent="0.35">
      <c r="A61" t="s">
        <v>25</v>
      </c>
      <c r="B61">
        <v>-0.25085866679637192</v>
      </c>
      <c r="C61">
        <v>-2.7053216929730551E-2</v>
      </c>
      <c r="D61">
        <v>-5.1557950882397119E-2</v>
      </c>
      <c r="E61">
        <v>4.6935155842799427E-2</v>
      </c>
      <c r="F61">
        <v>-7.8838868890839492E-2</v>
      </c>
      <c r="G61">
        <v>-0.1440813783076452</v>
      </c>
      <c r="H61">
        <v>-9.5991149643794335E-2</v>
      </c>
      <c r="I61">
        <v>-0.13568882991837641</v>
      </c>
      <c r="J61">
        <v>0.29717056664645319</v>
      </c>
      <c r="K61">
        <v>0.5887133673280821</v>
      </c>
      <c r="L61">
        <v>0.66691098858540587</v>
      </c>
      <c r="M61">
        <v>0.83227782831676178</v>
      </c>
      <c r="N61">
        <v>0.25361585046056673</v>
      </c>
      <c r="O61">
        <v>0.45468182299286097</v>
      </c>
      <c r="P61">
        <v>0.60737728482435593</v>
      </c>
      <c r="Q61">
        <v>0.64910294188634254</v>
      </c>
      <c r="R61">
        <v>0.71842068777994916</v>
      </c>
      <c r="S61">
        <v>0.72621559499010435</v>
      </c>
      <c r="T61">
        <v>0.92298615133907713</v>
      </c>
      <c r="U61">
        <v>1.071314207751684</v>
      </c>
      <c r="V61">
        <v>1.0433032506223821</v>
      </c>
    </row>
    <row r="62" spans="1:22" x14ac:dyDescent="0.35">
      <c r="A62" t="s">
        <v>26</v>
      </c>
      <c r="B62">
        <v>138.6601433222751</v>
      </c>
      <c r="C62">
        <v>138.9210691357398</v>
      </c>
      <c r="D62">
        <v>139.09570246292569</v>
      </c>
      <c r="E62">
        <v>140.791462008363</v>
      </c>
      <c r="F62">
        <v>141.51431667136919</v>
      </c>
      <c r="G62">
        <v>141.98831224800711</v>
      </c>
      <c r="H62">
        <v>142.1846253223635</v>
      </c>
      <c r="I62">
        <v>140.90748194342501</v>
      </c>
      <c r="J62">
        <v>140.94137860184901</v>
      </c>
      <c r="K62">
        <v>142.41227104508599</v>
      </c>
      <c r="L62">
        <v>142.79749610552901</v>
      </c>
      <c r="M62">
        <v>145.84842383989161</v>
      </c>
      <c r="N62">
        <v>144.20576281300811</v>
      </c>
      <c r="O62">
        <v>144.06594533943229</v>
      </c>
      <c r="P62">
        <v>144.4570937665992</v>
      </c>
      <c r="Q62">
        <v>145.6498167071164</v>
      </c>
      <c r="R62">
        <v>146.42586147908679</v>
      </c>
      <c r="S62">
        <v>145.86964564440561</v>
      </c>
      <c r="T62">
        <v>146.76385472398621</v>
      </c>
      <c r="U62">
        <v>147.24193510046189</v>
      </c>
      <c r="V62">
        <v>146.29337753741879</v>
      </c>
    </row>
    <row r="63" spans="1:22" x14ac:dyDescent="0.35">
      <c r="A63" t="s">
        <v>27</v>
      </c>
      <c r="B63">
        <v>97266973.449999988</v>
      </c>
      <c r="C63">
        <v>140209841.40000001</v>
      </c>
      <c r="D63">
        <v>203309615.94</v>
      </c>
      <c r="E63">
        <v>136829594.90000001</v>
      </c>
      <c r="F63">
        <v>129792336.12</v>
      </c>
      <c r="G63">
        <v>118326828.31</v>
      </c>
      <c r="H63">
        <v>119013396.65000001</v>
      </c>
      <c r="I63">
        <v>123393314.67</v>
      </c>
      <c r="J63">
        <v>136201560.53</v>
      </c>
      <c r="K63">
        <v>120206677.98999999</v>
      </c>
      <c r="L63">
        <v>104007862.43000001</v>
      </c>
      <c r="M63">
        <v>116955201.51000001</v>
      </c>
      <c r="N63">
        <v>134109345.7</v>
      </c>
      <c r="O63">
        <v>168225192.22999999</v>
      </c>
      <c r="P63">
        <v>257311736.72999999</v>
      </c>
      <c r="Q63">
        <v>157463836.25</v>
      </c>
      <c r="R63">
        <v>158650736.91999999</v>
      </c>
      <c r="S63">
        <v>168080497.08000001</v>
      </c>
      <c r="T63">
        <v>164648763.87</v>
      </c>
      <c r="U63">
        <v>164576835.40000001</v>
      </c>
      <c r="V63">
        <v>142651202.18000001</v>
      </c>
    </row>
    <row r="64" spans="1:22" x14ac:dyDescent="0.35">
      <c r="A64" t="s">
        <v>28</v>
      </c>
      <c r="B64">
        <v>1.683517856709825</v>
      </c>
      <c r="C64">
        <v>1.62229836319813</v>
      </c>
      <c r="D64">
        <v>1.6216146710752599</v>
      </c>
      <c r="E64">
        <v>1.6033327957892971</v>
      </c>
      <c r="F64">
        <v>1.6150886724624081</v>
      </c>
      <c r="G64">
        <v>1.6097989007783149</v>
      </c>
      <c r="H64">
        <v>1.6060749341246241</v>
      </c>
      <c r="I64">
        <v>1.61875745054075</v>
      </c>
      <c r="J64">
        <v>1.641676884668122</v>
      </c>
      <c r="K64">
        <v>1.6315870423917851</v>
      </c>
      <c r="L64">
        <v>1.625525475127648</v>
      </c>
      <c r="M64">
        <v>1.5566570832311919</v>
      </c>
      <c r="N64">
        <v>1.563680526611273</v>
      </c>
      <c r="O64">
        <v>1.556582665237805</v>
      </c>
      <c r="P64">
        <v>1.563688874993781</v>
      </c>
      <c r="Q64">
        <v>1.5599017678422169</v>
      </c>
      <c r="R64">
        <v>1.5169739814504839</v>
      </c>
      <c r="S64">
        <v>1.5058154895003899</v>
      </c>
      <c r="T64">
        <v>1.5020784032612571</v>
      </c>
      <c r="U64">
        <v>1.527872950871459</v>
      </c>
      <c r="V64">
        <v>1.558463440950465</v>
      </c>
    </row>
    <row r="65" spans="1:22" x14ac:dyDescent="0.35">
      <c r="A65" t="s">
        <v>29</v>
      </c>
      <c r="B65">
        <v>0.25232940190596631</v>
      </c>
      <c r="C65">
        <v>0.25025120844291893</v>
      </c>
      <c r="D65">
        <v>0.25047875240105077</v>
      </c>
      <c r="E65">
        <v>0.24956417355288829</v>
      </c>
      <c r="F65">
        <v>0.25073207521112922</v>
      </c>
      <c r="G65">
        <v>0.25133789851285671</v>
      </c>
      <c r="H65">
        <v>0.25089134638954952</v>
      </c>
      <c r="I65">
        <v>0.25125996770638492</v>
      </c>
      <c r="J65">
        <v>0.24724055902399719</v>
      </c>
      <c r="K65">
        <v>0.24453337587481069</v>
      </c>
      <c r="L65">
        <v>0.24380725510599269</v>
      </c>
      <c r="M65">
        <v>0.24227170587991581</v>
      </c>
      <c r="N65">
        <v>0.24764499567429471</v>
      </c>
      <c r="O65">
        <v>0.2457779545007806</v>
      </c>
      <c r="P65">
        <v>0.2443600680694881</v>
      </c>
      <c r="Q65">
        <v>0.24397261553962679</v>
      </c>
      <c r="R65">
        <v>0.24332895075632899</v>
      </c>
      <c r="S65">
        <v>0.24325656947509189</v>
      </c>
      <c r="T65">
        <v>0.24142941430899431</v>
      </c>
      <c r="U65">
        <v>0.24005208235659151</v>
      </c>
      <c r="V65">
        <v>0.2403121841013636</v>
      </c>
    </row>
    <row r="67" spans="1:22" x14ac:dyDescent="0.35">
      <c r="A67" t="s">
        <v>37</v>
      </c>
      <c r="B67" t="s">
        <v>48</v>
      </c>
      <c r="C67" t="s">
        <v>49</v>
      </c>
      <c r="D67" t="s">
        <v>50</v>
      </c>
      <c r="E67" t="s">
        <v>51</v>
      </c>
      <c r="F67" t="s">
        <v>52</v>
      </c>
      <c r="G67" t="s">
        <v>53</v>
      </c>
      <c r="H67" t="s">
        <v>54</v>
      </c>
      <c r="I67" t="s">
        <v>55</v>
      </c>
      <c r="J67" t="s">
        <v>56</v>
      </c>
      <c r="K67" t="s">
        <v>57</v>
      </c>
      <c r="L67" t="s">
        <v>58</v>
      </c>
      <c r="M67" t="s">
        <v>59</v>
      </c>
      <c r="N67" t="s">
        <v>60</v>
      </c>
      <c r="O67" t="s">
        <v>61</v>
      </c>
      <c r="P67" t="s">
        <v>62</v>
      </c>
      <c r="Q67" t="s">
        <v>63</v>
      </c>
      <c r="R67" t="s">
        <v>64</v>
      </c>
      <c r="S67" t="s">
        <v>65</v>
      </c>
      <c r="T67" t="s">
        <v>66</v>
      </c>
      <c r="U67" t="s">
        <v>70</v>
      </c>
      <c r="V67" t="s">
        <v>71</v>
      </c>
    </row>
    <row r="68" spans="1:22" x14ac:dyDescent="0.35">
      <c r="A68" t="s">
        <v>21</v>
      </c>
      <c r="B68">
        <v>138.09489088319339</v>
      </c>
      <c r="C68">
        <v>138.15678459132079</v>
      </c>
      <c r="D68">
        <v>138.08738320558129</v>
      </c>
      <c r="E68">
        <v>138.81583781758201</v>
      </c>
      <c r="F68">
        <v>139.37244232647399</v>
      </c>
      <c r="G68">
        <v>139.38574675656</v>
      </c>
      <c r="H68">
        <v>139.6007695786094</v>
      </c>
      <c r="I68">
        <v>139.24971629735501</v>
      </c>
      <c r="J68">
        <v>139.77933794473839</v>
      </c>
      <c r="K68">
        <v>139.9150471630135</v>
      </c>
      <c r="L68">
        <v>140.11993023825099</v>
      </c>
      <c r="M68">
        <v>141.3947971373579</v>
      </c>
      <c r="N68">
        <v>141.81844229661991</v>
      </c>
      <c r="O68">
        <v>141.57025252197349</v>
      </c>
      <c r="P68">
        <v>141.61160323516069</v>
      </c>
      <c r="Q68">
        <v>141.952563524369</v>
      </c>
      <c r="R68">
        <v>141.94894976587219</v>
      </c>
      <c r="S68">
        <v>142.15773646884381</v>
      </c>
      <c r="T68">
        <v>142.19511904320669</v>
      </c>
      <c r="U68">
        <v>142.46480934287939</v>
      </c>
      <c r="V68">
        <v>142.60887359712609</v>
      </c>
    </row>
    <row r="69" spans="1:22" x14ac:dyDescent="0.35">
      <c r="A69" t="s">
        <v>22</v>
      </c>
      <c r="B69">
        <v>0.67907860161982569</v>
      </c>
      <c r="C69">
        <v>0.60221882546788885</v>
      </c>
      <c r="D69">
        <v>0.32341529642928202</v>
      </c>
      <c r="E69">
        <v>0.58907012559200178</v>
      </c>
      <c r="F69">
        <v>1.0258672051922311</v>
      </c>
      <c r="G69">
        <v>1.356494956241838</v>
      </c>
      <c r="H69">
        <v>0.9390118636319299</v>
      </c>
      <c r="I69">
        <v>1.3659924213749199</v>
      </c>
      <c r="J69">
        <v>1.772960082118078</v>
      </c>
      <c r="K69">
        <v>1.445379178609804</v>
      </c>
      <c r="L69">
        <v>1.3580926554390851</v>
      </c>
      <c r="M69">
        <v>1.7758169778305759</v>
      </c>
      <c r="N69">
        <v>1.9305152454356229</v>
      </c>
      <c r="O69">
        <v>1.7234308658739661</v>
      </c>
      <c r="P69">
        <v>1.7294466547642691</v>
      </c>
      <c r="Q69">
        <v>1.964892514069186</v>
      </c>
      <c r="R69">
        <v>2.1701029668146781</v>
      </c>
      <c r="S69">
        <v>2.1740113988425551</v>
      </c>
      <c r="T69">
        <v>2.2221716266973131</v>
      </c>
      <c r="U69">
        <v>2.2033907331194009</v>
      </c>
      <c r="V69">
        <v>2.4133088344513509</v>
      </c>
    </row>
    <row r="70" spans="1:22" x14ac:dyDescent="0.35">
      <c r="A70" t="s">
        <v>23</v>
      </c>
      <c r="B70">
        <v>2.0021472188364791</v>
      </c>
      <c r="C70">
        <v>1.555817081795728</v>
      </c>
      <c r="D70">
        <v>1.341307025151661</v>
      </c>
      <c r="E70">
        <v>1.6838887514705401</v>
      </c>
      <c r="F70">
        <v>1.8511882942015581</v>
      </c>
      <c r="G70">
        <v>2.4017484442667492</v>
      </c>
      <c r="H70">
        <v>2.6318532273935782</v>
      </c>
      <c r="I70">
        <v>2.3023925185462919</v>
      </c>
      <c r="J70">
        <v>2.7146144642097711</v>
      </c>
      <c r="K70">
        <v>3.568127969137838</v>
      </c>
      <c r="L70">
        <v>3.32889724878931</v>
      </c>
      <c r="M70">
        <v>3.6899696181314061</v>
      </c>
      <c r="N70">
        <v>3.4912716139358229</v>
      </c>
      <c r="O70">
        <v>2.4048492150231962</v>
      </c>
      <c r="P70">
        <v>2.1519487382603129</v>
      </c>
      <c r="Q70">
        <v>2.518162440707135</v>
      </c>
      <c r="R70">
        <v>3.3250056124237899</v>
      </c>
      <c r="S70">
        <v>2.9544824090918569</v>
      </c>
      <c r="T70">
        <v>2.888182614045876</v>
      </c>
      <c r="U70">
        <v>3.1190124608728151</v>
      </c>
      <c r="V70">
        <v>3.27841855422776</v>
      </c>
    </row>
    <row r="71" spans="1:22" x14ac:dyDescent="0.35">
      <c r="A71" t="s">
        <v>24</v>
      </c>
      <c r="B71">
        <v>4.5405818179878281</v>
      </c>
      <c r="C71">
        <v>4.1447082304259544</v>
      </c>
      <c r="D71">
        <v>4.4898500315319749</v>
      </c>
      <c r="E71">
        <v>4.8624772774557732</v>
      </c>
      <c r="F71">
        <v>5.2762362573301997</v>
      </c>
      <c r="G71">
        <v>5.4615151197980287</v>
      </c>
      <c r="H71">
        <v>5.0192313481630864</v>
      </c>
      <c r="I71">
        <v>4.9491953835259892</v>
      </c>
      <c r="J71">
        <v>5.0808639534330942</v>
      </c>
      <c r="K71">
        <v>5.31399092596914</v>
      </c>
      <c r="L71">
        <v>4.8480881202273816</v>
      </c>
      <c r="M71">
        <v>4.5827039034914741</v>
      </c>
      <c r="N71">
        <v>4.2902335881587721</v>
      </c>
      <c r="O71">
        <v>4.0228607529462659</v>
      </c>
      <c r="P71">
        <v>4.1377012298246179</v>
      </c>
      <c r="Q71">
        <v>4.1719685605602033</v>
      </c>
      <c r="R71">
        <v>4.4951633258737882</v>
      </c>
      <c r="S71">
        <v>4.2390848432029973</v>
      </c>
      <c r="T71">
        <v>4.1412933675160524</v>
      </c>
      <c r="U71">
        <v>4.2510460648818551</v>
      </c>
      <c r="V71">
        <v>4.2750194503578829</v>
      </c>
    </row>
    <row r="72" spans="1:22" x14ac:dyDescent="0.35">
      <c r="A72" t="s">
        <v>25</v>
      </c>
      <c r="B72">
        <v>-0.2453980235701366</v>
      </c>
      <c r="C72">
        <v>-0.3689759293660505</v>
      </c>
      <c r="D72">
        <v>-0.26051718353460412</v>
      </c>
      <c r="E72">
        <v>-0.12925279128169689</v>
      </c>
      <c r="F72">
        <v>-7.4762359696194547E-2</v>
      </c>
      <c r="G72">
        <v>-4.0648396984221638E-2</v>
      </c>
      <c r="H72">
        <v>-5.1703076363862691E-2</v>
      </c>
      <c r="I72">
        <v>-0.14289674546691469</v>
      </c>
      <c r="J72">
        <v>-0.12975895194611869</v>
      </c>
      <c r="K72">
        <v>-0.1185835804443105</v>
      </c>
      <c r="L72">
        <v>-0.13877037057399971</v>
      </c>
      <c r="M72">
        <v>-8.4907435083892549E-2</v>
      </c>
      <c r="N72">
        <v>7.0793354888021492E-2</v>
      </c>
      <c r="O72">
        <v>-6.1682986743851642E-2</v>
      </c>
      <c r="P72">
        <v>0.1118626661809899</v>
      </c>
      <c r="Q72">
        <v>0.1983932611128387</v>
      </c>
      <c r="R72">
        <v>0.38853889788991242</v>
      </c>
      <c r="S72">
        <v>0.32795223113706029</v>
      </c>
      <c r="T72">
        <v>0.47813224178975189</v>
      </c>
      <c r="U72">
        <v>0.27203160786752167</v>
      </c>
      <c r="V72">
        <v>0.3200010993052203</v>
      </c>
    </row>
    <row r="73" spans="1:22" x14ac:dyDescent="0.35">
      <c r="A73" t="s">
        <v>26</v>
      </c>
      <c r="B73">
        <v>145.07130049806739</v>
      </c>
      <c r="C73">
        <v>144.09055279964431</v>
      </c>
      <c r="D73">
        <v>143.9814383751596</v>
      </c>
      <c r="E73">
        <v>145.82202118081861</v>
      </c>
      <c r="F73">
        <v>147.45097172350179</v>
      </c>
      <c r="G73">
        <v>148.5648568798824</v>
      </c>
      <c r="H73">
        <v>148.13916294143419</v>
      </c>
      <c r="I73">
        <v>147.72439987533531</v>
      </c>
      <c r="J73">
        <v>149.2180174925532</v>
      </c>
      <c r="K73">
        <v>150.12396165628601</v>
      </c>
      <c r="L73">
        <v>149.51623789213281</v>
      </c>
      <c r="M73">
        <v>151.35838020172741</v>
      </c>
      <c r="N73">
        <v>151.60125609903821</v>
      </c>
      <c r="O73">
        <v>149.65971036907311</v>
      </c>
      <c r="P73">
        <v>149.74256252419079</v>
      </c>
      <c r="Q73">
        <v>150.80598030081839</v>
      </c>
      <c r="R73">
        <v>152.32776056887431</v>
      </c>
      <c r="S73">
        <v>151.85326735111829</v>
      </c>
      <c r="T73">
        <v>151.92489889325569</v>
      </c>
      <c r="U73">
        <v>152.310290209621</v>
      </c>
      <c r="V73">
        <v>152.89562153546839</v>
      </c>
    </row>
    <row r="74" spans="1:22" x14ac:dyDescent="0.35">
      <c r="A74" t="s">
        <v>27</v>
      </c>
      <c r="B74">
        <v>100061833.53</v>
      </c>
      <c r="C74">
        <v>99417393.379999995</v>
      </c>
      <c r="D74">
        <v>181924487.12</v>
      </c>
      <c r="E74">
        <v>143482268.56</v>
      </c>
      <c r="F74">
        <v>129215164.13</v>
      </c>
      <c r="G74">
        <v>117380289.44</v>
      </c>
      <c r="H74">
        <v>120418998.98999999</v>
      </c>
      <c r="I74">
        <v>108551850.23999999</v>
      </c>
      <c r="J74">
        <v>104264874.09999999</v>
      </c>
      <c r="K74">
        <v>102076409.55</v>
      </c>
      <c r="L74">
        <v>77238773.439999998</v>
      </c>
      <c r="M74">
        <v>89533458.879999995</v>
      </c>
      <c r="N74">
        <v>85380851.61999999</v>
      </c>
      <c r="O74">
        <v>110408891.40000001</v>
      </c>
      <c r="P74">
        <v>187535326.88</v>
      </c>
      <c r="Q74">
        <v>145335025.69999999</v>
      </c>
      <c r="R74">
        <v>136224383.25999999</v>
      </c>
      <c r="S74">
        <v>127479279.29000001</v>
      </c>
      <c r="T74">
        <v>124257595.01000001</v>
      </c>
      <c r="U74">
        <v>103408064.70999999</v>
      </c>
      <c r="V74">
        <v>95230631.199999988</v>
      </c>
    </row>
    <row r="75" spans="1:22" x14ac:dyDescent="0.35">
      <c r="A75" t="s">
        <v>28</v>
      </c>
      <c r="B75">
        <v>1.4898686927369069</v>
      </c>
      <c r="C75">
        <v>1.512148767102111</v>
      </c>
      <c r="D75">
        <v>1.487783953088446</v>
      </c>
      <c r="E75">
        <v>1.4695900799255091</v>
      </c>
      <c r="F75">
        <v>1.443207809544663</v>
      </c>
      <c r="G75">
        <v>1.431631185173075</v>
      </c>
      <c r="H75">
        <v>1.460023648537278</v>
      </c>
      <c r="I75">
        <v>1.4542110568763731</v>
      </c>
      <c r="J75">
        <v>1.435442130993974</v>
      </c>
      <c r="K75">
        <v>1.4193023077854661</v>
      </c>
      <c r="L75">
        <v>1.4431130015601139</v>
      </c>
      <c r="M75">
        <v>1.470390806507349</v>
      </c>
      <c r="N75">
        <v>1.493357099782413</v>
      </c>
      <c r="O75">
        <v>1.498594420691578</v>
      </c>
      <c r="P75">
        <v>1.4955759668672881</v>
      </c>
      <c r="Q75">
        <v>1.501647572667629</v>
      </c>
      <c r="R75">
        <v>1.4853287118305429</v>
      </c>
      <c r="S75">
        <v>1.506339192923291</v>
      </c>
      <c r="T75">
        <v>1.5140728062490949</v>
      </c>
      <c r="U75">
        <v>1.5149885814170181</v>
      </c>
      <c r="V75">
        <v>1.51231403778519</v>
      </c>
    </row>
    <row r="76" spans="1:22" x14ac:dyDescent="0.35">
      <c r="A76" t="s">
        <v>29</v>
      </c>
      <c r="B76">
        <v>0.25195581848932558</v>
      </c>
      <c r="C76">
        <v>0.25352570135528818</v>
      </c>
      <c r="D76">
        <v>0.25194532024284649</v>
      </c>
      <c r="E76">
        <v>0.25031064894066929</v>
      </c>
      <c r="F76">
        <v>0.24954757443859929</v>
      </c>
      <c r="G76">
        <v>0.24902956773330989</v>
      </c>
      <c r="H76">
        <v>0.24920126819011351</v>
      </c>
      <c r="I76">
        <v>0.25010351174069861</v>
      </c>
      <c r="J76">
        <v>0.24951327905543411</v>
      </c>
      <c r="K76">
        <v>0.24931760952160989</v>
      </c>
      <c r="L76">
        <v>0.24937749915264579</v>
      </c>
      <c r="M76">
        <v>0.24896367682547191</v>
      </c>
      <c r="N76">
        <v>0.24681592656369289</v>
      </c>
      <c r="O76">
        <v>0.2482828235378268</v>
      </c>
      <c r="P76">
        <v>0.24597109399238959</v>
      </c>
      <c r="Q76">
        <v>0.2450038272357041</v>
      </c>
      <c r="R76">
        <v>0.24254653144815799</v>
      </c>
      <c r="S76">
        <v>0.24355663435622801</v>
      </c>
      <c r="T76">
        <v>0.241403027709434</v>
      </c>
      <c r="U76">
        <v>0.24470029382750841</v>
      </c>
      <c r="V76">
        <v>0.24394162829428981</v>
      </c>
    </row>
    <row r="78" spans="1:22" x14ac:dyDescent="0.35">
      <c r="A78" t="s">
        <v>38</v>
      </c>
      <c r="B78" t="s">
        <v>48</v>
      </c>
      <c r="C78" t="s">
        <v>49</v>
      </c>
      <c r="D78" t="s">
        <v>50</v>
      </c>
      <c r="E78" t="s">
        <v>51</v>
      </c>
      <c r="F78" t="s">
        <v>52</v>
      </c>
      <c r="G78" t="s">
        <v>53</v>
      </c>
      <c r="H78" t="s">
        <v>54</v>
      </c>
      <c r="I78" t="s">
        <v>55</v>
      </c>
      <c r="J78" t="s">
        <v>56</v>
      </c>
      <c r="K78" t="s">
        <v>57</v>
      </c>
      <c r="L78" t="s">
        <v>58</v>
      </c>
      <c r="M78" t="s">
        <v>59</v>
      </c>
      <c r="N78" t="s">
        <v>60</v>
      </c>
      <c r="O78" t="s">
        <v>61</v>
      </c>
      <c r="P78" t="s">
        <v>62</v>
      </c>
      <c r="Q78" t="s">
        <v>63</v>
      </c>
      <c r="R78" t="s">
        <v>64</v>
      </c>
      <c r="S78" t="s">
        <v>65</v>
      </c>
      <c r="T78" t="s">
        <v>66</v>
      </c>
      <c r="U78" t="s">
        <v>70</v>
      </c>
      <c r="V78" t="s">
        <v>71</v>
      </c>
    </row>
    <row r="79" spans="1:22" x14ac:dyDescent="0.35">
      <c r="A79" t="s">
        <v>21</v>
      </c>
      <c r="B79">
        <v>137.05924825990439</v>
      </c>
      <c r="C79">
        <v>136.9376186522818</v>
      </c>
      <c r="D79">
        <v>137.22393427909341</v>
      </c>
      <c r="E79">
        <v>138.08056417471539</v>
      </c>
      <c r="F79">
        <v>138.66725159819219</v>
      </c>
      <c r="G79">
        <v>138.78298822031661</v>
      </c>
      <c r="H79">
        <v>139.0072776703793</v>
      </c>
      <c r="I79">
        <v>138.72096468446611</v>
      </c>
      <c r="J79">
        <v>139.01078402870451</v>
      </c>
      <c r="K79">
        <v>139.1003902097456</v>
      </c>
      <c r="L79">
        <v>139.2684147675777</v>
      </c>
      <c r="M79">
        <v>140.62604611151559</v>
      </c>
      <c r="N79">
        <v>141.27101347581529</v>
      </c>
      <c r="O79">
        <v>141.19813218659721</v>
      </c>
      <c r="P79">
        <v>141.3394729107051</v>
      </c>
      <c r="Q79">
        <v>141.72881778768649</v>
      </c>
      <c r="R79">
        <v>141.94244152249951</v>
      </c>
      <c r="S79">
        <v>142.3805824996854</v>
      </c>
      <c r="T79">
        <v>142.49063134357149</v>
      </c>
      <c r="U79">
        <v>142.83454953418251</v>
      </c>
      <c r="V79">
        <v>143.0034152966798</v>
      </c>
    </row>
    <row r="80" spans="1:22" x14ac:dyDescent="0.35">
      <c r="A80" t="s">
        <v>22</v>
      </c>
      <c r="B80">
        <v>0.14956052211020601</v>
      </c>
      <c r="C80">
        <v>-4.9677808588392422E-2</v>
      </c>
      <c r="D80">
        <v>-0.33768096317319379</v>
      </c>
      <c r="E80">
        <v>9.2418031292663877E-2</v>
      </c>
      <c r="F80">
        <v>0.61705570249592001</v>
      </c>
      <c r="G80">
        <v>0.97265437355021722</v>
      </c>
      <c r="H80">
        <v>0.54350608820048552</v>
      </c>
      <c r="I80">
        <v>0.7494586302708337</v>
      </c>
      <c r="J80">
        <v>1.0419923914174849</v>
      </c>
      <c r="K80">
        <v>0.89775238277575986</v>
      </c>
      <c r="L80">
        <v>0.93630200043240053</v>
      </c>
      <c r="M80">
        <v>1.348696626501112</v>
      </c>
      <c r="N80">
        <v>1.5100812583304981</v>
      </c>
      <c r="O80">
        <v>1.367791219003623</v>
      </c>
      <c r="P80">
        <v>1.2801290719084399</v>
      </c>
      <c r="Q80">
        <v>1.577786770785323</v>
      </c>
      <c r="R80">
        <v>1.8615564259933719</v>
      </c>
      <c r="S80">
        <v>1.8646294810452659</v>
      </c>
      <c r="T80">
        <v>1.9205844628555051</v>
      </c>
      <c r="U80">
        <v>1.9107600259527679</v>
      </c>
      <c r="V80">
        <v>2.1121203425873478</v>
      </c>
    </row>
    <row r="81" spans="1:22" x14ac:dyDescent="0.35">
      <c r="A81" t="s">
        <v>23</v>
      </c>
      <c r="B81">
        <v>2.598297660580891</v>
      </c>
      <c r="C81">
        <v>2.4515309666968319</v>
      </c>
      <c r="D81">
        <v>1.9375164361474519</v>
      </c>
      <c r="E81">
        <v>1.888973133960532</v>
      </c>
      <c r="F81">
        <v>2.104004766324536</v>
      </c>
      <c r="G81">
        <v>2.5613277374093242</v>
      </c>
      <c r="H81">
        <v>2.723782088873981</v>
      </c>
      <c r="I81">
        <v>2.4359864159275069</v>
      </c>
      <c r="J81">
        <v>2.7947736131589158</v>
      </c>
      <c r="K81">
        <v>3.5784355334469669</v>
      </c>
      <c r="L81">
        <v>3.4830049533926499</v>
      </c>
      <c r="M81">
        <v>3.8806709458066271</v>
      </c>
      <c r="N81">
        <v>3.4138807099496811</v>
      </c>
      <c r="O81">
        <v>2.5557444604963471</v>
      </c>
      <c r="P81">
        <v>2.2703201858668351</v>
      </c>
      <c r="Q81">
        <v>2.466278409919815</v>
      </c>
      <c r="R81">
        <v>3.0766760307653631</v>
      </c>
      <c r="S81">
        <v>2.674489746984928</v>
      </c>
      <c r="T81">
        <v>2.522342230845303</v>
      </c>
      <c r="U81">
        <v>2.588338070961163</v>
      </c>
      <c r="V81">
        <v>2.7218975572363791</v>
      </c>
    </row>
    <row r="82" spans="1:22" x14ac:dyDescent="0.35">
      <c r="A82" t="s">
        <v>24</v>
      </c>
      <c r="B82">
        <v>3.6189812365566278</v>
      </c>
      <c r="C82">
        <v>3.3346459345938899</v>
      </c>
      <c r="D82">
        <v>3.72182230110224</v>
      </c>
      <c r="E82">
        <v>4.0327448980325364</v>
      </c>
      <c r="F82">
        <v>4.5148996314826038</v>
      </c>
      <c r="G82">
        <v>4.6219425964599328</v>
      </c>
      <c r="H82">
        <v>4.2498494433020557</v>
      </c>
      <c r="I82">
        <v>4.2169067007290737</v>
      </c>
      <c r="J82">
        <v>4.2429200285210449</v>
      </c>
      <c r="K82">
        <v>4.3828520317301933</v>
      </c>
      <c r="L82">
        <v>4.054295337170557</v>
      </c>
      <c r="M82">
        <v>3.843996930601008</v>
      </c>
      <c r="N82">
        <v>3.5534100462690619</v>
      </c>
      <c r="O82">
        <v>3.507077402879879</v>
      </c>
      <c r="P82">
        <v>3.6993557523760661</v>
      </c>
      <c r="Q82">
        <v>3.8188741147268508</v>
      </c>
      <c r="R82">
        <v>4.2082528899722158</v>
      </c>
      <c r="S82">
        <v>3.917564862035293</v>
      </c>
      <c r="T82">
        <v>3.8232623030185819</v>
      </c>
      <c r="U82">
        <v>3.93551689065308</v>
      </c>
      <c r="V82">
        <v>4.023128240777968</v>
      </c>
    </row>
    <row r="83" spans="1:22" x14ac:dyDescent="0.35">
      <c r="A83" t="s">
        <v>25</v>
      </c>
      <c r="B83">
        <v>-0.23045556926803321</v>
      </c>
      <c r="C83">
        <v>-0.32471146790645922</v>
      </c>
      <c r="D83">
        <v>-0.26041759705511891</v>
      </c>
      <c r="E83">
        <v>-0.13304227347996189</v>
      </c>
      <c r="F83">
        <v>-9.878878105799907E-2</v>
      </c>
      <c r="G83">
        <v>-8.7400691136203718E-2</v>
      </c>
      <c r="H83">
        <v>-9.8282740679559125E-2</v>
      </c>
      <c r="I83">
        <v>-0.14945239292040641</v>
      </c>
      <c r="J83">
        <v>-0.13765305630974761</v>
      </c>
      <c r="K83">
        <v>-0.1336416587897612</v>
      </c>
      <c r="L83">
        <v>-0.13078150146149539</v>
      </c>
      <c r="M83">
        <v>-0.12540678802001079</v>
      </c>
      <c r="N83">
        <v>2.8073680123067359E-2</v>
      </c>
      <c r="O83">
        <v>-8.8935787262569371E-2</v>
      </c>
      <c r="P83">
        <v>6.0710844532178038E-2</v>
      </c>
      <c r="Q83">
        <v>0.1524460455457782</v>
      </c>
      <c r="R83">
        <v>0.33651896795220171</v>
      </c>
      <c r="S83">
        <v>0.27667875252910479</v>
      </c>
      <c r="T83">
        <v>0.38223838077705402</v>
      </c>
      <c r="U83">
        <v>0.19253012813238191</v>
      </c>
      <c r="V83">
        <v>0.2682763720496395</v>
      </c>
    </row>
    <row r="84" spans="1:22" x14ac:dyDescent="0.35">
      <c r="A84" t="s">
        <v>26</v>
      </c>
      <c r="B84">
        <v>143.19563210988409</v>
      </c>
      <c r="C84">
        <v>142.34940627707769</v>
      </c>
      <c r="D84">
        <v>142.28517445611479</v>
      </c>
      <c r="E84">
        <v>143.96165796452109</v>
      </c>
      <c r="F84">
        <v>145.80442291743731</v>
      </c>
      <c r="G84">
        <v>146.85151223659989</v>
      </c>
      <c r="H84">
        <v>146.42613255007629</v>
      </c>
      <c r="I84">
        <v>145.97386403847301</v>
      </c>
      <c r="J84">
        <v>146.95281700549219</v>
      </c>
      <c r="K84">
        <v>147.82578849890879</v>
      </c>
      <c r="L84">
        <v>147.6112355571118</v>
      </c>
      <c r="M84">
        <v>149.57400382640429</v>
      </c>
      <c r="N84">
        <v>149.77645917048761</v>
      </c>
      <c r="O84">
        <v>148.53980948171451</v>
      </c>
      <c r="P84">
        <v>148.64998876538871</v>
      </c>
      <c r="Q84">
        <v>149.7442031286642</v>
      </c>
      <c r="R84">
        <v>151.42544583718259</v>
      </c>
      <c r="S84">
        <v>151.11394534228</v>
      </c>
      <c r="T84">
        <v>151.13905872106801</v>
      </c>
      <c r="U84">
        <v>151.46169464988199</v>
      </c>
      <c r="V84">
        <v>152.1288378093312</v>
      </c>
    </row>
    <row r="85" spans="1:22" x14ac:dyDescent="0.35">
      <c r="A85" t="s">
        <v>27</v>
      </c>
      <c r="B85">
        <v>138514392.66</v>
      </c>
      <c r="C85">
        <v>141109367.91999999</v>
      </c>
      <c r="D85">
        <v>252902526.47999999</v>
      </c>
      <c r="E85">
        <v>196554244.59</v>
      </c>
      <c r="F85">
        <v>168890861.36000001</v>
      </c>
      <c r="G85">
        <v>154803116.03</v>
      </c>
      <c r="H85">
        <v>159472426.36000001</v>
      </c>
      <c r="I85">
        <v>141988884.84</v>
      </c>
      <c r="J85">
        <v>140460452.63</v>
      </c>
      <c r="K85">
        <v>140558829.44</v>
      </c>
      <c r="L85">
        <v>104459085.75</v>
      </c>
      <c r="M85">
        <v>115243807.89</v>
      </c>
      <c r="N85">
        <v>112557260.64</v>
      </c>
      <c r="O85">
        <v>136954006.66999999</v>
      </c>
      <c r="P85">
        <v>230363492.87</v>
      </c>
      <c r="Q85">
        <v>171654335.53999999</v>
      </c>
      <c r="R85">
        <v>153616972.84999999</v>
      </c>
      <c r="S85">
        <v>144249722.81</v>
      </c>
      <c r="T85">
        <v>140219560.34999999</v>
      </c>
      <c r="U85">
        <v>117400793.39</v>
      </c>
      <c r="V85">
        <v>108378410.44</v>
      </c>
    </row>
    <row r="86" spans="1:22" x14ac:dyDescent="0.35">
      <c r="A86" t="s">
        <v>28</v>
      </c>
      <c r="B86">
        <v>1.451831658200482</v>
      </c>
      <c r="C86">
        <v>1.46112514203164</v>
      </c>
      <c r="D86">
        <v>1.4391333448700721</v>
      </c>
      <c r="E86">
        <v>1.4270121262064599</v>
      </c>
      <c r="F86">
        <v>1.4083806987848111</v>
      </c>
      <c r="G86">
        <v>1.3993631172311141</v>
      </c>
      <c r="H86">
        <v>1.4222524176719911</v>
      </c>
      <c r="I86">
        <v>1.4198778683845139</v>
      </c>
      <c r="J86">
        <v>1.402895289006268</v>
      </c>
      <c r="K86">
        <v>1.387553659956329</v>
      </c>
      <c r="L86">
        <v>1.4086968148069849</v>
      </c>
      <c r="M86">
        <v>1.443329901123332</v>
      </c>
      <c r="N86">
        <v>1.4591150075973709</v>
      </c>
      <c r="O86">
        <v>1.4683320812803431</v>
      </c>
      <c r="P86">
        <v>1.4615525061402741</v>
      </c>
      <c r="Q86">
        <v>1.471706074563766</v>
      </c>
      <c r="R86">
        <v>1.464349280781843</v>
      </c>
      <c r="S86">
        <v>1.486342583438272</v>
      </c>
      <c r="T86">
        <v>1.4946562593480139</v>
      </c>
      <c r="U86">
        <v>1.492344773681421</v>
      </c>
      <c r="V86">
        <v>1.4846096432900751</v>
      </c>
    </row>
    <row r="87" spans="1:22" x14ac:dyDescent="0.35">
      <c r="A87" t="s">
        <v>29</v>
      </c>
      <c r="B87">
        <v>0.24800850451093329</v>
      </c>
      <c r="C87">
        <v>0.24897716159152</v>
      </c>
      <c r="D87">
        <v>0.24823263184739941</v>
      </c>
      <c r="E87">
        <v>0.2467292960604133</v>
      </c>
      <c r="F87">
        <v>0.24672420680812501</v>
      </c>
      <c r="G87">
        <v>0.24644626361503341</v>
      </c>
      <c r="H87">
        <v>0.24656980393431069</v>
      </c>
      <c r="I87">
        <v>0.24712115629933129</v>
      </c>
      <c r="J87">
        <v>0.2463637756250551</v>
      </c>
      <c r="K87">
        <v>0.24607662703694069</v>
      </c>
      <c r="L87">
        <v>0.24603342317663349</v>
      </c>
      <c r="M87">
        <v>0.2466976150832394</v>
      </c>
      <c r="N87">
        <v>0.2443291273727598</v>
      </c>
      <c r="O87">
        <v>0.24626840132549649</v>
      </c>
      <c r="P87">
        <v>0.24436503662423389</v>
      </c>
      <c r="Q87">
        <v>0.24369179654466541</v>
      </c>
      <c r="R87">
        <v>0.24180681462616471</v>
      </c>
      <c r="S87">
        <v>0.24274963919161521</v>
      </c>
      <c r="T87">
        <v>0.24126649910260289</v>
      </c>
      <c r="U87">
        <v>0.24421669059049281</v>
      </c>
      <c r="V87">
        <v>0.2430412329767235</v>
      </c>
    </row>
    <row r="89" spans="1:22" x14ac:dyDescent="0.35">
      <c r="A89" t="s">
        <v>39</v>
      </c>
      <c r="B89" t="s">
        <v>48</v>
      </c>
      <c r="C89" t="s">
        <v>49</v>
      </c>
      <c r="D89" t="s">
        <v>50</v>
      </c>
      <c r="E89" t="s">
        <v>51</v>
      </c>
      <c r="F89" t="s">
        <v>52</v>
      </c>
      <c r="G89" t="s">
        <v>53</v>
      </c>
      <c r="H89" t="s">
        <v>54</v>
      </c>
      <c r="I89" t="s">
        <v>55</v>
      </c>
      <c r="J89" t="s">
        <v>56</v>
      </c>
      <c r="K89" t="s">
        <v>57</v>
      </c>
      <c r="L89" t="s">
        <v>58</v>
      </c>
      <c r="M89" t="s">
        <v>59</v>
      </c>
      <c r="N89" t="s">
        <v>60</v>
      </c>
      <c r="O89" t="s">
        <v>61</v>
      </c>
      <c r="P89" t="s">
        <v>62</v>
      </c>
      <c r="Q89" t="s">
        <v>63</v>
      </c>
      <c r="R89" t="s">
        <v>64</v>
      </c>
      <c r="S89" t="s">
        <v>65</v>
      </c>
      <c r="T89" t="s">
        <v>66</v>
      </c>
      <c r="U89" t="s">
        <v>70</v>
      </c>
      <c r="V89" t="s">
        <v>71</v>
      </c>
    </row>
    <row r="90" spans="1:22" x14ac:dyDescent="0.35">
      <c r="A90" t="s">
        <v>21</v>
      </c>
      <c r="B90">
        <v>138.2731708287458</v>
      </c>
      <c r="C90">
        <v>138.2557380104123</v>
      </c>
      <c r="D90">
        <v>138.32401435584151</v>
      </c>
      <c r="E90">
        <v>138.7911323716755</v>
      </c>
      <c r="F90">
        <v>139.16268785223241</v>
      </c>
      <c r="G90">
        <v>139.30606848886561</v>
      </c>
      <c r="H90">
        <v>139.49055439132181</v>
      </c>
      <c r="I90">
        <v>139.19776326343589</v>
      </c>
      <c r="J90">
        <v>139.42527485011931</v>
      </c>
      <c r="K90">
        <v>139.60268446182229</v>
      </c>
      <c r="L90">
        <v>140.00852624774771</v>
      </c>
      <c r="M90">
        <v>141.249120670709</v>
      </c>
      <c r="N90">
        <v>141.52958802148029</v>
      </c>
      <c r="O90">
        <v>141.6822013761026</v>
      </c>
      <c r="P90">
        <v>141.9233935222413</v>
      </c>
      <c r="Q90">
        <v>142.2952979279012</v>
      </c>
      <c r="R90">
        <v>142.47070559460619</v>
      </c>
      <c r="S90">
        <v>142.68458392445959</v>
      </c>
      <c r="T90">
        <v>142.926168217396</v>
      </c>
      <c r="U90">
        <v>143.47387885391009</v>
      </c>
      <c r="V90">
        <v>143.53418739489589</v>
      </c>
    </row>
    <row r="91" spans="1:22" x14ac:dyDescent="0.35">
      <c r="A91" t="s">
        <v>22</v>
      </c>
      <c r="B91">
        <v>0.4755423294985634</v>
      </c>
      <c r="C91">
        <v>0.2334361921794276</v>
      </c>
      <c r="D91">
        <v>-4.9232065587582786E-3</v>
      </c>
      <c r="E91">
        <v>0.65686772334045351</v>
      </c>
      <c r="F91">
        <v>1.179615727325964</v>
      </c>
      <c r="G91">
        <v>1.405512041375697</v>
      </c>
      <c r="H91">
        <v>1.1039347438447571</v>
      </c>
      <c r="I91">
        <v>0.8468491375836027</v>
      </c>
      <c r="J91">
        <v>1.0422265629936389</v>
      </c>
      <c r="K91">
        <v>1.203565406973532</v>
      </c>
      <c r="L91">
        <v>1.1142764531063949</v>
      </c>
      <c r="M91">
        <v>1.2442614771072751</v>
      </c>
      <c r="N91">
        <v>1.1034031255269909</v>
      </c>
      <c r="O91">
        <v>0.77037929004131589</v>
      </c>
      <c r="P91">
        <v>0.6846524683208659</v>
      </c>
      <c r="Q91">
        <v>1.0227072400942709</v>
      </c>
      <c r="R91">
        <v>1.097540456218254</v>
      </c>
      <c r="S91">
        <v>0.94761272897318782</v>
      </c>
      <c r="T91">
        <v>1.028323034182808</v>
      </c>
      <c r="U91">
        <v>0.98934707395904342</v>
      </c>
      <c r="V91">
        <v>1.0287813009396261</v>
      </c>
    </row>
    <row r="92" spans="1:22" x14ac:dyDescent="0.35">
      <c r="A92" t="s">
        <v>23</v>
      </c>
      <c r="B92">
        <v>1.2880561430708899</v>
      </c>
      <c r="C92">
        <v>0.91476474585599443</v>
      </c>
      <c r="D92">
        <v>0.87607231182251921</v>
      </c>
      <c r="E92">
        <v>0.9833631594331973</v>
      </c>
      <c r="F92">
        <v>1.311567794250516</v>
      </c>
      <c r="G92">
        <v>1.664780319894096</v>
      </c>
      <c r="H92">
        <v>1.7945320068415089</v>
      </c>
      <c r="I92">
        <v>1.6764567626506659</v>
      </c>
      <c r="J92">
        <v>1.7006367162403131</v>
      </c>
      <c r="K92">
        <v>2.2695271152436791</v>
      </c>
      <c r="L92">
        <v>2.0732103859229611</v>
      </c>
      <c r="M92">
        <v>2.6571383877981369</v>
      </c>
      <c r="N92">
        <v>2.1032493796675991</v>
      </c>
      <c r="O92">
        <v>1.526993182723122</v>
      </c>
      <c r="P92">
        <v>1.500837827450608</v>
      </c>
      <c r="Q92">
        <v>1.844000434793166</v>
      </c>
      <c r="R92">
        <v>2.076693766001096</v>
      </c>
      <c r="S92">
        <v>1.5447411910631521</v>
      </c>
      <c r="T92">
        <v>1.562173279630019</v>
      </c>
      <c r="U92">
        <v>1.570916765719742</v>
      </c>
      <c r="V92">
        <v>1.5034117581121831</v>
      </c>
    </row>
    <row r="93" spans="1:22" x14ac:dyDescent="0.35">
      <c r="A93" t="s">
        <v>24</v>
      </c>
      <c r="B93">
        <v>1.5267084218971649</v>
      </c>
      <c r="C93">
        <v>1.413138090797355</v>
      </c>
      <c r="D93">
        <v>1.835971969383777</v>
      </c>
      <c r="E93">
        <v>2.288336719947794</v>
      </c>
      <c r="F93">
        <v>2.3764118763989752</v>
      </c>
      <c r="G93">
        <v>2.4802458496170732</v>
      </c>
      <c r="H93">
        <v>2.321768928406184</v>
      </c>
      <c r="I93">
        <v>2.0401596336972658</v>
      </c>
      <c r="J93">
        <v>1.7488172978236141</v>
      </c>
      <c r="K93">
        <v>2.0551623404459072</v>
      </c>
      <c r="L93">
        <v>1.746360927583867</v>
      </c>
      <c r="M93">
        <v>2.1899990707636361</v>
      </c>
      <c r="N93">
        <v>1.860807342353036</v>
      </c>
      <c r="O93">
        <v>1.883364198079363</v>
      </c>
      <c r="P93">
        <v>1.979662650420057</v>
      </c>
      <c r="Q93">
        <v>2.2332052085369072</v>
      </c>
      <c r="R93">
        <v>2.7098691616496962</v>
      </c>
      <c r="S93">
        <v>2.5961908071171771</v>
      </c>
      <c r="T93">
        <v>2.5852214735523411</v>
      </c>
      <c r="U93">
        <v>2.259246128447149</v>
      </c>
      <c r="V93">
        <v>2.037676206187792</v>
      </c>
    </row>
    <row r="94" spans="1:22" x14ac:dyDescent="0.35">
      <c r="A94" t="s">
        <v>25</v>
      </c>
      <c r="B94">
        <v>-0.23887246657560421</v>
      </c>
      <c r="C94">
        <v>-0.17635822796337561</v>
      </c>
      <c r="D94">
        <v>-0.16733990249071659</v>
      </c>
      <c r="E94">
        <v>-5.9174749538041853E-2</v>
      </c>
      <c r="F94">
        <v>-9.011957660521816E-2</v>
      </c>
      <c r="G94">
        <v>-0.11195620428447681</v>
      </c>
      <c r="H94">
        <v>-9.7303408841581632E-2</v>
      </c>
      <c r="I94">
        <v>-0.14305282405849459</v>
      </c>
      <c r="J94">
        <v>7.6411951478988785E-2</v>
      </c>
      <c r="K94">
        <v>0.1993467754352477</v>
      </c>
      <c r="L94">
        <v>0.26720144734919721</v>
      </c>
      <c r="M94">
        <v>0.35696476720805509</v>
      </c>
      <c r="N94">
        <v>0.15069795156590601</v>
      </c>
      <c r="O94">
        <v>0.21072479679577941</v>
      </c>
      <c r="P94">
        <v>0.34914807206772869</v>
      </c>
      <c r="Q94">
        <v>0.39006738311113248</v>
      </c>
      <c r="R94">
        <v>0.53054796097973633</v>
      </c>
      <c r="S94">
        <v>0.51859698882154392</v>
      </c>
      <c r="T94">
        <v>0.67427741833953592</v>
      </c>
      <c r="U94">
        <v>0.70543430228357407</v>
      </c>
      <c r="V94">
        <v>0.70869658700481397</v>
      </c>
    </row>
    <row r="95" spans="1:22" x14ac:dyDescent="0.35">
      <c r="A95" t="s">
        <v>26</v>
      </c>
      <c r="B95">
        <v>141.32460525663689</v>
      </c>
      <c r="C95">
        <v>140.64071881128169</v>
      </c>
      <c r="D95">
        <v>140.86379552799829</v>
      </c>
      <c r="E95">
        <v>142.6605252248589</v>
      </c>
      <c r="F95">
        <v>143.9401636736026</v>
      </c>
      <c r="G95">
        <v>144.74465049546811</v>
      </c>
      <c r="H95">
        <v>144.61348666157269</v>
      </c>
      <c r="I95">
        <v>143.61817597330889</v>
      </c>
      <c r="J95">
        <v>143.99336737865579</v>
      </c>
      <c r="K95">
        <v>145.3302860999207</v>
      </c>
      <c r="L95">
        <v>145.2095754617101</v>
      </c>
      <c r="M95">
        <v>147.69748437358609</v>
      </c>
      <c r="N95">
        <v>146.74774582059379</v>
      </c>
      <c r="O95">
        <v>146.07366284374211</v>
      </c>
      <c r="P95">
        <v>146.43769454050059</v>
      </c>
      <c r="Q95">
        <v>147.78527819443659</v>
      </c>
      <c r="R95">
        <v>148.88535693945499</v>
      </c>
      <c r="S95">
        <v>148.29172564043469</v>
      </c>
      <c r="T95">
        <v>148.77616342310071</v>
      </c>
      <c r="U95">
        <v>148.99882312431961</v>
      </c>
      <c r="V95">
        <v>148.81275324714031</v>
      </c>
    </row>
    <row r="96" spans="1:22" x14ac:dyDescent="0.35">
      <c r="A96" t="s">
        <v>27</v>
      </c>
      <c r="B96">
        <v>235781366.11000001</v>
      </c>
      <c r="C96">
        <v>281319209.31999999</v>
      </c>
      <c r="D96">
        <v>456212142.42000002</v>
      </c>
      <c r="E96">
        <v>333383839.49000001</v>
      </c>
      <c r="F96">
        <v>298683197.48000002</v>
      </c>
      <c r="G96">
        <v>273129944.33999997</v>
      </c>
      <c r="H96">
        <v>278485823.00999999</v>
      </c>
      <c r="I96">
        <v>265382199.50999999</v>
      </c>
      <c r="J96">
        <v>276662013.16000003</v>
      </c>
      <c r="K96">
        <v>260765507.43000001</v>
      </c>
      <c r="L96">
        <v>208466948.18000001</v>
      </c>
      <c r="M96">
        <v>232199009.40000001</v>
      </c>
      <c r="N96">
        <v>246666606.34</v>
      </c>
      <c r="O96">
        <v>305179198.89999998</v>
      </c>
      <c r="P96">
        <v>487675229.60000002</v>
      </c>
      <c r="Q96">
        <v>329118171.79000002</v>
      </c>
      <c r="R96">
        <v>312267709.76999998</v>
      </c>
      <c r="S96">
        <v>312330219.88999999</v>
      </c>
      <c r="T96">
        <v>304868324.22000003</v>
      </c>
      <c r="U96">
        <v>281977628.79000002</v>
      </c>
      <c r="V96">
        <v>251029612.62</v>
      </c>
    </row>
    <row r="97" spans="1:22" x14ac:dyDescent="0.35">
      <c r="A97" t="s">
        <v>28</v>
      </c>
      <c r="B97">
        <v>1.5474092506580051</v>
      </c>
      <c r="C97">
        <v>1.5414540745361229</v>
      </c>
      <c r="D97">
        <v>1.520455617771882</v>
      </c>
      <c r="E97">
        <v>1.4993788186904851</v>
      </c>
      <c r="F97">
        <v>1.498205339154959</v>
      </c>
      <c r="G97">
        <v>1.4905292429015879</v>
      </c>
      <c r="H97">
        <v>1.500810607196033</v>
      </c>
      <c r="I97">
        <v>1.512349823578772</v>
      </c>
      <c r="J97">
        <v>1.520448203421662</v>
      </c>
      <c r="K97">
        <v>1.500047227492687</v>
      </c>
      <c r="L97">
        <v>1.5168764839123261</v>
      </c>
      <c r="M97">
        <v>1.500411124054619</v>
      </c>
      <c r="N97">
        <v>1.5159658863839629</v>
      </c>
      <c r="O97">
        <v>1.5169788157372299</v>
      </c>
      <c r="P97">
        <v>1.515442646253701</v>
      </c>
      <c r="Q97">
        <v>1.5139025662640619</v>
      </c>
      <c r="R97">
        <v>1.4910857869272389</v>
      </c>
      <c r="S97">
        <v>1.496821927165132</v>
      </c>
      <c r="T97">
        <v>1.4986647007750049</v>
      </c>
      <c r="U97">
        <v>1.513080868933224</v>
      </c>
      <c r="V97">
        <v>1.5265781302420951</v>
      </c>
    </row>
    <row r="98" spans="1:22" x14ac:dyDescent="0.35">
      <c r="A98" t="s">
        <v>29</v>
      </c>
      <c r="B98">
        <v>0.2497910058982854</v>
      </c>
      <c r="C98">
        <v>0.24961214811591201</v>
      </c>
      <c r="D98">
        <v>0.24923360894699051</v>
      </c>
      <c r="E98">
        <v>0.24789280518395049</v>
      </c>
      <c r="F98">
        <v>0.24846582001997061</v>
      </c>
      <c r="G98">
        <v>0.2485654440809783</v>
      </c>
      <c r="H98">
        <v>0.24841665359008899</v>
      </c>
      <c r="I98">
        <v>0.2490455568780186</v>
      </c>
      <c r="J98">
        <v>0.24679541879073119</v>
      </c>
      <c r="K98">
        <v>0.24536522506766889</v>
      </c>
      <c r="L98">
        <v>0.24492274839361061</v>
      </c>
      <c r="M98">
        <v>0.24446835017777219</v>
      </c>
      <c r="N98">
        <v>0.2461319207664196</v>
      </c>
      <c r="O98">
        <v>0.24599805029350019</v>
      </c>
      <c r="P98">
        <v>0.24436241506920489</v>
      </c>
      <c r="Q98">
        <v>0.24382615204377989</v>
      </c>
      <c r="R98">
        <v>0.24258015112938811</v>
      </c>
      <c r="S98">
        <v>0.24302244370621409</v>
      </c>
      <c r="T98">
        <v>0.24135448393151751</v>
      </c>
      <c r="U98">
        <v>0.24178600824609059</v>
      </c>
      <c r="V98">
        <v>0.24149041154647499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98"/>
  <sheetViews>
    <sheetView topLeftCell="B7" zoomScale="160" zoomScaleNormal="160" workbookViewId="0">
      <selection activeCell="E1" sqref="E1:Q98"/>
    </sheetView>
  </sheetViews>
  <sheetFormatPr defaultRowHeight="14.5" x14ac:dyDescent="0.35"/>
  <cols>
    <col min="1" max="1" width="24" bestFit="1" customWidth="1"/>
    <col min="2" max="6" width="9.36328125" bestFit="1" customWidth="1"/>
    <col min="7" max="7" width="9.90625" bestFit="1" customWidth="1"/>
    <col min="8" max="11" width="8.81640625" bestFit="1" customWidth="1"/>
    <col min="12" max="12" width="9.36328125" bestFit="1" customWidth="1"/>
    <col min="13" max="16" width="8.81640625" bestFit="1" customWidth="1"/>
    <col min="17" max="17" width="9.36328125" bestFit="1" customWidth="1"/>
    <col min="18" max="21" width="8.81640625" bestFit="1" customWidth="1"/>
    <col min="22" max="22" width="12" bestFit="1" customWidth="1"/>
  </cols>
  <sheetData>
    <row r="1" spans="1:22" x14ac:dyDescent="0.35">
      <c r="A1" t="str">
        <f>'Data Tables (M) no_cb_zip'!A1</f>
        <v>AN</v>
      </c>
      <c r="B1" t="str">
        <f>'Data Tables (M) no_cb_zip'!B1</f>
        <v>2025 M01</v>
      </c>
      <c r="C1" t="str">
        <f>'Data Tables (M) no_cb_zip'!C1</f>
        <v>2025 M02</v>
      </c>
      <c r="D1" t="str">
        <f>'Data Tables (M) no_cb_zip'!D1</f>
        <v>2025 M03</v>
      </c>
      <c r="E1" t="str">
        <f>'Data Tables (M) no_cb_zip'!E1</f>
        <v>2025 M04</v>
      </c>
      <c r="F1" t="str">
        <f>'Data Tables (M) no_cb_zip'!F1</f>
        <v>2025 M05</v>
      </c>
      <c r="G1" t="str">
        <f>'Data Tables (M) no_cb_zip'!G1</f>
        <v>2025 M06</v>
      </c>
      <c r="H1" t="str">
        <f>'Data Tables (M) no_cb_zip'!H1</f>
        <v>2025 M07</v>
      </c>
      <c r="I1" t="str">
        <f>'Data Tables (M) no_cb_zip'!I1</f>
        <v>2025 M08</v>
      </c>
      <c r="J1" t="str">
        <f>'Data Tables (M) no_cb_zip'!J1</f>
        <v>2025 M09</v>
      </c>
      <c r="K1" t="str">
        <f>'Data Tables (M) no_cb_zip'!K1</f>
        <v>2025 M10</v>
      </c>
      <c r="L1" t="str">
        <f>'Data Tables (M) no_cb_zip'!L1</f>
        <v>2025 M11</v>
      </c>
      <c r="M1" t="str">
        <f>'Data Tables (M) no_cb_zip'!M1</f>
        <v>2025 M12</v>
      </c>
      <c r="N1" t="str">
        <f>'Data Tables (M) no_cb_zip'!N1</f>
        <v>2026 M01</v>
      </c>
      <c r="O1" t="str">
        <f>'Data Tables (M) no_cb_zip'!O1</f>
        <v>2026 M02</v>
      </c>
      <c r="P1" t="str">
        <f>'Data Tables (M) no_cb_zip'!P1</f>
        <v>2026 M03</v>
      </c>
      <c r="Q1" t="str">
        <f>'Data Tables (M) no_cb_zip'!Q1</f>
        <v>2026 M04</v>
      </c>
      <c r="R1" t="str">
        <f>'Data Tables (M) no_cb_zip'!R1</f>
        <v>2026 M05</v>
      </c>
      <c r="S1" t="str">
        <f>'Data Tables (M) no_cb_zip'!S1</f>
        <v>2026 M06</v>
      </c>
      <c r="T1" t="str">
        <f>'Data Tables (M) no_cb_zip'!T1</f>
        <v>2026 M07</v>
      </c>
      <c r="U1" t="str">
        <f>'Data Tables (M) no_cb_zip'!U1</f>
        <v>2026 M08</v>
      </c>
      <c r="V1" t="str">
        <f>'Data Tables (M) no_cb_zip'!V1</f>
        <v>2026 M09</v>
      </c>
    </row>
    <row r="2" spans="1:22" x14ac:dyDescent="0.35">
      <c r="A2" t="str">
        <f>'Data Tables (M) no_cb_zip'!A2</f>
        <v>Model Score</v>
      </c>
      <c r="B2" s="3">
        <f>'Data Tables (M)'!B2-'Data Tables (M) cb_zip'!B2</f>
        <v>0</v>
      </c>
      <c r="C2" s="3">
        <f>'Data Tables (M)'!C2-'Data Tables (M) cb_zip'!C2</f>
        <v>0</v>
      </c>
      <c r="D2" s="3">
        <f>'Data Tables (M)'!D2-'Data Tables (M) cb_zip'!D2</f>
        <v>0</v>
      </c>
      <c r="E2" s="3">
        <f>'Data Tables (M)'!E2-'Data Tables (M) cb_zip'!E2</f>
        <v>0</v>
      </c>
      <c r="F2" s="3">
        <f>'Data Tables (M)'!F2-'Data Tables (M) cb_zip'!F2</f>
        <v>0</v>
      </c>
      <c r="G2" s="3">
        <f>'Data Tables (M)'!G2-'Data Tables (M) cb_zip'!G2</f>
        <v>0</v>
      </c>
      <c r="H2" s="3">
        <f>'Data Tables (M)'!H2-'Data Tables (M) cb_zip'!H2</f>
        <v>0</v>
      </c>
      <c r="I2" s="3">
        <f>'Data Tables (M)'!I2-'Data Tables (M) cb_zip'!I2</f>
        <v>0</v>
      </c>
      <c r="J2" s="3">
        <f>'Data Tables (M)'!J2-'Data Tables (M) cb_zip'!J2</f>
        <v>0</v>
      </c>
      <c r="K2" s="3">
        <f>'Data Tables (M)'!K2-'Data Tables (M) cb_zip'!K2</f>
        <v>0</v>
      </c>
      <c r="L2" s="3">
        <f>'Data Tables (M)'!L2-'Data Tables (M) cb_zip'!L2</f>
        <v>0</v>
      </c>
      <c r="M2" s="3">
        <f>'Data Tables (M)'!M2-'Data Tables (M) cb_zip'!M2</f>
        <v>0</v>
      </c>
      <c r="N2" s="3">
        <f>'Data Tables (M)'!N2-'Data Tables (M) cb_zip'!N2</f>
        <v>0</v>
      </c>
      <c r="O2" s="3">
        <f>'Data Tables (M)'!O2-'Data Tables (M) cb_zip'!O2</f>
        <v>0</v>
      </c>
      <c r="P2" s="3">
        <f>'Data Tables (M)'!P2-'Data Tables (M) cb_zip'!P2</f>
        <v>0</v>
      </c>
      <c r="Q2" s="3">
        <f>'Data Tables (M)'!Q2-'Data Tables (M) cb_zip'!Q2</f>
        <v>0</v>
      </c>
      <c r="R2" s="3">
        <f>'Data Tables (M)'!R2-'Data Tables (M) cb_zip'!R2</f>
        <v>0</v>
      </c>
      <c r="S2" s="3">
        <f>'Data Tables (M)'!S2-'Data Tables (M) cb_zip'!S2</f>
        <v>0</v>
      </c>
      <c r="T2" s="3">
        <f>'Data Tables (M)'!T2-'Data Tables (M) cb_zip'!T2</f>
        <v>0</v>
      </c>
      <c r="U2" s="3">
        <f>'Data Tables (M)'!U2-'Data Tables (M) cb_zip'!U2</f>
        <v>0</v>
      </c>
      <c r="V2" s="3">
        <f>'Data Tables (M)'!V2-'Data Tables (M) cb_zip'!V2</f>
        <v>-3.796786666939056E-2</v>
      </c>
    </row>
    <row r="3" spans="1:22" x14ac:dyDescent="0.35">
      <c r="A3" t="str">
        <f>'Data Tables (M) no_cb_zip'!A3</f>
        <v>Expected Gross Loss Impact</v>
      </c>
      <c r="B3" s="3">
        <f>'Data Tables (M)'!B3-'Data Tables (M) cb_zip'!B3</f>
        <v>-7.7972259845182634E-5</v>
      </c>
      <c r="C3" s="3">
        <f>'Data Tables (M)'!C3-'Data Tables (M) cb_zip'!C3</f>
        <v>-4.8637145783345659E-3</v>
      </c>
      <c r="D3" s="3">
        <f>'Data Tables (M)'!D3-'Data Tables (M) cb_zip'!D3</f>
        <v>-6.2633704644952104E-3</v>
      </c>
      <c r="E3" s="3">
        <f>'Data Tables (M)'!E3-'Data Tables (M) cb_zip'!E3</f>
        <v>9.1356394091799409E-3</v>
      </c>
      <c r="F3" s="3">
        <f>'Data Tables (M)'!F3-'Data Tables (M) cb_zip'!F3</f>
        <v>0</v>
      </c>
      <c r="G3" s="3">
        <f>'Data Tables (M)'!G3-'Data Tables (M) cb_zip'!G3</f>
        <v>0</v>
      </c>
      <c r="H3" s="3">
        <f>'Data Tables (M)'!H3-'Data Tables (M) cb_zip'!H3</f>
        <v>0</v>
      </c>
      <c r="I3" s="3">
        <f>'Data Tables (M)'!I3-'Data Tables (M) cb_zip'!I3</f>
        <v>0</v>
      </c>
      <c r="J3" s="3">
        <f>'Data Tables (M)'!J3-'Data Tables (M) cb_zip'!J3</f>
        <v>2.886579864025407E-14</v>
      </c>
      <c r="K3" s="3">
        <f>'Data Tables (M)'!K3-'Data Tables (M) cb_zip'!K3</f>
        <v>0</v>
      </c>
      <c r="L3" s="3">
        <f>'Data Tables (M)'!L3-'Data Tables (M) cb_zip'!L3</f>
        <v>0</v>
      </c>
      <c r="M3" s="3">
        <f>'Data Tables (M)'!M3-'Data Tables (M) cb_zip'!M3</f>
        <v>0</v>
      </c>
      <c r="N3" s="3">
        <f>'Data Tables (M)'!N3-'Data Tables (M) cb_zip'!N3</f>
        <v>0</v>
      </c>
      <c r="O3" s="3">
        <f>'Data Tables (M)'!O3-'Data Tables (M) cb_zip'!O3</f>
        <v>0</v>
      </c>
      <c r="P3" s="3">
        <f>'Data Tables (M)'!P3-'Data Tables (M) cb_zip'!P3</f>
        <v>0</v>
      </c>
      <c r="Q3" s="3">
        <f>'Data Tables (M)'!Q3-'Data Tables (M) cb_zip'!Q3</f>
        <v>-1.0775988186026098E-2</v>
      </c>
      <c r="R3" s="3">
        <f>'Data Tables (M)'!R3-'Data Tables (M) cb_zip'!R3</f>
        <v>0</v>
      </c>
      <c r="S3" s="3">
        <f>'Data Tables (M)'!S3-'Data Tables (M) cb_zip'!S3</f>
        <v>0</v>
      </c>
      <c r="T3" s="3">
        <f>'Data Tables (M)'!T3-'Data Tables (M) cb_zip'!T3</f>
        <v>0</v>
      </c>
      <c r="U3" s="3">
        <f>'Data Tables (M)'!U3-'Data Tables (M) cb_zip'!U3</f>
        <v>0</v>
      </c>
      <c r="V3" s="3">
        <f>'Data Tables (M)'!V3-'Data Tables (M) cb_zip'!V3</f>
        <v>-2.4875863623833983E-2</v>
      </c>
    </row>
    <row r="4" spans="1:22" x14ac:dyDescent="0.35">
      <c r="A4" t="str">
        <f>'Data Tables (M) no_cb_zip'!A4</f>
        <v>Recovery Impact</v>
      </c>
      <c r="B4" s="3">
        <f>'Data Tables (M)'!B4-'Data Tables (M) cb_zip'!B4</f>
        <v>1.9327286535625987E-2</v>
      </c>
      <c r="C4" s="3">
        <f>'Data Tables (M)'!C4-'Data Tables (M) cb_zip'!C4</f>
        <v>1.195736972842798E-2</v>
      </c>
      <c r="D4" s="3">
        <f>'Data Tables (M)'!D4-'Data Tables (M) cb_zip'!D4</f>
        <v>1.5954483529045271E-2</v>
      </c>
      <c r="E4" s="3">
        <f>'Data Tables (M)'!E4-'Data Tables (M) cb_zip'!E4</f>
        <v>5.0747659740391082E-3</v>
      </c>
      <c r="F4" s="3">
        <f>'Data Tables (M)'!F4-'Data Tables (M) cb_zip'!F4</f>
        <v>0</v>
      </c>
      <c r="G4" s="3">
        <f>'Data Tables (M)'!G4-'Data Tables (M) cb_zip'!G4</f>
        <v>9.9920072216264089E-15</v>
      </c>
      <c r="H4" s="3">
        <f>'Data Tables (M)'!H4-'Data Tables (M) cb_zip'!H4</f>
        <v>1.1990408665951691E-14</v>
      </c>
      <c r="I4" s="3">
        <f>'Data Tables (M)'!I4-'Data Tables (M) cb_zip'!I4</f>
        <v>0</v>
      </c>
      <c r="J4" s="3">
        <f>'Data Tables (M)'!J4-'Data Tables (M) cb_zip'!J4</f>
        <v>0</v>
      </c>
      <c r="K4" s="3">
        <f>'Data Tables (M)'!K4-'Data Tables (M) cb_zip'!K4</f>
        <v>1.1102230246251565E-14</v>
      </c>
      <c r="L4" s="3">
        <f>'Data Tables (M)'!L4-'Data Tables (M) cb_zip'!L4</f>
        <v>0</v>
      </c>
      <c r="M4" s="3">
        <f>'Data Tables (M)'!M4-'Data Tables (M) cb_zip'!M4</f>
        <v>1.021405182655144E-14</v>
      </c>
      <c r="N4" s="3">
        <f>'Data Tables (M)'!N4-'Data Tables (M) cb_zip'!N4</f>
        <v>0</v>
      </c>
      <c r="O4" s="3">
        <f>'Data Tables (M)'!O4-'Data Tables (M) cb_zip'!O4</f>
        <v>-8.8817841970012523E-15</v>
      </c>
      <c r="P4" s="3">
        <f>'Data Tables (M)'!P4-'Data Tables (M) cb_zip'!P4</f>
        <v>-1.9984014443252818E-14</v>
      </c>
      <c r="Q4" s="3">
        <f>'Data Tables (M)'!Q4-'Data Tables (M) cb_zip'!Q4</f>
        <v>-1.9618688459399181E-2</v>
      </c>
      <c r="R4" s="3">
        <f>'Data Tables (M)'!R4-'Data Tables (M) cb_zip'!R4</f>
        <v>-9.7699626167013776E-15</v>
      </c>
      <c r="S4" s="3">
        <f>'Data Tables (M)'!S4-'Data Tables (M) cb_zip'!S4</f>
        <v>1.0658141036401503E-14</v>
      </c>
      <c r="T4" s="3">
        <f>'Data Tables (M)'!T4-'Data Tables (M) cb_zip'!T4</f>
        <v>0</v>
      </c>
      <c r="U4" s="3">
        <f>'Data Tables (M)'!U4-'Data Tables (M) cb_zip'!U4</f>
        <v>-1.1102230246251565E-14</v>
      </c>
      <c r="V4" s="3">
        <f>'Data Tables (M)'!V4-'Data Tables (M) cb_zip'!V4</f>
        <v>-4.5745455790453526E-3</v>
      </c>
    </row>
    <row r="5" spans="1:22" x14ac:dyDescent="0.35">
      <c r="A5" t="str">
        <f>'Data Tables (M) no_cb_zip'!A5</f>
        <v>LTV Impact</v>
      </c>
      <c r="B5" s="3">
        <f>'Data Tables (M)'!B5-'Data Tables (M) cb_zip'!B5</f>
        <v>-1.1698895889444394E-2</v>
      </c>
      <c r="C5" s="3">
        <f>'Data Tables (M)'!C5-'Data Tables (M) cb_zip'!C5</f>
        <v>-7.214293067334232E-3</v>
      </c>
      <c r="D5" s="3">
        <f>'Data Tables (M)'!D5-'Data Tables (M) cb_zip'!D5</f>
        <v>-7.4982004127530644E-3</v>
      </c>
      <c r="E5" s="3">
        <f>'Data Tables (M)'!E5-'Data Tables (M) cb_zip'!E5</f>
        <v>-1.4236052189193771E-3</v>
      </c>
      <c r="F5" s="3">
        <f>'Data Tables (M)'!F5-'Data Tables (M) cb_zip'!F5</f>
        <v>0</v>
      </c>
      <c r="G5" s="3">
        <f>'Data Tables (M)'!G5-'Data Tables (M) cb_zip'!G5</f>
        <v>-3.9968028886505635E-15</v>
      </c>
      <c r="H5" s="3">
        <f>'Data Tables (M)'!H5-'Data Tables (M) cb_zip'!H5</f>
        <v>0</v>
      </c>
      <c r="I5" s="3">
        <f>'Data Tables (M)'!I5-'Data Tables (M) cb_zip'!I5</f>
        <v>-7.1054273576010019E-15</v>
      </c>
      <c r="J5" s="3">
        <f>'Data Tables (M)'!J5-'Data Tables (M) cb_zip'!J5</f>
        <v>0</v>
      </c>
      <c r="K5" s="3">
        <f>'Data Tables (M)'!K5-'Data Tables (M) cb_zip'!K5</f>
        <v>-1.0658141036401503E-14</v>
      </c>
      <c r="L5" s="3">
        <f>'Data Tables (M)'!L5-'Data Tables (M) cb_zip'!L5</f>
        <v>0</v>
      </c>
      <c r="M5" s="3">
        <f>'Data Tables (M)'!M5-'Data Tables (M) cb_zip'!M5</f>
        <v>-3.9968028886505635E-15</v>
      </c>
      <c r="N5" s="3">
        <f>'Data Tables (M)'!N5-'Data Tables (M) cb_zip'!N5</f>
        <v>-7.9936057773011271E-15</v>
      </c>
      <c r="O5" s="3">
        <f>'Data Tables (M)'!O5-'Data Tables (M) cb_zip'!O5</f>
        <v>0</v>
      </c>
      <c r="P5" s="3">
        <f>'Data Tables (M)'!P5-'Data Tables (M) cb_zip'!P5</f>
        <v>0</v>
      </c>
      <c r="Q5" s="3">
        <f>'Data Tables (M)'!Q5-'Data Tables (M) cb_zip'!Q5</f>
        <v>-8.7407825496859104E-3</v>
      </c>
      <c r="R5" s="3">
        <f>'Data Tables (M)'!R5-'Data Tables (M) cb_zip'!R5</f>
        <v>0</v>
      </c>
      <c r="S5" s="3">
        <f>'Data Tables (M)'!S5-'Data Tables (M) cb_zip'!S5</f>
        <v>0</v>
      </c>
      <c r="T5" s="3">
        <f>'Data Tables (M)'!T5-'Data Tables (M) cb_zip'!T5</f>
        <v>0</v>
      </c>
      <c r="U5" s="3">
        <f>'Data Tables (M)'!U5-'Data Tables (M) cb_zip'!U5</f>
        <v>0</v>
      </c>
      <c r="V5" s="3">
        <f>'Data Tables (M)'!V5-'Data Tables (M) cb_zip'!V5</f>
        <v>-6.4898768629801928E-2</v>
      </c>
    </row>
    <row r="6" spans="1:22" x14ac:dyDescent="0.35">
      <c r="A6" t="str">
        <f>'Data Tables (M) no_cb_zip'!A6</f>
        <v>APR Impact</v>
      </c>
      <c r="B6" s="3">
        <f>'Data Tables (M)'!B6-'Data Tables (M) cb_zip'!B6</f>
        <v>-6.2021137525017324E-3</v>
      </c>
      <c r="C6" s="3">
        <f>'Data Tables (M)'!C6-'Data Tables (M) cb_zip'!C6</f>
        <v>-1.150184567592083E-3</v>
      </c>
      <c r="D6" s="3">
        <f>'Data Tables (M)'!D6-'Data Tables (M) cb_zip'!D6</f>
        <v>-4.7158673440328529E-3</v>
      </c>
      <c r="E6" s="3">
        <f>'Data Tables (M)'!E6-'Data Tables (M) cb_zip'!E6</f>
        <v>1.1843947316141912E-3</v>
      </c>
      <c r="F6" s="3">
        <f>'Data Tables (M)'!F6-'Data Tables (M) cb_zip'!F6</f>
        <v>0</v>
      </c>
      <c r="G6" s="3">
        <f>'Data Tables (M)'!G6-'Data Tables (M) cb_zip'!G6</f>
        <v>-1.8873791418627661E-15</v>
      </c>
      <c r="H6" s="3">
        <f>'Data Tables (M)'!H6-'Data Tables (M) cb_zip'!H6</f>
        <v>0</v>
      </c>
      <c r="I6" s="3">
        <f>'Data Tables (M)'!I6-'Data Tables (M) cb_zip'!I6</f>
        <v>-3.8857805861880479E-15</v>
      </c>
      <c r="J6" s="3">
        <f>'Data Tables (M)'!J6-'Data Tables (M) cb_zip'!J6</f>
        <v>0</v>
      </c>
      <c r="K6" s="3">
        <f>'Data Tables (M)'!K6-'Data Tables (M) cb_zip'!K6</f>
        <v>-1.8873791418627661E-15</v>
      </c>
      <c r="L6" s="3">
        <f>'Data Tables (M)'!L6-'Data Tables (M) cb_zip'!L6</f>
        <v>0</v>
      </c>
      <c r="M6" s="3">
        <f>'Data Tables (M)'!M6-'Data Tables (M) cb_zip'!M6</f>
        <v>-3.8857805861880479E-15</v>
      </c>
      <c r="N6" s="3">
        <f>'Data Tables (M)'!N6-'Data Tables (M) cb_zip'!N6</f>
        <v>-5.8841820305133297E-15</v>
      </c>
      <c r="O6" s="3">
        <f>'Data Tables (M)'!O6-'Data Tables (M) cb_zip'!O6</f>
        <v>0</v>
      </c>
      <c r="P6" s="3">
        <f>'Data Tables (M)'!P6-'Data Tables (M) cb_zip'!P6</f>
        <v>-1.8873791418627661E-15</v>
      </c>
      <c r="Q6" s="3">
        <f>'Data Tables (M)'!Q6-'Data Tables (M) cb_zip'!Q6</f>
        <v>-8.2261368763305587E-3</v>
      </c>
      <c r="R6" s="3">
        <f>'Data Tables (M)'!R6-'Data Tables (M) cb_zip'!R6</f>
        <v>0</v>
      </c>
      <c r="S6" s="3">
        <f>'Data Tables (M)'!S6-'Data Tables (M) cb_zip'!S6</f>
        <v>-1.9984014443252818E-15</v>
      </c>
      <c r="T6" s="3">
        <f>'Data Tables (M)'!T6-'Data Tables (M) cb_zip'!T6</f>
        <v>0</v>
      </c>
      <c r="U6" s="3">
        <f>'Data Tables (M)'!U6-'Data Tables (M) cb_zip'!U6</f>
        <v>0</v>
      </c>
      <c r="V6" s="3">
        <f>'Data Tables (M)'!V6-'Data Tables (M) cb_zip'!V6</f>
        <v>1.2570726341071925E-2</v>
      </c>
    </row>
    <row r="7" spans="1:22" x14ac:dyDescent="0.35">
      <c r="A7" t="str">
        <f>'Data Tables (M) no_cb_zip'!A7</f>
        <v>RAGU Score</v>
      </c>
      <c r="B7" s="3">
        <f>'Data Tables (M)'!B7-'Data Tables (M) cb_zip'!B7</f>
        <v>1.3483046338933491E-3</v>
      </c>
      <c r="C7" s="3">
        <f>'Data Tables (M)'!C7-'Data Tables (M) cb_zip'!C7</f>
        <v>-1.2708224847983729E-3</v>
      </c>
      <c r="D7" s="3">
        <f>'Data Tables (M)'!D7-'Data Tables (M) cb_zip'!D7</f>
        <v>-2.5229546921821111E-3</v>
      </c>
      <c r="E7" s="3">
        <f>'Data Tables (M)'!E7-'Data Tables (M) cb_zip'!E7</f>
        <v>1.3971194895987082E-2</v>
      </c>
      <c r="F7" s="3">
        <f>'Data Tables (M)'!F7-'Data Tables (M) cb_zip'!F7</f>
        <v>0</v>
      </c>
      <c r="G7" s="3">
        <f>'Data Tables (M)'!G7-'Data Tables (M) cb_zip'!G7</f>
        <v>0</v>
      </c>
      <c r="H7" s="3">
        <f>'Data Tables (M)'!H7-'Data Tables (M) cb_zip'!H7</f>
        <v>0</v>
      </c>
      <c r="I7" s="3">
        <f>'Data Tables (M)'!I7-'Data Tables (M) cb_zip'!I7</f>
        <v>0</v>
      </c>
      <c r="J7" s="3">
        <f>'Data Tables (M)'!J7-'Data Tables (M) cb_zip'!J7</f>
        <v>0</v>
      </c>
      <c r="K7" s="3">
        <f>'Data Tables (M)'!K7-'Data Tables (M) cb_zip'!K7</f>
        <v>0</v>
      </c>
      <c r="L7" s="3">
        <f>'Data Tables (M)'!L7-'Data Tables (M) cb_zip'!L7</f>
        <v>0</v>
      </c>
      <c r="M7" s="3">
        <f>'Data Tables (M)'!M7-'Data Tables (M) cb_zip'!M7</f>
        <v>0</v>
      </c>
      <c r="N7" s="3">
        <f>'Data Tables (M)'!N7-'Data Tables (M) cb_zip'!N7</f>
        <v>0</v>
      </c>
      <c r="O7" s="3">
        <f>'Data Tables (M)'!O7-'Data Tables (M) cb_zip'!O7</f>
        <v>0</v>
      </c>
      <c r="P7" s="3">
        <f>'Data Tables (M)'!P7-'Data Tables (M) cb_zip'!P7</f>
        <v>0</v>
      </c>
      <c r="Q7" s="3">
        <f>'Data Tables (M)'!Q7-'Data Tables (M) cb_zip'!Q7</f>
        <v>-4.7361596071425538E-2</v>
      </c>
      <c r="R7" s="3">
        <f>'Data Tables (M)'!R7-'Data Tables (M) cb_zip'!R7</f>
        <v>0</v>
      </c>
      <c r="S7" s="3">
        <f>'Data Tables (M)'!S7-'Data Tables (M) cb_zip'!S7</f>
        <v>0</v>
      </c>
      <c r="T7" s="3">
        <f>'Data Tables (M)'!T7-'Data Tables (M) cb_zip'!T7</f>
        <v>0</v>
      </c>
      <c r="U7" s="3">
        <f>'Data Tables (M)'!U7-'Data Tables (M) cb_zip'!U7</f>
        <v>0</v>
      </c>
      <c r="V7" s="3">
        <f>'Data Tables (M)'!V7-'Data Tables (M) cb_zip'!V7</f>
        <v>-0.11974631816087822</v>
      </c>
    </row>
    <row r="8" spans="1:22" x14ac:dyDescent="0.35">
      <c r="A8" t="str">
        <f>'Data Tables (M) no_cb_zip'!A8</f>
        <v>Amount Financed</v>
      </c>
      <c r="B8" s="3">
        <f>'Data Tables (M)'!B8-'Data Tables (M) cb_zip'!B8</f>
        <v>-15858.11999999918</v>
      </c>
      <c r="C8" s="3">
        <f>'Data Tables (M)'!C8-'Data Tables (M) cb_zip'!C8</f>
        <v>-23996.839999999851</v>
      </c>
      <c r="D8" s="3">
        <f>'Data Tables (M)'!D8-'Data Tables (M) cb_zip'!D8</f>
        <v>-17615.780000001192</v>
      </c>
      <c r="E8" s="3">
        <f>'Data Tables (M)'!E8-'Data Tables (M) cb_zip'!E8</f>
        <v>-16664.809999998659</v>
      </c>
      <c r="F8" s="3">
        <f>'Data Tables (M)'!F8-'Data Tables (M) cb_zip'!F8</f>
        <v>0</v>
      </c>
      <c r="G8" s="3">
        <f>'Data Tables (M)'!G8-'Data Tables (M) cb_zip'!G8</f>
        <v>0</v>
      </c>
      <c r="H8" s="3">
        <f>'Data Tables (M)'!H8-'Data Tables (M) cb_zip'!H8</f>
        <v>0</v>
      </c>
      <c r="I8" s="3">
        <f>'Data Tables (M)'!I8-'Data Tables (M) cb_zip'!I8</f>
        <v>0</v>
      </c>
      <c r="J8" s="3">
        <f>'Data Tables (M)'!J8-'Data Tables (M) cb_zip'!J8</f>
        <v>0</v>
      </c>
      <c r="K8" s="3">
        <f>'Data Tables (M)'!K8-'Data Tables (M) cb_zip'!K8</f>
        <v>0</v>
      </c>
      <c r="L8" s="3">
        <f>'Data Tables (M)'!L8-'Data Tables (M) cb_zip'!L8</f>
        <v>0</v>
      </c>
      <c r="M8" s="3">
        <f>'Data Tables (M)'!M8-'Data Tables (M) cb_zip'!M8</f>
        <v>0</v>
      </c>
      <c r="N8" s="3">
        <f>'Data Tables (M)'!N8-'Data Tables (M) cb_zip'!N8</f>
        <v>0</v>
      </c>
      <c r="O8" s="3">
        <f>'Data Tables (M)'!O8-'Data Tables (M) cb_zip'!O8</f>
        <v>0</v>
      </c>
      <c r="P8" s="3">
        <f>'Data Tables (M)'!P8-'Data Tables (M) cb_zip'!P8</f>
        <v>0</v>
      </c>
      <c r="Q8" s="3">
        <f>'Data Tables (M)'!Q8-'Data Tables (M) cb_zip'!Q8</f>
        <v>-42434.140000000596</v>
      </c>
      <c r="R8" s="3">
        <f>'Data Tables (M)'!R8-'Data Tables (M) cb_zip'!R8</f>
        <v>0</v>
      </c>
      <c r="S8" s="3">
        <f>'Data Tables (M)'!S8-'Data Tables (M) cb_zip'!S8</f>
        <v>0</v>
      </c>
      <c r="T8" s="3">
        <f>'Data Tables (M)'!T8-'Data Tables (M) cb_zip'!T8</f>
        <v>0</v>
      </c>
      <c r="U8" s="3">
        <f>'Data Tables (M)'!U8-'Data Tables (M) cb_zip'!U8</f>
        <v>0</v>
      </c>
      <c r="V8" s="3">
        <f>'Data Tables (M)'!V8-'Data Tables (M) cb_zip'!V8</f>
        <v>1183205.0099999998</v>
      </c>
    </row>
    <row r="9" spans="1:22" x14ac:dyDescent="0.35">
      <c r="A9" t="str">
        <f>'Data Tables (M) no_cb_zip'!A9</f>
        <v>Weighted LTV</v>
      </c>
      <c r="B9" s="3">
        <f>'Data Tables (M)'!B9-'Data Tables (M) cb_zip'!B9</f>
        <v>9.143526139638869E-4</v>
      </c>
      <c r="C9" s="3">
        <f>'Data Tables (M)'!C9-'Data Tables (M) cb_zip'!C9</f>
        <v>5.6925798394091842E-4</v>
      </c>
      <c r="D9" s="3">
        <f>'Data Tables (M)'!D9-'Data Tables (M) cb_zip'!D9</f>
        <v>5.8961886466879498E-4</v>
      </c>
      <c r="E9" s="3">
        <f>'Data Tables (M)'!E9-'Data Tables (M) cb_zip'!E9</f>
        <v>1.0685470709503875E-4</v>
      </c>
      <c r="F9" s="3">
        <f>'Data Tables (M)'!F9-'Data Tables (M) cb_zip'!F9</f>
        <v>0</v>
      </c>
      <c r="G9" s="3">
        <f>'Data Tables (M)'!G9-'Data Tables (M) cb_zip'!G9</f>
        <v>0</v>
      </c>
      <c r="H9" s="3">
        <f>'Data Tables (M)'!H9-'Data Tables (M) cb_zip'!H9</f>
        <v>0</v>
      </c>
      <c r="I9" s="3">
        <f>'Data Tables (M)'!I9-'Data Tables (M) cb_zip'!I9</f>
        <v>0</v>
      </c>
      <c r="J9" s="3">
        <f>'Data Tables (M)'!J9-'Data Tables (M) cb_zip'!J9</f>
        <v>0</v>
      </c>
      <c r="K9" s="3">
        <f>'Data Tables (M)'!K9-'Data Tables (M) cb_zip'!K9</f>
        <v>0</v>
      </c>
      <c r="L9" s="3">
        <f>'Data Tables (M)'!L9-'Data Tables (M) cb_zip'!L9</f>
        <v>0</v>
      </c>
      <c r="M9" s="3">
        <f>'Data Tables (M)'!M9-'Data Tables (M) cb_zip'!M9</f>
        <v>0</v>
      </c>
      <c r="N9" s="3">
        <f>'Data Tables (M)'!N9-'Data Tables (M) cb_zip'!N9</f>
        <v>0</v>
      </c>
      <c r="O9" s="3">
        <f>'Data Tables (M)'!O9-'Data Tables (M) cb_zip'!O9</f>
        <v>0</v>
      </c>
      <c r="P9" s="3">
        <f>'Data Tables (M)'!P9-'Data Tables (M) cb_zip'!P9</f>
        <v>0</v>
      </c>
      <c r="Q9" s="3">
        <f>'Data Tables (M)'!Q9-'Data Tables (M) cb_zip'!Q9</f>
        <v>6.7103857633910025E-4</v>
      </c>
      <c r="R9" s="3">
        <f>'Data Tables (M)'!R9-'Data Tables (M) cb_zip'!R9</f>
        <v>0</v>
      </c>
      <c r="S9" s="3">
        <f>'Data Tables (M)'!S9-'Data Tables (M) cb_zip'!S9</f>
        <v>0</v>
      </c>
      <c r="T9" s="3">
        <f>'Data Tables (M)'!T9-'Data Tables (M) cb_zip'!T9</f>
        <v>0</v>
      </c>
      <c r="U9" s="3">
        <f>'Data Tables (M)'!U9-'Data Tables (M) cb_zip'!U9</f>
        <v>0</v>
      </c>
      <c r="V9" s="3">
        <f>'Data Tables (M)'!V9-'Data Tables (M) cb_zip'!V9</f>
        <v>4.8337455747879954E-3</v>
      </c>
    </row>
    <row r="10" spans="1:22" x14ac:dyDescent="0.35">
      <c r="A10" t="str">
        <f>'Data Tables (M) no_cb_zip'!A10</f>
        <v>Weighted APR</v>
      </c>
      <c r="B10" s="3">
        <f>'Data Tables (M)'!B10-'Data Tables (M) cb_zip'!B10</f>
        <v>8.8601625035683584E-5</v>
      </c>
      <c r="C10" s="3">
        <f>'Data Tables (M)'!C10-'Data Tables (M) cb_zip'!C10</f>
        <v>1.643120810851384E-5</v>
      </c>
      <c r="D10" s="3">
        <f>'Data Tables (M)'!D10-'Data Tables (M) cb_zip'!D10</f>
        <v>6.7369533486183464E-5</v>
      </c>
      <c r="E10" s="3">
        <f>'Data Tables (M)'!E10-'Data Tables (M) cb_zip'!E10</f>
        <v>-1.6919924737318626E-5</v>
      </c>
      <c r="F10" s="3">
        <f>'Data Tables (M)'!F10-'Data Tables (M) cb_zip'!F10</f>
        <v>0</v>
      </c>
      <c r="G10" s="3">
        <f>'Data Tables (M)'!G10-'Data Tables (M) cb_zip'!G10</f>
        <v>0</v>
      </c>
      <c r="H10" s="3">
        <f>'Data Tables (M)'!H10-'Data Tables (M) cb_zip'!H10</f>
        <v>0</v>
      </c>
      <c r="I10" s="3">
        <f>'Data Tables (M)'!I10-'Data Tables (M) cb_zip'!I10</f>
        <v>0</v>
      </c>
      <c r="J10" s="3">
        <f>'Data Tables (M)'!J10-'Data Tables (M) cb_zip'!J10</f>
        <v>0</v>
      </c>
      <c r="K10" s="3">
        <f>'Data Tables (M)'!K10-'Data Tables (M) cb_zip'!K10</f>
        <v>0</v>
      </c>
      <c r="L10" s="3">
        <f>'Data Tables (M)'!L10-'Data Tables (M) cb_zip'!L10</f>
        <v>0</v>
      </c>
      <c r="M10" s="3">
        <f>'Data Tables (M)'!M10-'Data Tables (M) cb_zip'!M10</f>
        <v>0</v>
      </c>
      <c r="N10" s="3">
        <f>'Data Tables (M)'!N10-'Data Tables (M) cb_zip'!N10</f>
        <v>0</v>
      </c>
      <c r="O10" s="3">
        <f>'Data Tables (M)'!O10-'Data Tables (M) cb_zip'!O10</f>
        <v>0</v>
      </c>
      <c r="P10" s="3">
        <f>'Data Tables (M)'!P10-'Data Tables (M) cb_zip'!P10</f>
        <v>0</v>
      </c>
      <c r="Q10" s="3">
        <f>'Data Tables (M)'!Q10-'Data Tables (M) cb_zip'!Q10</f>
        <v>1.1751624109038183E-4</v>
      </c>
      <c r="R10" s="3">
        <f>'Data Tables (M)'!R10-'Data Tables (M) cb_zip'!R10</f>
        <v>0</v>
      </c>
      <c r="S10" s="3">
        <f>'Data Tables (M)'!S10-'Data Tables (M) cb_zip'!S10</f>
        <v>0</v>
      </c>
      <c r="T10" s="3">
        <f>'Data Tables (M)'!T10-'Data Tables (M) cb_zip'!T10</f>
        <v>0</v>
      </c>
      <c r="U10" s="3">
        <f>'Data Tables (M)'!U10-'Data Tables (M) cb_zip'!U10</f>
        <v>0</v>
      </c>
      <c r="V10" s="3">
        <f>'Data Tables (M)'!V10-'Data Tables (M) cb_zip'!V10</f>
        <v>-1.7958180487251396E-4</v>
      </c>
    </row>
    <row r="11" spans="1:22" x14ac:dyDescent="0.35">
      <c r="A11">
        <f>'Data Tables (M) no_cb_zip'!A11</f>
        <v>0</v>
      </c>
      <c r="B11" s="3">
        <f>'Data Tables (M)'!B11-'Data Tables (M) cb_zip'!B11</f>
        <v>0</v>
      </c>
      <c r="C11" s="3">
        <f>'Data Tables (M)'!C11-'Data Tables (M) cb_zip'!C11</f>
        <v>0</v>
      </c>
      <c r="D11" s="3">
        <f>'Data Tables (M)'!D11-'Data Tables (M) cb_zip'!D11</f>
        <v>0</v>
      </c>
      <c r="E11" s="3">
        <f>'Data Tables (M)'!E11-'Data Tables (M) cb_zip'!E11</f>
        <v>0</v>
      </c>
      <c r="F11" s="3">
        <f>'Data Tables (M)'!F11-'Data Tables (M) cb_zip'!F11</f>
        <v>0</v>
      </c>
      <c r="G11" s="3">
        <f>'Data Tables (M)'!G11-'Data Tables (M) cb_zip'!G11</f>
        <v>0</v>
      </c>
      <c r="H11" s="3">
        <f>'Data Tables (M)'!H11-'Data Tables (M) cb_zip'!H11</f>
        <v>0</v>
      </c>
      <c r="I11" s="3">
        <f>'Data Tables (M)'!I11-'Data Tables (M) cb_zip'!I11</f>
        <v>0</v>
      </c>
      <c r="J11" s="3">
        <f>'Data Tables (M)'!J11-'Data Tables (M) cb_zip'!J11</f>
        <v>0</v>
      </c>
      <c r="K11" s="3">
        <f>'Data Tables (M)'!K11-'Data Tables (M) cb_zip'!K11</f>
        <v>0</v>
      </c>
      <c r="L11" s="3">
        <f>'Data Tables (M)'!L11-'Data Tables (M) cb_zip'!L11</f>
        <v>0</v>
      </c>
      <c r="M11" s="3">
        <f>'Data Tables (M)'!M11-'Data Tables (M) cb_zip'!M11</f>
        <v>0</v>
      </c>
      <c r="N11" s="3">
        <f>'Data Tables (M)'!N11-'Data Tables (M) cb_zip'!N11</f>
        <v>0</v>
      </c>
      <c r="O11" s="3">
        <f>'Data Tables (M)'!O11-'Data Tables (M) cb_zip'!O11</f>
        <v>0</v>
      </c>
      <c r="P11" s="3">
        <f>'Data Tables (M)'!P11-'Data Tables (M) cb_zip'!P11</f>
        <v>0</v>
      </c>
      <c r="Q11" s="3">
        <f>'Data Tables (M)'!Q11-'Data Tables (M) cb_zip'!Q11</f>
        <v>0</v>
      </c>
      <c r="R11" s="3">
        <f>'Data Tables (M)'!R11-'Data Tables (M) cb_zip'!R11</f>
        <v>0</v>
      </c>
      <c r="S11" s="3">
        <f>'Data Tables (M)'!S11-'Data Tables (M) cb_zip'!S11</f>
        <v>0</v>
      </c>
      <c r="T11" s="3">
        <f>'Data Tables (M)'!T11-'Data Tables (M) cb_zip'!T11</f>
        <v>0</v>
      </c>
      <c r="U11" s="3">
        <f>'Data Tables (M)'!U11-'Data Tables (M) cb_zip'!U11</f>
        <v>0</v>
      </c>
      <c r="V11" s="3">
        <f>'Data Tables (M)'!V11-'Data Tables (M) cb_zip'!V11</f>
        <v>0</v>
      </c>
    </row>
    <row r="12" spans="1:22" x14ac:dyDescent="0.35">
      <c r="A12" t="str">
        <f>'Data Tables (M) no_cb_zip'!A12</f>
        <v>FRN</v>
      </c>
      <c r="B12" s="3" t="e">
        <f>'Data Tables (M)'!B12-'Data Tables (M) cb_zip'!B12</f>
        <v>#VALUE!</v>
      </c>
      <c r="C12" s="3" t="e">
        <f>'Data Tables (M)'!C12-'Data Tables (M) cb_zip'!C12</f>
        <v>#VALUE!</v>
      </c>
      <c r="D12" s="3" t="e">
        <f>'Data Tables (M)'!D12-'Data Tables (M) cb_zip'!D12</f>
        <v>#VALUE!</v>
      </c>
      <c r="E12" s="3" t="e">
        <f>'Data Tables (M)'!E12-'Data Tables (M) cb_zip'!E12</f>
        <v>#VALUE!</v>
      </c>
      <c r="F12" s="3" t="e">
        <f>'Data Tables (M)'!F12-'Data Tables (M) cb_zip'!F12</f>
        <v>#VALUE!</v>
      </c>
      <c r="G12" s="3" t="e">
        <f>'Data Tables (M)'!G12-'Data Tables (M) cb_zip'!G12</f>
        <v>#VALUE!</v>
      </c>
      <c r="H12" s="3" t="e">
        <f>'Data Tables (M)'!H12-'Data Tables (M) cb_zip'!H12</f>
        <v>#VALUE!</v>
      </c>
      <c r="I12" s="3" t="e">
        <f>'Data Tables (M)'!I12-'Data Tables (M) cb_zip'!I12</f>
        <v>#VALUE!</v>
      </c>
      <c r="J12" s="3" t="e">
        <f>'Data Tables (M)'!J12-'Data Tables (M) cb_zip'!J12</f>
        <v>#VALUE!</v>
      </c>
      <c r="K12" s="3" t="e">
        <f>'Data Tables (M)'!K12-'Data Tables (M) cb_zip'!K12</f>
        <v>#VALUE!</v>
      </c>
      <c r="L12" s="3" t="e">
        <f>'Data Tables (M)'!L12-'Data Tables (M) cb_zip'!L12</f>
        <v>#VALUE!</v>
      </c>
      <c r="M12" s="3" t="e">
        <f>'Data Tables (M)'!M12-'Data Tables (M) cb_zip'!M12</f>
        <v>#VALUE!</v>
      </c>
      <c r="N12" s="3" t="e">
        <f>'Data Tables (M)'!N12-'Data Tables (M) cb_zip'!N12</f>
        <v>#VALUE!</v>
      </c>
      <c r="O12" s="3" t="e">
        <f>'Data Tables (M)'!O12-'Data Tables (M) cb_zip'!O12</f>
        <v>#VALUE!</v>
      </c>
      <c r="P12" s="3" t="e">
        <f>'Data Tables (M)'!P12-'Data Tables (M) cb_zip'!P12</f>
        <v>#VALUE!</v>
      </c>
      <c r="Q12" s="3" t="e">
        <f>'Data Tables (M)'!Q12-'Data Tables (M) cb_zip'!Q12</f>
        <v>#VALUE!</v>
      </c>
      <c r="R12" s="3" t="e">
        <f>'Data Tables (M)'!R12-'Data Tables (M) cb_zip'!R12</f>
        <v>#VALUE!</v>
      </c>
      <c r="S12" s="3" t="e">
        <f>'Data Tables (M)'!S12-'Data Tables (M) cb_zip'!S12</f>
        <v>#VALUE!</v>
      </c>
      <c r="T12" s="3" t="e">
        <f>'Data Tables (M)'!T12-'Data Tables (M) cb_zip'!T12</f>
        <v>#VALUE!</v>
      </c>
      <c r="U12" s="3" t="e">
        <f>'Data Tables (M)'!U12-'Data Tables (M) cb_zip'!U12</f>
        <v>#VALUE!</v>
      </c>
      <c r="V12" s="3" t="e">
        <f>'Data Tables (M)'!V12-'Data Tables (M) cb_zip'!V12</f>
        <v>#VALUE!</v>
      </c>
    </row>
    <row r="13" spans="1:22" x14ac:dyDescent="0.35">
      <c r="A13" t="str">
        <f>'Data Tables (M) no_cb_zip'!A13</f>
        <v>Model Score</v>
      </c>
      <c r="B13" s="3">
        <f>'Data Tables (M)'!B13-'Data Tables (M) cb_zip'!B13</f>
        <v>0</v>
      </c>
      <c r="C13" s="3">
        <f>'Data Tables (M)'!C13-'Data Tables (M) cb_zip'!C13</f>
        <v>0</v>
      </c>
      <c r="D13" s="3">
        <f>'Data Tables (M)'!D13-'Data Tables (M) cb_zip'!D13</f>
        <v>0</v>
      </c>
      <c r="E13" s="3">
        <f>'Data Tables (M)'!E13-'Data Tables (M) cb_zip'!E13</f>
        <v>0</v>
      </c>
      <c r="F13" s="3">
        <f>'Data Tables (M)'!F13-'Data Tables (M) cb_zip'!F13</f>
        <v>0</v>
      </c>
      <c r="G13" s="3">
        <f>'Data Tables (M)'!G13-'Data Tables (M) cb_zip'!G13</f>
        <v>0</v>
      </c>
      <c r="H13" s="3">
        <f>'Data Tables (M)'!H13-'Data Tables (M) cb_zip'!H13</f>
        <v>0</v>
      </c>
      <c r="I13" s="3">
        <f>'Data Tables (M)'!I13-'Data Tables (M) cb_zip'!I13</f>
        <v>0</v>
      </c>
      <c r="J13" s="3">
        <f>'Data Tables (M)'!J13-'Data Tables (M) cb_zip'!J13</f>
        <v>0</v>
      </c>
      <c r="K13" s="3">
        <f>'Data Tables (M)'!K13-'Data Tables (M) cb_zip'!K13</f>
        <v>0</v>
      </c>
      <c r="L13" s="3">
        <f>'Data Tables (M)'!L13-'Data Tables (M) cb_zip'!L13</f>
        <v>0</v>
      </c>
      <c r="M13" s="3">
        <f>'Data Tables (M)'!M13-'Data Tables (M) cb_zip'!M13</f>
        <v>0</v>
      </c>
      <c r="N13" s="3">
        <f>'Data Tables (M)'!N13-'Data Tables (M) cb_zip'!N13</f>
        <v>0</v>
      </c>
      <c r="O13" s="3">
        <f>'Data Tables (M)'!O13-'Data Tables (M) cb_zip'!O13</f>
        <v>0</v>
      </c>
      <c r="P13" s="3">
        <f>'Data Tables (M)'!P13-'Data Tables (M) cb_zip'!P13</f>
        <v>0</v>
      </c>
      <c r="Q13" s="3">
        <f>'Data Tables (M)'!Q13-'Data Tables (M) cb_zip'!Q13</f>
        <v>0</v>
      </c>
      <c r="R13" s="3">
        <f>'Data Tables (M)'!R13-'Data Tables (M) cb_zip'!R13</f>
        <v>0</v>
      </c>
      <c r="S13" s="3">
        <f>'Data Tables (M)'!S13-'Data Tables (M) cb_zip'!S13</f>
        <v>0</v>
      </c>
      <c r="T13" s="3">
        <f>'Data Tables (M)'!T13-'Data Tables (M) cb_zip'!T13</f>
        <v>0</v>
      </c>
      <c r="U13" s="3">
        <f>'Data Tables (M)'!U13-'Data Tables (M) cb_zip'!U13</f>
        <v>0</v>
      </c>
      <c r="V13" s="3">
        <f>'Data Tables (M)'!V13-'Data Tables (M) cb_zip'!V13</f>
        <v>-2.4813063373073874E-2</v>
      </c>
    </row>
    <row r="14" spans="1:22" x14ac:dyDescent="0.35">
      <c r="A14" t="str">
        <f>'Data Tables (M) no_cb_zip'!A14</f>
        <v>Expected Gross Loss Impact</v>
      </c>
      <c r="B14" s="3">
        <f>'Data Tables (M)'!B14-'Data Tables (M) cb_zip'!B14</f>
        <v>-4.9980380659064849E-3</v>
      </c>
      <c r="C14" s="3">
        <f>'Data Tables (M)'!C14-'Data Tables (M) cb_zip'!C14</f>
        <v>0</v>
      </c>
      <c r="D14" s="3">
        <f>'Data Tables (M)'!D14-'Data Tables (M) cb_zip'!D14</f>
        <v>-1.5246034189431157E-3</v>
      </c>
      <c r="E14" s="3">
        <f>'Data Tables (M)'!E14-'Data Tables (M) cb_zip'!E14</f>
        <v>2.2051997791550093E-4</v>
      </c>
      <c r="F14" s="3">
        <f>'Data Tables (M)'!F14-'Data Tables (M) cb_zip'!F14</f>
        <v>-9.176816215585859E-4</v>
      </c>
      <c r="G14" s="3">
        <f>'Data Tables (M)'!G14-'Data Tables (M) cb_zip'!G14</f>
        <v>-8.2390234865670209E-6</v>
      </c>
      <c r="H14" s="3">
        <f>'Data Tables (M)'!H14-'Data Tables (M) cb_zip'!H14</f>
        <v>3.0364967801679854E-4</v>
      </c>
      <c r="I14" s="3">
        <f>'Data Tables (M)'!I14-'Data Tables (M) cb_zip'!I14</f>
        <v>0</v>
      </c>
      <c r="J14" s="3">
        <f>'Data Tables (M)'!J14-'Data Tables (M) cb_zip'!J14</f>
        <v>0</v>
      </c>
      <c r="K14" s="3">
        <f>'Data Tables (M)'!K14-'Data Tables (M) cb_zip'!K14</f>
        <v>0</v>
      </c>
      <c r="L14" s="3">
        <f>'Data Tables (M)'!L14-'Data Tables (M) cb_zip'!L14</f>
        <v>-2.5556666174959553E-3</v>
      </c>
      <c r="M14" s="3">
        <f>'Data Tables (M)'!M14-'Data Tables (M) cb_zip'!M14</f>
        <v>0</v>
      </c>
      <c r="N14" s="3">
        <f>'Data Tables (M)'!N14-'Data Tables (M) cb_zip'!N14</f>
        <v>0</v>
      </c>
      <c r="O14" s="3">
        <f>'Data Tables (M)'!O14-'Data Tables (M) cb_zip'!O14</f>
        <v>0</v>
      </c>
      <c r="P14" s="3">
        <f>'Data Tables (M)'!P14-'Data Tables (M) cb_zip'!P14</f>
        <v>0</v>
      </c>
      <c r="Q14" s="3">
        <f>'Data Tables (M)'!Q14-'Data Tables (M) cb_zip'!Q14</f>
        <v>0</v>
      </c>
      <c r="R14" s="3">
        <f>'Data Tables (M)'!R14-'Data Tables (M) cb_zip'!R14</f>
        <v>0</v>
      </c>
      <c r="S14" s="3">
        <f>'Data Tables (M)'!S14-'Data Tables (M) cb_zip'!S14</f>
        <v>0</v>
      </c>
      <c r="T14" s="3">
        <f>'Data Tables (M)'!T14-'Data Tables (M) cb_zip'!T14</f>
        <v>-2.886579864025407E-14</v>
      </c>
      <c r="U14" s="3">
        <f>'Data Tables (M)'!U14-'Data Tables (M) cb_zip'!U14</f>
        <v>0</v>
      </c>
      <c r="V14" s="3">
        <f>'Data Tables (M)'!V14-'Data Tables (M) cb_zip'!V14</f>
        <v>-4.0552411659973142E-2</v>
      </c>
    </row>
    <row r="15" spans="1:22" x14ac:dyDescent="0.35">
      <c r="A15" t="str">
        <f>'Data Tables (M) no_cb_zip'!A15</f>
        <v>Recovery Impact</v>
      </c>
      <c r="B15" s="3">
        <f>'Data Tables (M)'!B15-'Data Tables (M) cb_zip'!B15</f>
        <v>6.9057684107900474E-3</v>
      </c>
      <c r="C15" s="3">
        <f>'Data Tables (M)'!C15-'Data Tables (M) cb_zip'!C15</f>
        <v>7.9936057773011271E-15</v>
      </c>
      <c r="D15" s="3">
        <f>'Data Tables (M)'!D15-'Data Tables (M) cb_zip'!D15</f>
        <v>1.4515750428261143E-3</v>
      </c>
      <c r="E15" s="3">
        <f>'Data Tables (M)'!E15-'Data Tables (M) cb_zip'!E15</f>
        <v>-3.1944770623004715E-4</v>
      </c>
      <c r="F15" s="3">
        <f>'Data Tables (M)'!F15-'Data Tables (M) cb_zip'!F15</f>
        <v>-8.8508071657211751E-3</v>
      </c>
      <c r="G15" s="3">
        <f>'Data Tables (M)'!G15-'Data Tables (M) cb_zip'!G15</f>
        <v>7.7678842756498945E-3</v>
      </c>
      <c r="H15" s="3">
        <f>'Data Tables (M)'!H15-'Data Tables (M) cb_zip'!H15</f>
        <v>-2.4331880965799968E-4</v>
      </c>
      <c r="I15" s="3">
        <f>'Data Tables (M)'!I15-'Data Tables (M) cb_zip'!I15</f>
        <v>-9.7699626167013776E-15</v>
      </c>
      <c r="J15" s="3">
        <f>'Data Tables (M)'!J15-'Data Tables (M) cb_zip'!J15</f>
        <v>0</v>
      </c>
      <c r="K15" s="3">
        <f>'Data Tables (M)'!K15-'Data Tables (M) cb_zip'!K15</f>
        <v>0</v>
      </c>
      <c r="L15" s="3">
        <f>'Data Tables (M)'!L15-'Data Tables (M) cb_zip'!L15</f>
        <v>-2.504334741315617E-3</v>
      </c>
      <c r="M15" s="3">
        <f>'Data Tables (M)'!M15-'Data Tables (M) cb_zip'!M15</f>
        <v>0</v>
      </c>
      <c r="N15" s="3">
        <f>'Data Tables (M)'!N15-'Data Tables (M) cb_zip'!N15</f>
        <v>-8.8817841970012523E-15</v>
      </c>
      <c r="O15" s="3">
        <f>'Data Tables (M)'!O15-'Data Tables (M) cb_zip'!O15</f>
        <v>0</v>
      </c>
      <c r="P15" s="3">
        <f>'Data Tables (M)'!P15-'Data Tables (M) cb_zip'!P15</f>
        <v>0</v>
      </c>
      <c r="Q15" s="3">
        <f>'Data Tables (M)'!Q15-'Data Tables (M) cb_zip'!Q15</f>
        <v>0</v>
      </c>
      <c r="R15" s="3">
        <f>'Data Tables (M)'!R15-'Data Tables (M) cb_zip'!R15</f>
        <v>-2.7903067031509465E-4</v>
      </c>
      <c r="S15" s="3">
        <f>'Data Tables (M)'!S15-'Data Tables (M) cb_zip'!S15</f>
        <v>0</v>
      </c>
      <c r="T15" s="3">
        <f>'Data Tables (M)'!T15-'Data Tables (M) cb_zip'!T15</f>
        <v>-1.1102230246251565E-14</v>
      </c>
      <c r="U15" s="3">
        <f>'Data Tables (M)'!U15-'Data Tables (M) cb_zip'!U15</f>
        <v>-6.3769185378808046E-3</v>
      </c>
      <c r="V15" s="3">
        <f>'Data Tables (M)'!V15-'Data Tables (M) cb_zip'!V15</f>
        <v>-5.5947340608047735E-2</v>
      </c>
    </row>
    <row r="16" spans="1:22" x14ac:dyDescent="0.35">
      <c r="A16" t="str">
        <f>'Data Tables (M) no_cb_zip'!A16</f>
        <v>LTV Impact</v>
      </c>
      <c r="B16" s="3">
        <f>'Data Tables (M)'!B16-'Data Tables (M) cb_zip'!B16</f>
        <v>-3.7644761232336066E-4</v>
      </c>
      <c r="C16" s="3">
        <f>'Data Tables (M)'!C16-'Data Tables (M) cb_zip'!C16</f>
        <v>0</v>
      </c>
      <c r="D16" s="3">
        <f>'Data Tables (M)'!D16-'Data Tables (M) cb_zip'!D16</f>
        <v>-2.277720371846037E-3</v>
      </c>
      <c r="E16" s="3">
        <f>'Data Tables (M)'!E16-'Data Tables (M) cb_zip'!E16</f>
        <v>-3.3408350123371733E-3</v>
      </c>
      <c r="F16" s="3">
        <f>'Data Tables (M)'!F16-'Data Tables (M) cb_zip'!F16</f>
        <v>1.0059293930719804E-4</v>
      </c>
      <c r="G16" s="3">
        <f>'Data Tables (M)'!G16-'Data Tables (M) cb_zip'!G16</f>
        <v>-5.8597317217579103E-4</v>
      </c>
      <c r="H16" s="3">
        <f>'Data Tables (M)'!H16-'Data Tables (M) cb_zip'!H16</f>
        <v>2.8674492123625939E-3</v>
      </c>
      <c r="I16" s="3">
        <f>'Data Tables (M)'!I16-'Data Tables (M) cb_zip'!I16</f>
        <v>0</v>
      </c>
      <c r="J16" s="3">
        <f>'Data Tables (M)'!J16-'Data Tables (M) cb_zip'!J16</f>
        <v>0</v>
      </c>
      <c r="K16" s="3">
        <f>'Data Tables (M)'!K16-'Data Tables (M) cb_zip'!K16</f>
        <v>0</v>
      </c>
      <c r="L16" s="3">
        <f>'Data Tables (M)'!L16-'Data Tables (M) cb_zip'!L16</f>
        <v>-2.2234298688470489E-3</v>
      </c>
      <c r="M16" s="3">
        <f>'Data Tables (M)'!M16-'Data Tables (M) cb_zip'!M16</f>
        <v>0</v>
      </c>
      <c r="N16" s="3">
        <f>'Data Tables (M)'!N16-'Data Tables (M) cb_zip'!N16</f>
        <v>0</v>
      </c>
      <c r="O16" s="3">
        <f>'Data Tables (M)'!O16-'Data Tables (M) cb_zip'!O16</f>
        <v>5.3254267555944423E-3</v>
      </c>
      <c r="P16" s="3">
        <f>'Data Tables (M)'!P16-'Data Tables (M) cb_zip'!P16</f>
        <v>0</v>
      </c>
      <c r="Q16" s="3">
        <f>'Data Tables (M)'!Q16-'Data Tables (M) cb_zip'!Q16</f>
        <v>0</v>
      </c>
      <c r="R16" s="3">
        <f>'Data Tables (M)'!R16-'Data Tables (M) cb_zip'!R16</f>
        <v>0</v>
      </c>
      <c r="S16" s="3">
        <f>'Data Tables (M)'!S16-'Data Tables (M) cb_zip'!S16</f>
        <v>0</v>
      </c>
      <c r="T16" s="3">
        <f>'Data Tables (M)'!T16-'Data Tables (M) cb_zip'!T16</f>
        <v>0</v>
      </c>
      <c r="U16" s="3">
        <f>'Data Tables (M)'!U16-'Data Tables (M) cb_zip'!U16</f>
        <v>0</v>
      </c>
      <c r="V16" s="3">
        <f>'Data Tables (M)'!V16-'Data Tables (M) cb_zip'!V16</f>
        <v>1.7613255584720378E-2</v>
      </c>
    </row>
    <row r="17" spans="1:22" x14ac:dyDescent="0.35">
      <c r="A17" t="str">
        <f>'Data Tables (M) no_cb_zip'!A17</f>
        <v>APR Impact</v>
      </c>
      <c r="B17" s="3">
        <f>'Data Tables (M)'!B17-'Data Tables (M) cb_zip'!B17</f>
        <v>-1.6137993671166972E-3</v>
      </c>
      <c r="C17" s="3">
        <f>'Data Tables (M)'!C17-'Data Tables (M) cb_zip'!C17</f>
        <v>-7.7715611723760958E-15</v>
      </c>
      <c r="D17" s="3">
        <f>'Data Tables (M)'!D17-'Data Tables (M) cb_zip'!D17</f>
        <v>2.0292771683189104E-4</v>
      </c>
      <c r="E17" s="3">
        <f>'Data Tables (M)'!E17-'Data Tables (M) cb_zip'!E17</f>
        <v>4.9925638820336182E-5</v>
      </c>
      <c r="F17" s="3">
        <f>'Data Tables (M)'!F17-'Data Tables (M) cb_zip'!F17</f>
        <v>-7.4333107743301818E-4</v>
      </c>
      <c r="G17" s="3">
        <f>'Data Tables (M)'!G17-'Data Tables (M) cb_zip'!G17</f>
        <v>-1.8759210875711751E-3</v>
      </c>
      <c r="H17" s="3">
        <f>'Data Tables (M)'!H17-'Data Tables (M) cb_zip'!H17</f>
        <v>5.9419882231903642E-4</v>
      </c>
      <c r="I17" s="3">
        <f>'Data Tables (M)'!I17-'Data Tables (M) cb_zip'!I17</f>
        <v>3.8857805861880479E-15</v>
      </c>
      <c r="J17" s="3">
        <f>'Data Tables (M)'!J17-'Data Tables (M) cb_zip'!J17</f>
        <v>0</v>
      </c>
      <c r="K17" s="3">
        <f>'Data Tables (M)'!K17-'Data Tables (M) cb_zip'!K17</f>
        <v>-3.8857805861880479E-15</v>
      </c>
      <c r="L17" s="3">
        <f>'Data Tables (M)'!L17-'Data Tables (M) cb_zip'!L17</f>
        <v>1.1537721377241628E-3</v>
      </c>
      <c r="M17" s="3">
        <f>'Data Tables (M)'!M17-'Data Tables (M) cb_zip'!M17</f>
        <v>0</v>
      </c>
      <c r="N17" s="3">
        <f>'Data Tables (M)'!N17-'Data Tables (M) cb_zip'!N17</f>
        <v>0</v>
      </c>
      <c r="O17" s="3">
        <f>'Data Tables (M)'!O17-'Data Tables (M) cb_zip'!O17</f>
        <v>0</v>
      </c>
      <c r="P17" s="3">
        <f>'Data Tables (M)'!P17-'Data Tables (M) cb_zip'!P17</f>
        <v>3.8857805861880479E-15</v>
      </c>
      <c r="Q17" s="3">
        <f>'Data Tables (M)'!Q17-'Data Tables (M) cb_zip'!Q17</f>
        <v>-3.8857805861880479E-15</v>
      </c>
      <c r="R17" s="3">
        <f>'Data Tables (M)'!R17-'Data Tables (M) cb_zip'!R17</f>
        <v>-3.8857805861880479E-15</v>
      </c>
      <c r="S17" s="3">
        <f>'Data Tables (M)'!S17-'Data Tables (M) cb_zip'!S17</f>
        <v>0</v>
      </c>
      <c r="T17" s="3">
        <f>'Data Tables (M)'!T17-'Data Tables (M) cb_zip'!T17</f>
        <v>-3.8857805861880479E-15</v>
      </c>
      <c r="U17" s="3">
        <f>'Data Tables (M)'!U17-'Data Tables (M) cb_zip'!U17</f>
        <v>3.8857805861880479E-15</v>
      </c>
      <c r="V17" s="3">
        <f>'Data Tables (M)'!V17-'Data Tables (M) cb_zip'!V17</f>
        <v>-2.3162144516071792E-2</v>
      </c>
    </row>
    <row r="18" spans="1:22" x14ac:dyDescent="0.35">
      <c r="A18" t="str">
        <f>'Data Tables (M) no_cb_zip'!A18</f>
        <v>RAGU Score</v>
      </c>
      <c r="B18" s="3">
        <f>'Data Tables (M)'!B18-'Data Tables (M) cb_zip'!B18</f>
        <v>-8.2516634591911497E-5</v>
      </c>
      <c r="C18" s="3">
        <f>'Data Tables (M)'!C18-'Data Tables (M) cb_zip'!C18</f>
        <v>0</v>
      </c>
      <c r="D18" s="3">
        <f>'Data Tables (M)'!D18-'Data Tables (M) cb_zip'!D18</f>
        <v>-2.1478210311158819E-3</v>
      </c>
      <c r="E18" s="3">
        <f>'Data Tables (M)'!E18-'Data Tables (M) cb_zip'!E18</f>
        <v>-3.3898371017926365E-3</v>
      </c>
      <c r="F18" s="3">
        <f>'Data Tables (M)'!F18-'Data Tables (M) cb_zip'!F18</f>
        <v>-1.0411226925413075E-2</v>
      </c>
      <c r="G18" s="3">
        <f>'Data Tables (M)'!G18-'Data Tables (M) cb_zip'!G18</f>
        <v>5.2977509924119204E-3</v>
      </c>
      <c r="H18" s="3">
        <f>'Data Tables (M)'!H18-'Data Tables (M) cb_zip'!H18</f>
        <v>3.5219789031089022E-3</v>
      </c>
      <c r="I18" s="3">
        <f>'Data Tables (M)'!I18-'Data Tables (M) cb_zip'!I18</f>
        <v>0</v>
      </c>
      <c r="J18" s="3">
        <f>'Data Tables (M)'!J18-'Data Tables (M) cb_zip'!J18</f>
        <v>0</v>
      </c>
      <c r="K18" s="3">
        <f>'Data Tables (M)'!K18-'Data Tables (M) cb_zip'!K18</f>
        <v>0</v>
      </c>
      <c r="L18" s="3">
        <f>'Data Tables (M)'!L18-'Data Tables (M) cb_zip'!L18</f>
        <v>-6.129659089992856E-3</v>
      </c>
      <c r="M18" s="3">
        <f>'Data Tables (M)'!M18-'Data Tables (M) cb_zip'!M18</f>
        <v>0</v>
      </c>
      <c r="N18" s="3">
        <f>'Data Tables (M)'!N18-'Data Tables (M) cb_zip'!N18</f>
        <v>0</v>
      </c>
      <c r="O18" s="3">
        <f>'Data Tables (M)'!O18-'Data Tables (M) cb_zip'!O18</f>
        <v>5.3254267555757906E-3</v>
      </c>
      <c r="P18" s="3">
        <f>'Data Tables (M)'!P18-'Data Tables (M) cb_zip'!P18</f>
        <v>0</v>
      </c>
      <c r="Q18" s="3">
        <f>'Data Tables (M)'!Q18-'Data Tables (M) cb_zip'!Q18</f>
        <v>0</v>
      </c>
      <c r="R18" s="3">
        <f>'Data Tables (M)'!R18-'Data Tables (M) cb_zip'!R18</f>
        <v>-2.7903067029910744E-4</v>
      </c>
      <c r="S18" s="3">
        <f>'Data Tables (M)'!S18-'Data Tables (M) cb_zip'!S18</f>
        <v>0</v>
      </c>
      <c r="T18" s="3">
        <f>'Data Tables (M)'!T18-'Data Tables (M) cb_zip'!T18</f>
        <v>0</v>
      </c>
      <c r="U18" s="3">
        <f>'Data Tables (M)'!U18-'Data Tables (M) cb_zip'!U18</f>
        <v>-6.3769185378816928E-3</v>
      </c>
      <c r="V18" s="3">
        <f>'Data Tables (M)'!V18-'Data Tables (M) cb_zip'!V18</f>
        <v>-0.12686170457240564</v>
      </c>
    </row>
    <row r="19" spans="1:22" x14ac:dyDescent="0.35">
      <c r="A19" t="str">
        <f>'Data Tables (M) no_cb_zip'!A19</f>
        <v>Amount Financed</v>
      </c>
      <c r="B19" s="3">
        <f>'Data Tables (M)'!B19-'Data Tables (M) cb_zip'!B19</f>
        <v>46277.800000026822</v>
      </c>
      <c r="C19" s="3">
        <f>'Data Tables (M)'!C19-'Data Tables (M) cb_zip'!C19</f>
        <v>0</v>
      </c>
      <c r="D19" s="3">
        <f>'Data Tables (M)'!D19-'Data Tables (M) cb_zip'!D19</f>
        <v>-31752.620000004768</v>
      </c>
      <c r="E19" s="3">
        <f>'Data Tables (M)'!E19-'Data Tables (M) cb_zip'!E19</f>
        <v>7319.429999999702</v>
      </c>
      <c r="F19" s="3">
        <f>'Data Tables (M)'!F19-'Data Tables (M) cb_zip'!F19</f>
        <v>-40019.009999990463</v>
      </c>
      <c r="G19" s="3">
        <f>'Data Tables (M)'!G19-'Data Tables (M) cb_zip'!G19</f>
        <v>58452.64999999851</v>
      </c>
      <c r="H19" s="3">
        <f>'Data Tables (M)'!H19-'Data Tables (M) cb_zip'!H19</f>
        <v>10781.999999992549</v>
      </c>
      <c r="I19" s="3">
        <f>'Data Tables (M)'!I19-'Data Tables (M) cb_zip'!I19</f>
        <v>0</v>
      </c>
      <c r="J19" s="3">
        <f>'Data Tables (M)'!J19-'Data Tables (M) cb_zip'!J19</f>
        <v>0</v>
      </c>
      <c r="K19" s="3">
        <f>'Data Tables (M)'!K19-'Data Tables (M) cb_zip'!K19</f>
        <v>0</v>
      </c>
      <c r="L19" s="3">
        <f>'Data Tables (M)'!L19-'Data Tables (M) cb_zip'!L19</f>
        <v>-24121</v>
      </c>
      <c r="M19" s="3">
        <f>'Data Tables (M)'!M19-'Data Tables (M) cb_zip'!M19</f>
        <v>0</v>
      </c>
      <c r="N19" s="3">
        <f>'Data Tables (M)'!N19-'Data Tables (M) cb_zip'!N19</f>
        <v>0</v>
      </c>
      <c r="O19" s="3">
        <f>'Data Tables (M)'!O19-'Data Tables (M) cb_zip'!O19</f>
        <v>0</v>
      </c>
      <c r="P19" s="3">
        <f>'Data Tables (M)'!P19-'Data Tables (M) cb_zip'!P19</f>
        <v>0</v>
      </c>
      <c r="Q19" s="3">
        <f>'Data Tables (M)'!Q19-'Data Tables (M) cb_zip'!Q19</f>
        <v>0</v>
      </c>
      <c r="R19" s="3">
        <f>'Data Tables (M)'!R19-'Data Tables (M) cb_zip'!R19</f>
        <v>0</v>
      </c>
      <c r="S19" s="3">
        <f>'Data Tables (M)'!S19-'Data Tables (M) cb_zip'!S19</f>
        <v>0</v>
      </c>
      <c r="T19" s="3">
        <f>'Data Tables (M)'!T19-'Data Tables (M) cb_zip'!T19</f>
        <v>0</v>
      </c>
      <c r="U19" s="3">
        <f>'Data Tables (M)'!U19-'Data Tables (M) cb_zip'!U19</f>
        <v>0</v>
      </c>
      <c r="V19" s="3">
        <f>'Data Tables (M)'!V19-'Data Tables (M) cb_zip'!V19</f>
        <v>1948870.3500000015</v>
      </c>
    </row>
    <row r="20" spans="1:22" x14ac:dyDescent="0.35">
      <c r="A20" t="str">
        <f>'Data Tables (M) no_cb_zip'!A20</f>
        <v>Weighted LTV</v>
      </c>
      <c r="B20" s="3">
        <f>'Data Tables (M)'!B20-'Data Tables (M) cb_zip'!B20</f>
        <v>2.5336822373045464E-5</v>
      </c>
      <c r="C20" s="3">
        <f>'Data Tables (M)'!C20-'Data Tables (M) cb_zip'!C20</f>
        <v>0</v>
      </c>
      <c r="D20" s="3">
        <f>'Data Tables (M)'!D20-'Data Tables (M) cb_zip'!D20</f>
        <v>1.5156421149509214E-4</v>
      </c>
      <c r="E20" s="3">
        <f>'Data Tables (M)'!E20-'Data Tables (M) cb_zip'!E20</f>
        <v>2.1338542225590729E-4</v>
      </c>
      <c r="F20" s="3">
        <f>'Data Tables (M)'!F20-'Data Tables (M) cb_zip'!F20</f>
        <v>-6.2294771550064354E-6</v>
      </c>
      <c r="G20" s="3">
        <f>'Data Tables (M)'!G20-'Data Tables (M) cb_zip'!G20</f>
        <v>3.537695442101807E-5</v>
      </c>
      <c r="H20" s="3">
        <f>'Data Tables (M)'!H20-'Data Tables (M) cb_zip'!H20</f>
        <v>-1.7840773920796416E-4</v>
      </c>
      <c r="I20" s="3">
        <f>'Data Tables (M)'!I20-'Data Tables (M) cb_zip'!I20</f>
        <v>0</v>
      </c>
      <c r="J20" s="3">
        <f>'Data Tables (M)'!J20-'Data Tables (M) cb_zip'!J20</f>
        <v>0</v>
      </c>
      <c r="K20" s="3">
        <f>'Data Tables (M)'!K20-'Data Tables (M) cb_zip'!K20</f>
        <v>0</v>
      </c>
      <c r="L20" s="3">
        <f>'Data Tables (M)'!L20-'Data Tables (M) cb_zip'!L20</f>
        <v>1.3653511028510756E-4</v>
      </c>
      <c r="M20" s="3">
        <f>'Data Tables (M)'!M20-'Data Tables (M) cb_zip'!M20</f>
        <v>0</v>
      </c>
      <c r="N20" s="3">
        <f>'Data Tables (M)'!N20-'Data Tables (M) cb_zip'!N20</f>
        <v>0</v>
      </c>
      <c r="O20" s="3">
        <f>'Data Tables (M)'!O20-'Data Tables (M) cb_zip'!O20</f>
        <v>-3.7167044320196574E-4</v>
      </c>
      <c r="P20" s="3">
        <f>'Data Tables (M)'!P20-'Data Tables (M) cb_zip'!P20</f>
        <v>0</v>
      </c>
      <c r="Q20" s="3">
        <f>'Data Tables (M)'!Q20-'Data Tables (M) cb_zip'!Q20</f>
        <v>0</v>
      </c>
      <c r="R20" s="3">
        <f>'Data Tables (M)'!R20-'Data Tables (M) cb_zip'!R20</f>
        <v>0</v>
      </c>
      <c r="S20" s="3">
        <f>'Data Tables (M)'!S20-'Data Tables (M) cb_zip'!S20</f>
        <v>0</v>
      </c>
      <c r="T20" s="3">
        <f>'Data Tables (M)'!T20-'Data Tables (M) cb_zip'!T20</f>
        <v>0</v>
      </c>
      <c r="U20" s="3">
        <f>'Data Tables (M)'!U20-'Data Tables (M) cb_zip'!U20</f>
        <v>0</v>
      </c>
      <c r="V20" s="3">
        <f>'Data Tables (M)'!V20-'Data Tables (M) cb_zip'!V20</f>
        <v>-1.1990840261320024E-3</v>
      </c>
    </row>
    <row r="21" spans="1:22" x14ac:dyDescent="0.35">
      <c r="A21" t="str">
        <f>'Data Tables (M) no_cb_zip'!A21</f>
        <v>Weighted APR</v>
      </c>
      <c r="B21" s="3">
        <f>'Data Tables (M)'!B21-'Data Tables (M) cb_zip'!B21</f>
        <v>2.3054276673095675E-5</v>
      </c>
      <c r="C21" s="3">
        <f>'Data Tables (M)'!C21-'Data Tables (M) cb_zip'!C21</f>
        <v>0</v>
      </c>
      <c r="D21" s="3">
        <f>'Data Tables (M)'!D21-'Data Tables (M) cb_zip'!D21</f>
        <v>-2.8989673833135221E-6</v>
      </c>
      <c r="E21" s="3">
        <f>'Data Tables (M)'!E21-'Data Tables (M) cb_zip'!E21</f>
        <v>-7.1322341171908832E-7</v>
      </c>
      <c r="F21" s="3">
        <f>'Data Tables (M)'!F21-'Data Tables (M) cb_zip'!F21</f>
        <v>1.0619015391899467E-5</v>
      </c>
      <c r="G21" s="3">
        <f>'Data Tables (M)'!G21-'Data Tables (M) cb_zip'!G21</f>
        <v>2.6798872679589802E-5</v>
      </c>
      <c r="H21" s="3">
        <f>'Data Tables (M)'!H21-'Data Tables (M) cb_zip'!H21</f>
        <v>-8.4885546046131743E-6</v>
      </c>
      <c r="I21" s="3">
        <f>'Data Tables (M)'!I21-'Data Tables (M) cb_zip'!I21</f>
        <v>0</v>
      </c>
      <c r="J21" s="3">
        <f>'Data Tables (M)'!J21-'Data Tables (M) cb_zip'!J21</f>
        <v>0</v>
      </c>
      <c r="K21" s="3">
        <f>'Data Tables (M)'!K21-'Data Tables (M) cb_zip'!K21</f>
        <v>0</v>
      </c>
      <c r="L21" s="3">
        <f>'Data Tables (M)'!L21-'Data Tables (M) cb_zip'!L21</f>
        <v>-1.6482459110400693E-5</v>
      </c>
      <c r="M21" s="3">
        <f>'Data Tables (M)'!M21-'Data Tables (M) cb_zip'!M21</f>
        <v>0</v>
      </c>
      <c r="N21" s="3">
        <f>'Data Tables (M)'!N21-'Data Tables (M) cb_zip'!N21</f>
        <v>0</v>
      </c>
      <c r="O21" s="3">
        <f>'Data Tables (M)'!O21-'Data Tables (M) cb_zip'!O21</f>
        <v>0</v>
      </c>
      <c r="P21" s="3">
        <f>'Data Tables (M)'!P21-'Data Tables (M) cb_zip'!P21</f>
        <v>0</v>
      </c>
      <c r="Q21" s="3">
        <f>'Data Tables (M)'!Q21-'Data Tables (M) cb_zip'!Q21</f>
        <v>0</v>
      </c>
      <c r="R21" s="3">
        <f>'Data Tables (M)'!R21-'Data Tables (M) cb_zip'!R21</f>
        <v>0</v>
      </c>
      <c r="S21" s="3">
        <f>'Data Tables (M)'!S21-'Data Tables (M) cb_zip'!S21</f>
        <v>0</v>
      </c>
      <c r="T21" s="3">
        <f>'Data Tables (M)'!T21-'Data Tables (M) cb_zip'!T21</f>
        <v>0</v>
      </c>
      <c r="U21" s="3">
        <f>'Data Tables (M)'!U21-'Data Tables (M) cb_zip'!U21</f>
        <v>0</v>
      </c>
      <c r="V21" s="3">
        <f>'Data Tables (M)'!V21-'Data Tables (M) cb_zip'!V21</f>
        <v>3.308877788010256E-4</v>
      </c>
    </row>
    <row r="22" spans="1:22" x14ac:dyDescent="0.35">
      <c r="A22">
        <f>'Data Tables (M) no_cb_zip'!A22</f>
        <v>0</v>
      </c>
      <c r="B22" s="3">
        <f>'Data Tables (M)'!B22-'Data Tables (M) cb_zip'!B22</f>
        <v>0</v>
      </c>
      <c r="C22" s="3">
        <f>'Data Tables (M)'!C22-'Data Tables (M) cb_zip'!C22</f>
        <v>0</v>
      </c>
      <c r="D22" s="3">
        <f>'Data Tables (M)'!D22-'Data Tables (M) cb_zip'!D22</f>
        <v>0</v>
      </c>
      <c r="E22" s="3">
        <f>'Data Tables (M)'!E22-'Data Tables (M) cb_zip'!E22</f>
        <v>0</v>
      </c>
      <c r="F22" s="3">
        <f>'Data Tables (M)'!F22-'Data Tables (M) cb_zip'!F22</f>
        <v>0</v>
      </c>
      <c r="G22" s="3">
        <f>'Data Tables (M)'!G22-'Data Tables (M) cb_zip'!G22</f>
        <v>0</v>
      </c>
      <c r="H22" s="3">
        <f>'Data Tables (M)'!H22-'Data Tables (M) cb_zip'!H22</f>
        <v>0</v>
      </c>
      <c r="I22" s="3">
        <f>'Data Tables (M)'!I22-'Data Tables (M) cb_zip'!I22</f>
        <v>0</v>
      </c>
      <c r="J22" s="3">
        <f>'Data Tables (M)'!J22-'Data Tables (M) cb_zip'!J22</f>
        <v>0</v>
      </c>
      <c r="K22" s="3">
        <f>'Data Tables (M)'!K22-'Data Tables (M) cb_zip'!K22</f>
        <v>0</v>
      </c>
      <c r="L22" s="3">
        <f>'Data Tables (M)'!L22-'Data Tables (M) cb_zip'!L22</f>
        <v>0</v>
      </c>
      <c r="M22" s="3">
        <f>'Data Tables (M)'!M22-'Data Tables (M) cb_zip'!M22</f>
        <v>0</v>
      </c>
      <c r="N22" s="3">
        <f>'Data Tables (M)'!N22-'Data Tables (M) cb_zip'!N22</f>
        <v>0</v>
      </c>
      <c r="O22" s="3">
        <f>'Data Tables (M)'!O22-'Data Tables (M) cb_zip'!O22</f>
        <v>0</v>
      </c>
      <c r="P22" s="3">
        <f>'Data Tables (M)'!P22-'Data Tables (M) cb_zip'!P22</f>
        <v>0</v>
      </c>
      <c r="Q22" s="3">
        <f>'Data Tables (M)'!Q22-'Data Tables (M) cb_zip'!Q22</f>
        <v>0</v>
      </c>
      <c r="R22" s="3">
        <f>'Data Tables (M)'!R22-'Data Tables (M) cb_zip'!R22</f>
        <v>0</v>
      </c>
      <c r="S22" s="3">
        <f>'Data Tables (M)'!S22-'Data Tables (M) cb_zip'!S22</f>
        <v>0</v>
      </c>
      <c r="T22" s="3">
        <f>'Data Tables (M)'!T22-'Data Tables (M) cb_zip'!T22</f>
        <v>0</v>
      </c>
      <c r="U22" s="3">
        <f>'Data Tables (M)'!U22-'Data Tables (M) cb_zip'!U22</f>
        <v>0</v>
      </c>
      <c r="V22" s="3">
        <f>'Data Tables (M)'!V22-'Data Tables (M) cb_zip'!V22</f>
        <v>0</v>
      </c>
    </row>
    <row r="23" spans="1:22" x14ac:dyDescent="0.35">
      <c r="A23" t="str">
        <f>'Data Tables (M) no_cb_zip'!A23</f>
        <v>STG</v>
      </c>
      <c r="B23" s="3" t="e">
        <f>'Data Tables (M)'!B23-'Data Tables (M) cb_zip'!B23</f>
        <v>#VALUE!</v>
      </c>
      <c r="C23" s="3" t="e">
        <f>'Data Tables (M)'!C23-'Data Tables (M) cb_zip'!C23</f>
        <v>#VALUE!</v>
      </c>
      <c r="D23" s="3" t="e">
        <f>'Data Tables (M)'!D23-'Data Tables (M) cb_zip'!D23</f>
        <v>#VALUE!</v>
      </c>
      <c r="E23" s="3" t="e">
        <f>'Data Tables (M)'!E23-'Data Tables (M) cb_zip'!E23</f>
        <v>#VALUE!</v>
      </c>
      <c r="F23" s="3" t="e">
        <f>'Data Tables (M)'!F23-'Data Tables (M) cb_zip'!F23</f>
        <v>#VALUE!</v>
      </c>
      <c r="G23" s="3" t="e">
        <f>'Data Tables (M)'!G23-'Data Tables (M) cb_zip'!G23</f>
        <v>#VALUE!</v>
      </c>
      <c r="H23" s="3" t="e">
        <f>'Data Tables (M)'!H23-'Data Tables (M) cb_zip'!H23</f>
        <v>#VALUE!</v>
      </c>
      <c r="I23" s="3" t="e">
        <f>'Data Tables (M)'!I23-'Data Tables (M) cb_zip'!I23</f>
        <v>#VALUE!</v>
      </c>
      <c r="J23" s="3" t="e">
        <f>'Data Tables (M)'!J23-'Data Tables (M) cb_zip'!J23</f>
        <v>#VALUE!</v>
      </c>
      <c r="K23" s="3" t="e">
        <f>'Data Tables (M)'!K23-'Data Tables (M) cb_zip'!K23</f>
        <v>#VALUE!</v>
      </c>
      <c r="L23" s="3" t="e">
        <f>'Data Tables (M)'!L23-'Data Tables (M) cb_zip'!L23</f>
        <v>#VALUE!</v>
      </c>
      <c r="M23" s="3" t="e">
        <f>'Data Tables (M)'!M23-'Data Tables (M) cb_zip'!M23</f>
        <v>#VALUE!</v>
      </c>
      <c r="N23" s="3" t="e">
        <f>'Data Tables (M)'!N23-'Data Tables (M) cb_zip'!N23</f>
        <v>#VALUE!</v>
      </c>
      <c r="O23" s="3" t="e">
        <f>'Data Tables (M)'!O23-'Data Tables (M) cb_zip'!O23</f>
        <v>#VALUE!</v>
      </c>
      <c r="P23" s="3" t="e">
        <f>'Data Tables (M)'!P23-'Data Tables (M) cb_zip'!P23</f>
        <v>#VALUE!</v>
      </c>
      <c r="Q23" s="3" t="e">
        <f>'Data Tables (M)'!Q23-'Data Tables (M) cb_zip'!Q23</f>
        <v>#VALUE!</v>
      </c>
      <c r="R23" s="3" t="e">
        <f>'Data Tables (M)'!R23-'Data Tables (M) cb_zip'!R23</f>
        <v>#VALUE!</v>
      </c>
      <c r="S23" s="3" t="e">
        <f>'Data Tables (M)'!S23-'Data Tables (M) cb_zip'!S23</f>
        <v>#VALUE!</v>
      </c>
      <c r="T23" s="3" t="e">
        <f>'Data Tables (M)'!T23-'Data Tables (M) cb_zip'!T23</f>
        <v>#VALUE!</v>
      </c>
      <c r="U23" s="3" t="e">
        <f>'Data Tables (M)'!U23-'Data Tables (M) cb_zip'!U23</f>
        <v>#VALUE!</v>
      </c>
      <c r="V23" s="3" t="e">
        <f>'Data Tables (M)'!V23-'Data Tables (M) cb_zip'!V23</f>
        <v>#VALUE!</v>
      </c>
    </row>
    <row r="24" spans="1:22" x14ac:dyDescent="0.35">
      <c r="A24" t="str">
        <f>'Data Tables (M) no_cb_zip'!A24</f>
        <v>Model Score</v>
      </c>
      <c r="B24" s="3">
        <f>'Data Tables (M)'!B24-'Data Tables (M) cb_zip'!B24</f>
        <v>0</v>
      </c>
      <c r="C24" s="3">
        <f>'Data Tables (M)'!C24-'Data Tables (M) cb_zip'!C24</f>
        <v>0</v>
      </c>
      <c r="D24" s="3">
        <f>'Data Tables (M)'!D24-'Data Tables (M) cb_zip'!D24</f>
        <v>0</v>
      </c>
      <c r="E24" s="3">
        <f>'Data Tables (M)'!E24-'Data Tables (M) cb_zip'!E24</f>
        <v>0</v>
      </c>
      <c r="F24" s="3">
        <f>'Data Tables (M)'!F24-'Data Tables (M) cb_zip'!F24</f>
        <v>0</v>
      </c>
      <c r="G24" s="3">
        <f>'Data Tables (M)'!G24-'Data Tables (M) cb_zip'!G24</f>
        <v>0</v>
      </c>
      <c r="H24" s="3">
        <f>'Data Tables (M)'!H24-'Data Tables (M) cb_zip'!H24</f>
        <v>0</v>
      </c>
      <c r="I24" s="3">
        <f>'Data Tables (M)'!I24-'Data Tables (M) cb_zip'!I24</f>
        <v>0</v>
      </c>
      <c r="J24" s="3">
        <f>'Data Tables (M)'!J24-'Data Tables (M) cb_zip'!J24</f>
        <v>0</v>
      </c>
      <c r="K24" s="3">
        <f>'Data Tables (M)'!K24-'Data Tables (M) cb_zip'!K24</f>
        <v>0</v>
      </c>
      <c r="L24" s="3">
        <f>'Data Tables (M)'!L24-'Data Tables (M) cb_zip'!L24</f>
        <v>0</v>
      </c>
      <c r="M24" s="3">
        <f>'Data Tables (M)'!M24-'Data Tables (M) cb_zip'!M24</f>
        <v>0</v>
      </c>
      <c r="N24" s="3">
        <f>'Data Tables (M)'!N24-'Data Tables (M) cb_zip'!N24</f>
        <v>0</v>
      </c>
      <c r="O24" s="3">
        <f>'Data Tables (M)'!O24-'Data Tables (M) cb_zip'!O24</f>
        <v>0</v>
      </c>
      <c r="P24" s="3">
        <f>'Data Tables (M)'!P24-'Data Tables (M) cb_zip'!P24</f>
        <v>0</v>
      </c>
      <c r="Q24" s="3">
        <f>'Data Tables (M)'!Q24-'Data Tables (M) cb_zip'!Q24</f>
        <v>0</v>
      </c>
      <c r="R24" s="3">
        <f>'Data Tables (M)'!R24-'Data Tables (M) cb_zip'!R24</f>
        <v>0</v>
      </c>
      <c r="S24" s="3">
        <f>'Data Tables (M)'!S24-'Data Tables (M) cb_zip'!S24</f>
        <v>0</v>
      </c>
      <c r="T24" s="3">
        <f>'Data Tables (M)'!T24-'Data Tables (M) cb_zip'!T24</f>
        <v>0</v>
      </c>
      <c r="U24" s="3">
        <f>'Data Tables (M)'!U24-'Data Tables (M) cb_zip'!U24</f>
        <v>0</v>
      </c>
      <c r="V24" s="3">
        <f>'Data Tables (M)'!V24-'Data Tables (M) cb_zip'!V24</f>
        <v>-1.2807007450618357E-2</v>
      </c>
    </row>
    <row r="25" spans="1:22" x14ac:dyDescent="0.35">
      <c r="A25" t="str">
        <f>'Data Tables (M) no_cb_zip'!A25</f>
        <v>Expected Gross Loss Impact</v>
      </c>
      <c r="B25" s="3">
        <f>'Data Tables (M)'!B25-'Data Tables (M) cb_zip'!B25</f>
        <v>1.0229765281910552E-3</v>
      </c>
      <c r="C25" s="3">
        <f>'Data Tables (M)'!C25-'Data Tables (M) cb_zip'!C25</f>
        <v>0</v>
      </c>
      <c r="D25" s="3">
        <f>'Data Tables (M)'!D25-'Data Tables (M) cb_zip'!D25</f>
        <v>-4.5390897533650332E-3</v>
      </c>
      <c r="E25" s="3">
        <f>'Data Tables (M)'!E25-'Data Tables (M) cb_zip'!E25</f>
        <v>1.1966980640629732E-3</v>
      </c>
      <c r="F25" s="3">
        <f>'Data Tables (M)'!F25-'Data Tables (M) cb_zip'!F25</f>
        <v>3.7012700638290319E-3</v>
      </c>
      <c r="G25" s="3">
        <f>'Data Tables (M)'!G25-'Data Tables (M) cb_zip'!G25</f>
        <v>7.6715504303870308E-3</v>
      </c>
      <c r="H25" s="3">
        <f>'Data Tables (M)'!H25-'Data Tables (M) cb_zip'!H25</f>
        <v>0</v>
      </c>
      <c r="I25" s="3">
        <f>'Data Tables (M)'!I25-'Data Tables (M) cb_zip'!I25</f>
        <v>0</v>
      </c>
      <c r="J25" s="3">
        <f>'Data Tables (M)'!J25-'Data Tables (M) cb_zip'!J25</f>
        <v>0</v>
      </c>
      <c r="K25" s="3">
        <f>'Data Tables (M)'!K25-'Data Tables (M) cb_zip'!K25</f>
        <v>0</v>
      </c>
      <c r="L25" s="3">
        <f>'Data Tables (M)'!L25-'Data Tables (M) cb_zip'!L25</f>
        <v>0</v>
      </c>
      <c r="M25" s="3">
        <f>'Data Tables (M)'!M25-'Data Tables (M) cb_zip'!M25</f>
        <v>0</v>
      </c>
      <c r="N25" s="3">
        <f>'Data Tables (M)'!N25-'Data Tables (M) cb_zip'!N25</f>
        <v>-2.9309887850104133E-14</v>
      </c>
      <c r="O25" s="3">
        <f>'Data Tables (M)'!O25-'Data Tables (M) cb_zip'!O25</f>
        <v>0</v>
      </c>
      <c r="P25" s="3">
        <f>'Data Tables (M)'!P25-'Data Tables (M) cb_zip'!P25</f>
        <v>0</v>
      </c>
      <c r="Q25" s="3">
        <f>'Data Tables (M)'!Q25-'Data Tables (M) cb_zip'!Q25</f>
        <v>2.886579864025407E-14</v>
      </c>
      <c r="R25" s="3">
        <f>'Data Tables (M)'!R25-'Data Tables (M) cb_zip'!R25</f>
        <v>0</v>
      </c>
      <c r="S25" s="3">
        <f>'Data Tables (M)'!S25-'Data Tables (M) cb_zip'!S25</f>
        <v>0</v>
      </c>
      <c r="T25" s="3">
        <f>'Data Tables (M)'!T25-'Data Tables (M) cb_zip'!T25</f>
        <v>-2.9087843245179101E-14</v>
      </c>
      <c r="U25" s="3">
        <f>'Data Tables (M)'!U25-'Data Tables (M) cb_zip'!U25</f>
        <v>0</v>
      </c>
      <c r="V25" s="3">
        <f>'Data Tables (M)'!V25-'Data Tables (M) cb_zip'!V25</f>
        <v>1.8003186170972185E-2</v>
      </c>
    </row>
    <row r="26" spans="1:22" x14ac:dyDescent="0.35">
      <c r="A26" t="str">
        <f>'Data Tables (M) no_cb_zip'!A26</f>
        <v>Recovery Impact</v>
      </c>
      <c r="B26" s="3">
        <f>'Data Tables (M)'!B26-'Data Tables (M) cb_zip'!B26</f>
        <v>1.5892767886160897E-5</v>
      </c>
      <c r="C26" s="3">
        <f>'Data Tables (M)'!C26-'Data Tables (M) cb_zip'!C26</f>
        <v>1.021405182655144E-14</v>
      </c>
      <c r="D26" s="3">
        <f>'Data Tables (M)'!D26-'Data Tables (M) cb_zip'!D26</f>
        <v>9.5551130854010236E-3</v>
      </c>
      <c r="E26" s="3">
        <f>'Data Tables (M)'!E26-'Data Tables (M) cb_zip'!E26</f>
        <v>1.4783970914318267E-3</v>
      </c>
      <c r="F26" s="3">
        <f>'Data Tables (M)'!F26-'Data Tables (M) cb_zip'!F26</f>
        <v>-1.9786525881626105E-2</v>
      </c>
      <c r="G26" s="3">
        <f>'Data Tables (M)'!G26-'Data Tables (M) cb_zip'!G26</f>
        <v>4.4705283344919966E-2</v>
      </c>
      <c r="H26" s="3">
        <f>'Data Tables (M)'!H26-'Data Tables (M) cb_zip'!H26</f>
        <v>-1.1102230246251565E-14</v>
      </c>
      <c r="I26" s="3">
        <f>'Data Tables (M)'!I26-'Data Tables (M) cb_zip'!I26</f>
        <v>0</v>
      </c>
      <c r="J26" s="3">
        <f>'Data Tables (M)'!J26-'Data Tables (M) cb_zip'!J26</f>
        <v>-2.1760371282653068E-14</v>
      </c>
      <c r="K26" s="3">
        <f>'Data Tables (M)'!K26-'Data Tables (M) cb_zip'!K26</f>
        <v>-1.1102230246251565E-14</v>
      </c>
      <c r="L26" s="3">
        <f>'Data Tables (M)'!L26-'Data Tables (M) cb_zip'!L26</f>
        <v>-9.7699626167013776E-15</v>
      </c>
      <c r="M26" s="3">
        <f>'Data Tables (M)'!M26-'Data Tables (M) cb_zip'!M26</f>
        <v>0</v>
      </c>
      <c r="N26" s="3">
        <f>'Data Tables (M)'!N26-'Data Tables (M) cb_zip'!N26</f>
        <v>1.1546319456101628E-14</v>
      </c>
      <c r="O26" s="3">
        <f>'Data Tables (M)'!O26-'Data Tables (M) cb_zip'!O26</f>
        <v>2.1760371282653068E-14</v>
      </c>
      <c r="P26" s="3">
        <f>'Data Tables (M)'!P26-'Data Tables (M) cb_zip'!P26</f>
        <v>-7.3140969960570068E-3</v>
      </c>
      <c r="Q26" s="3">
        <f>'Data Tables (M)'!Q26-'Data Tables (M) cb_zip'!Q26</f>
        <v>0</v>
      </c>
      <c r="R26" s="3">
        <f>'Data Tables (M)'!R26-'Data Tables (M) cb_zip'!R26</f>
        <v>-1.1546319456101628E-14</v>
      </c>
      <c r="S26" s="3">
        <f>'Data Tables (M)'!S26-'Data Tables (M) cb_zip'!S26</f>
        <v>0</v>
      </c>
      <c r="T26" s="3">
        <f>'Data Tables (M)'!T26-'Data Tables (M) cb_zip'!T26</f>
        <v>0</v>
      </c>
      <c r="U26" s="3">
        <f>'Data Tables (M)'!U26-'Data Tables (M) cb_zip'!U26</f>
        <v>-1.1990408665951691E-14</v>
      </c>
      <c r="V26" s="3">
        <f>'Data Tables (M)'!V26-'Data Tables (M) cb_zip'!V26</f>
        <v>6.3474223274275765E-2</v>
      </c>
    </row>
    <row r="27" spans="1:22" x14ac:dyDescent="0.35">
      <c r="A27" t="str">
        <f>'Data Tables (M) no_cb_zip'!A27</f>
        <v>LTV Impact</v>
      </c>
      <c r="B27" s="3">
        <f>'Data Tables (M)'!B27-'Data Tables (M) cb_zip'!B27</f>
        <v>-7.8710367394050351E-3</v>
      </c>
      <c r="C27" s="3">
        <f>'Data Tables (M)'!C27-'Data Tables (M) cb_zip'!C27</f>
        <v>0</v>
      </c>
      <c r="D27" s="3">
        <f>'Data Tables (M)'!D27-'Data Tables (M) cb_zip'!D27</f>
        <v>1.3694011268769124E-2</v>
      </c>
      <c r="E27" s="3">
        <f>'Data Tables (M)'!E27-'Data Tables (M) cb_zip'!E27</f>
        <v>7.3517637361231181E-3</v>
      </c>
      <c r="F27" s="3">
        <f>'Data Tables (M)'!F27-'Data Tables (M) cb_zip'!F27</f>
        <v>5.3943519635462067E-3</v>
      </c>
      <c r="G27" s="3">
        <f>'Data Tables (M)'!G27-'Data Tables (M) cb_zip'!G27</f>
        <v>2.6032430414320018E-3</v>
      </c>
      <c r="H27" s="3">
        <f>'Data Tables (M)'!H27-'Data Tables (M) cb_zip'!H27</f>
        <v>0</v>
      </c>
      <c r="I27" s="3">
        <f>'Data Tables (M)'!I27-'Data Tables (M) cb_zip'!I27</f>
        <v>0</v>
      </c>
      <c r="J27" s="3">
        <f>'Data Tables (M)'!J27-'Data Tables (M) cb_zip'!J27</f>
        <v>0</v>
      </c>
      <c r="K27" s="3">
        <f>'Data Tables (M)'!K27-'Data Tables (M) cb_zip'!K27</f>
        <v>0</v>
      </c>
      <c r="L27" s="3">
        <f>'Data Tables (M)'!L27-'Data Tables (M) cb_zip'!L27</f>
        <v>0</v>
      </c>
      <c r="M27" s="3">
        <f>'Data Tables (M)'!M27-'Data Tables (M) cb_zip'!M27</f>
        <v>0</v>
      </c>
      <c r="N27" s="3">
        <f>'Data Tables (M)'!N27-'Data Tables (M) cb_zip'!N27</f>
        <v>-1.0658141036401503E-14</v>
      </c>
      <c r="O27" s="3">
        <f>'Data Tables (M)'!O27-'Data Tables (M) cb_zip'!O27</f>
        <v>0</v>
      </c>
      <c r="P27" s="3">
        <f>'Data Tables (M)'!P27-'Data Tables (M) cb_zip'!P27</f>
        <v>0</v>
      </c>
      <c r="Q27" s="3">
        <f>'Data Tables (M)'!Q27-'Data Tables (M) cb_zip'!Q27</f>
        <v>0</v>
      </c>
      <c r="R27" s="3">
        <f>'Data Tables (M)'!R27-'Data Tables (M) cb_zip'!R27</f>
        <v>0</v>
      </c>
      <c r="S27" s="3">
        <f>'Data Tables (M)'!S27-'Data Tables (M) cb_zip'!S27</f>
        <v>0</v>
      </c>
      <c r="T27" s="3">
        <f>'Data Tables (M)'!T27-'Data Tables (M) cb_zip'!T27</f>
        <v>0</v>
      </c>
      <c r="U27" s="3">
        <f>'Data Tables (M)'!U27-'Data Tables (M) cb_zip'!U27</f>
        <v>0</v>
      </c>
      <c r="V27" s="3">
        <f>'Data Tables (M)'!V27-'Data Tables (M) cb_zip'!V27</f>
        <v>-9.7219142205845266E-2</v>
      </c>
    </row>
    <row r="28" spans="1:22" x14ac:dyDescent="0.35">
      <c r="A28" t="str">
        <f>'Data Tables (M) no_cb_zip'!A28</f>
        <v>APR Impact</v>
      </c>
      <c r="B28" s="3">
        <f>'Data Tables (M)'!B28-'Data Tables (M) cb_zip'!B28</f>
        <v>-7.9763552994743803E-4</v>
      </c>
      <c r="C28" s="3">
        <f>'Data Tables (M)'!C28-'Data Tables (M) cb_zip'!C28</f>
        <v>0</v>
      </c>
      <c r="D28" s="3">
        <f>'Data Tables (M)'!D28-'Data Tables (M) cb_zip'!D28</f>
        <v>2.7293851342868949E-3</v>
      </c>
      <c r="E28" s="3">
        <f>'Data Tables (M)'!E28-'Data Tables (M) cb_zip'!E28</f>
        <v>4.7539058609860629E-4</v>
      </c>
      <c r="F28" s="3">
        <f>'Data Tables (M)'!F28-'Data Tables (M) cb_zip'!F28</f>
        <v>-4.2593633966755973E-3</v>
      </c>
      <c r="G28" s="3">
        <f>'Data Tables (M)'!G28-'Data Tables (M) cb_zip'!G28</f>
        <v>7.7204265645143266E-3</v>
      </c>
      <c r="H28" s="3">
        <f>'Data Tables (M)'!H28-'Data Tables (M) cb_zip'!H28</f>
        <v>0</v>
      </c>
      <c r="I28" s="3">
        <f>'Data Tables (M)'!I28-'Data Tables (M) cb_zip'!I28</f>
        <v>1.9012569296705806E-15</v>
      </c>
      <c r="J28" s="3">
        <f>'Data Tables (M)'!J28-'Data Tables (M) cb_zip'!J28</f>
        <v>-1.9984014443252818E-15</v>
      </c>
      <c r="K28" s="3">
        <f>'Data Tables (M)'!K28-'Data Tables (M) cb_zip'!K28</f>
        <v>3.8857805861880479E-15</v>
      </c>
      <c r="L28" s="3">
        <f>'Data Tables (M)'!L28-'Data Tables (M) cb_zip'!L28</f>
        <v>0</v>
      </c>
      <c r="M28" s="3">
        <f>'Data Tables (M)'!M28-'Data Tables (M) cb_zip'!M28</f>
        <v>0</v>
      </c>
      <c r="N28" s="3">
        <f>'Data Tables (M)'!N28-'Data Tables (M) cb_zip'!N28</f>
        <v>-2.1094237467877974E-15</v>
      </c>
      <c r="O28" s="3">
        <f>'Data Tables (M)'!O28-'Data Tables (M) cb_zip'!O28</f>
        <v>1.8873791418627661E-15</v>
      </c>
      <c r="P28" s="3">
        <f>'Data Tables (M)'!P28-'Data Tables (M) cb_zip'!P28</f>
        <v>0</v>
      </c>
      <c r="Q28" s="3">
        <f>'Data Tables (M)'!Q28-'Data Tables (M) cb_zip'!Q28</f>
        <v>-1.7763568394002505E-15</v>
      </c>
      <c r="R28" s="3">
        <f>'Data Tables (M)'!R28-'Data Tables (M) cb_zip'!R28</f>
        <v>0</v>
      </c>
      <c r="S28" s="3">
        <f>'Data Tables (M)'!S28-'Data Tables (M) cb_zip'!S28</f>
        <v>-7.7715611723760958E-15</v>
      </c>
      <c r="T28" s="3">
        <f>'Data Tables (M)'!T28-'Data Tables (M) cb_zip'!T28</f>
        <v>-3.9968028886505635E-15</v>
      </c>
      <c r="U28" s="3">
        <f>'Data Tables (M)'!U28-'Data Tables (M) cb_zip'!U28</f>
        <v>1.7763568394002505E-15</v>
      </c>
      <c r="V28" s="3">
        <f>'Data Tables (M)'!V28-'Data Tables (M) cb_zip'!V28</f>
        <v>-2.7440400431992584E-2</v>
      </c>
    </row>
    <row r="29" spans="1:22" x14ac:dyDescent="0.35">
      <c r="A29" t="str">
        <f>'Data Tables (M) no_cb_zip'!A29</f>
        <v>RAGU Score</v>
      </c>
      <c r="B29" s="3">
        <f>'Data Tables (M)'!B29-'Data Tables (M) cb_zip'!B29</f>
        <v>-7.6298029731844963E-3</v>
      </c>
      <c r="C29" s="3">
        <f>'Data Tables (M)'!C29-'Data Tables (M) cb_zip'!C29</f>
        <v>0</v>
      </c>
      <c r="D29" s="3">
        <f>'Data Tables (M)'!D29-'Data Tables (M) cb_zip'!D29</f>
        <v>2.1439419735003185E-2</v>
      </c>
      <c r="E29" s="3">
        <f>'Data Tables (M)'!E29-'Data Tables (M) cb_zip'!E29</f>
        <v>1.0502249477582382E-2</v>
      </c>
      <c r="F29" s="3">
        <f>'Data Tables (M)'!F29-'Data Tables (M) cb_zip'!F29</f>
        <v>-1.4950267250895877E-2</v>
      </c>
      <c r="G29" s="3">
        <f>'Data Tables (M)'!G29-'Data Tables (M) cb_zip'!G29</f>
        <v>6.2700503381194039E-2</v>
      </c>
      <c r="H29" s="3">
        <f>'Data Tables (M)'!H29-'Data Tables (M) cb_zip'!H29</f>
        <v>0</v>
      </c>
      <c r="I29" s="3">
        <f>'Data Tables (M)'!I29-'Data Tables (M) cb_zip'!I29</f>
        <v>0</v>
      </c>
      <c r="J29" s="3">
        <f>'Data Tables (M)'!J29-'Data Tables (M) cb_zip'!J29</f>
        <v>0</v>
      </c>
      <c r="K29" s="3">
        <f>'Data Tables (M)'!K29-'Data Tables (M) cb_zip'!K29</f>
        <v>0</v>
      </c>
      <c r="L29" s="3">
        <f>'Data Tables (M)'!L29-'Data Tables (M) cb_zip'!L29</f>
        <v>0</v>
      </c>
      <c r="M29" s="3">
        <f>'Data Tables (M)'!M29-'Data Tables (M) cb_zip'!M29</f>
        <v>0</v>
      </c>
      <c r="N29" s="3">
        <f>'Data Tables (M)'!N29-'Data Tables (M) cb_zip'!N29</f>
        <v>0</v>
      </c>
      <c r="O29" s="3">
        <f>'Data Tables (M)'!O29-'Data Tables (M) cb_zip'!O29</f>
        <v>0</v>
      </c>
      <c r="P29" s="3">
        <f>'Data Tables (M)'!P29-'Data Tables (M) cb_zip'!P29</f>
        <v>-7.3140969959979429E-3</v>
      </c>
      <c r="Q29" s="3">
        <f>'Data Tables (M)'!Q29-'Data Tables (M) cb_zip'!Q29</f>
        <v>0</v>
      </c>
      <c r="R29" s="3">
        <f>'Data Tables (M)'!R29-'Data Tables (M) cb_zip'!R29</f>
        <v>0</v>
      </c>
      <c r="S29" s="3">
        <f>'Data Tables (M)'!S29-'Data Tables (M) cb_zip'!S29</f>
        <v>0</v>
      </c>
      <c r="T29" s="3">
        <f>'Data Tables (M)'!T29-'Data Tables (M) cb_zip'!T29</f>
        <v>0</v>
      </c>
      <c r="U29" s="3">
        <f>'Data Tables (M)'!U29-'Data Tables (M) cb_zip'!U29</f>
        <v>0</v>
      </c>
      <c r="V29" s="3">
        <f>'Data Tables (M)'!V29-'Data Tables (M) cb_zip'!V29</f>
        <v>-5.5989140643191604E-2</v>
      </c>
    </row>
    <row r="30" spans="1:22" x14ac:dyDescent="0.35">
      <c r="A30" t="str">
        <f>'Data Tables (M) no_cb_zip'!A30</f>
        <v>Amount Financed</v>
      </c>
      <c r="B30" s="3">
        <f>'Data Tables (M)'!B30-'Data Tables (M) cb_zip'!B30</f>
        <v>10781.35000000149</v>
      </c>
      <c r="C30" s="3">
        <f>'Data Tables (M)'!C30-'Data Tables (M) cb_zip'!C30</f>
        <v>0</v>
      </c>
      <c r="D30" s="3">
        <f>'Data Tables (M)'!D30-'Data Tables (M) cb_zip'!D30</f>
        <v>-17940.019999995828</v>
      </c>
      <c r="E30" s="3">
        <f>'Data Tables (M)'!E30-'Data Tables (M) cb_zip'!E30</f>
        <v>12096.54999999702</v>
      </c>
      <c r="F30" s="3">
        <f>'Data Tables (M)'!F30-'Data Tables (M) cb_zip'!F30</f>
        <v>6962.1900000050664</v>
      </c>
      <c r="G30" s="3">
        <f>'Data Tables (M)'!G30-'Data Tables (M) cb_zip'!G30</f>
        <v>43017.660000003874</v>
      </c>
      <c r="H30" s="3">
        <f>'Data Tables (M)'!H30-'Data Tables (M) cb_zip'!H30</f>
        <v>0</v>
      </c>
      <c r="I30" s="3">
        <f>'Data Tables (M)'!I30-'Data Tables (M) cb_zip'!I30</f>
        <v>0</v>
      </c>
      <c r="J30" s="3">
        <f>'Data Tables (M)'!J30-'Data Tables (M) cb_zip'!J30</f>
        <v>0</v>
      </c>
      <c r="K30" s="3">
        <f>'Data Tables (M)'!K30-'Data Tables (M) cb_zip'!K30</f>
        <v>0</v>
      </c>
      <c r="L30" s="3">
        <f>'Data Tables (M)'!L30-'Data Tables (M) cb_zip'!L30</f>
        <v>0</v>
      </c>
      <c r="M30" s="3">
        <f>'Data Tables (M)'!M30-'Data Tables (M) cb_zip'!M30</f>
        <v>0</v>
      </c>
      <c r="N30" s="3">
        <f>'Data Tables (M)'!N30-'Data Tables (M) cb_zip'!N30</f>
        <v>0</v>
      </c>
      <c r="O30" s="3">
        <f>'Data Tables (M)'!O30-'Data Tables (M) cb_zip'!O30</f>
        <v>0</v>
      </c>
      <c r="P30" s="3">
        <f>'Data Tables (M)'!P30-'Data Tables (M) cb_zip'!P30</f>
        <v>0</v>
      </c>
      <c r="Q30" s="3">
        <f>'Data Tables (M)'!Q30-'Data Tables (M) cb_zip'!Q30</f>
        <v>0</v>
      </c>
      <c r="R30" s="3">
        <f>'Data Tables (M)'!R30-'Data Tables (M) cb_zip'!R30</f>
        <v>0</v>
      </c>
      <c r="S30" s="3">
        <f>'Data Tables (M)'!S30-'Data Tables (M) cb_zip'!S30</f>
        <v>0</v>
      </c>
      <c r="T30" s="3">
        <f>'Data Tables (M)'!T30-'Data Tables (M) cb_zip'!T30</f>
        <v>0</v>
      </c>
      <c r="U30" s="3">
        <f>'Data Tables (M)'!U30-'Data Tables (M) cb_zip'!U30</f>
        <v>0</v>
      </c>
      <c r="V30" s="3">
        <f>'Data Tables (M)'!V30-'Data Tables (M) cb_zip'!V30</f>
        <v>1758691.379999999</v>
      </c>
    </row>
    <row r="31" spans="1:22" x14ac:dyDescent="0.35">
      <c r="A31" t="str">
        <f>'Data Tables (M) no_cb_zip'!A31</f>
        <v>Weighted LTV</v>
      </c>
      <c r="B31" s="3">
        <f>'Data Tables (M)'!B31-'Data Tables (M) cb_zip'!B31</f>
        <v>5.2211650032307766E-4</v>
      </c>
      <c r="C31" s="3">
        <f>'Data Tables (M)'!C31-'Data Tables (M) cb_zip'!C31</f>
        <v>0</v>
      </c>
      <c r="D31" s="3">
        <f>'Data Tables (M)'!D31-'Data Tables (M) cb_zip'!D31</f>
        <v>-9.0527520533001393E-4</v>
      </c>
      <c r="E31" s="3">
        <f>'Data Tables (M)'!E31-'Data Tables (M) cb_zip'!E31</f>
        <v>-4.7628616528005985E-4</v>
      </c>
      <c r="F31" s="3">
        <f>'Data Tables (M)'!F31-'Data Tables (M) cb_zip'!F31</f>
        <v>-3.3003403244302731E-4</v>
      </c>
      <c r="G31" s="3">
        <f>'Data Tables (M)'!G31-'Data Tables (M) cb_zip'!G31</f>
        <v>-1.5491578441584331E-4</v>
      </c>
      <c r="H31" s="3">
        <f>'Data Tables (M)'!H31-'Data Tables (M) cb_zip'!H31</f>
        <v>0</v>
      </c>
      <c r="I31" s="3">
        <f>'Data Tables (M)'!I31-'Data Tables (M) cb_zip'!I31</f>
        <v>0</v>
      </c>
      <c r="J31" s="3">
        <f>'Data Tables (M)'!J31-'Data Tables (M) cb_zip'!J31</f>
        <v>0</v>
      </c>
      <c r="K31" s="3">
        <f>'Data Tables (M)'!K31-'Data Tables (M) cb_zip'!K31</f>
        <v>0</v>
      </c>
      <c r="L31" s="3">
        <f>'Data Tables (M)'!L31-'Data Tables (M) cb_zip'!L31</f>
        <v>0</v>
      </c>
      <c r="M31" s="3">
        <f>'Data Tables (M)'!M31-'Data Tables (M) cb_zip'!M31</f>
        <v>0</v>
      </c>
      <c r="N31" s="3">
        <f>'Data Tables (M)'!N31-'Data Tables (M) cb_zip'!N31</f>
        <v>0</v>
      </c>
      <c r="O31" s="3">
        <f>'Data Tables (M)'!O31-'Data Tables (M) cb_zip'!O31</f>
        <v>0</v>
      </c>
      <c r="P31" s="3">
        <f>'Data Tables (M)'!P31-'Data Tables (M) cb_zip'!P31</f>
        <v>0</v>
      </c>
      <c r="Q31" s="3">
        <f>'Data Tables (M)'!Q31-'Data Tables (M) cb_zip'!Q31</f>
        <v>0</v>
      </c>
      <c r="R31" s="3">
        <f>'Data Tables (M)'!R31-'Data Tables (M) cb_zip'!R31</f>
        <v>0</v>
      </c>
      <c r="S31" s="3">
        <f>'Data Tables (M)'!S31-'Data Tables (M) cb_zip'!S31</f>
        <v>0</v>
      </c>
      <c r="T31" s="3">
        <f>'Data Tables (M)'!T31-'Data Tables (M) cb_zip'!T31</f>
        <v>0</v>
      </c>
      <c r="U31" s="3">
        <f>'Data Tables (M)'!U31-'Data Tables (M) cb_zip'!U31</f>
        <v>0</v>
      </c>
      <c r="V31" s="3">
        <f>'Data Tables (M)'!V31-'Data Tables (M) cb_zip'!V31</f>
        <v>6.5495377048510051E-3</v>
      </c>
    </row>
    <row r="32" spans="1:22" x14ac:dyDescent="0.35">
      <c r="A32" t="str">
        <f>'Data Tables (M) no_cb_zip'!A32</f>
        <v>Weighted APR</v>
      </c>
      <c r="B32" s="3">
        <f>'Data Tables (M)'!B32-'Data Tables (M) cb_zip'!B32</f>
        <v>1.1394793284991156E-5</v>
      </c>
      <c r="C32" s="3">
        <f>'Data Tables (M)'!C32-'Data Tables (M) cb_zip'!C32</f>
        <v>0</v>
      </c>
      <c r="D32" s="3">
        <f>'Data Tables (M)'!D32-'Data Tables (M) cb_zip'!D32</f>
        <v>-3.89912162040984E-5</v>
      </c>
      <c r="E32" s="3">
        <f>'Data Tables (M)'!E32-'Data Tables (M) cb_zip'!E32</f>
        <v>-6.7912940871217575E-6</v>
      </c>
      <c r="F32" s="3">
        <f>'Data Tables (M)'!F32-'Data Tables (M) cb_zip'!F32</f>
        <v>6.0848048523881593E-5</v>
      </c>
      <c r="G32" s="3">
        <f>'Data Tables (M)'!G32-'Data Tables (M) cb_zip'!G32</f>
        <v>-1.1029180806448879E-4</v>
      </c>
      <c r="H32" s="3">
        <f>'Data Tables (M)'!H32-'Data Tables (M) cb_zip'!H32</f>
        <v>0</v>
      </c>
      <c r="I32" s="3">
        <f>'Data Tables (M)'!I32-'Data Tables (M) cb_zip'!I32</f>
        <v>0</v>
      </c>
      <c r="J32" s="3">
        <f>'Data Tables (M)'!J32-'Data Tables (M) cb_zip'!J32</f>
        <v>0</v>
      </c>
      <c r="K32" s="3">
        <f>'Data Tables (M)'!K32-'Data Tables (M) cb_zip'!K32</f>
        <v>0</v>
      </c>
      <c r="L32" s="3">
        <f>'Data Tables (M)'!L32-'Data Tables (M) cb_zip'!L32</f>
        <v>0</v>
      </c>
      <c r="M32" s="3">
        <f>'Data Tables (M)'!M32-'Data Tables (M) cb_zip'!M32</f>
        <v>0</v>
      </c>
      <c r="N32" s="3">
        <f>'Data Tables (M)'!N32-'Data Tables (M) cb_zip'!N32</f>
        <v>0</v>
      </c>
      <c r="O32" s="3">
        <f>'Data Tables (M)'!O32-'Data Tables (M) cb_zip'!O32</f>
        <v>0</v>
      </c>
      <c r="P32" s="3">
        <f>'Data Tables (M)'!P32-'Data Tables (M) cb_zip'!P32</f>
        <v>0</v>
      </c>
      <c r="Q32" s="3">
        <f>'Data Tables (M)'!Q32-'Data Tables (M) cb_zip'!Q32</f>
        <v>0</v>
      </c>
      <c r="R32" s="3">
        <f>'Data Tables (M)'!R32-'Data Tables (M) cb_zip'!R32</f>
        <v>0</v>
      </c>
      <c r="S32" s="3">
        <f>'Data Tables (M)'!S32-'Data Tables (M) cb_zip'!S32</f>
        <v>0</v>
      </c>
      <c r="T32" s="3">
        <f>'Data Tables (M)'!T32-'Data Tables (M) cb_zip'!T32</f>
        <v>0</v>
      </c>
      <c r="U32" s="3">
        <f>'Data Tables (M)'!U32-'Data Tables (M) cb_zip'!U32</f>
        <v>0</v>
      </c>
      <c r="V32" s="3">
        <f>'Data Tables (M)'!V32-'Data Tables (M) cb_zip'!V32</f>
        <v>3.9200572045711146E-4</v>
      </c>
    </row>
    <row r="33" spans="1:22" x14ac:dyDescent="0.35">
      <c r="A33">
        <f>'Data Tables (M) no_cb_zip'!A33</f>
        <v>0</v>
      </c>
      <c r="B33" s="3">
        <f>'Data Tables (M)'!B33-'Data Tables (M) cb_zip'!B33</f>
        <v>0</v>
      </c>
      <c r="C33" s="3">
        <f>'Data Tables (M)'!C33-'Data Tables (M) cb_zip'!C33</f>
        <v>0</v>
      </c>
      <c r="D33" s="3">
        <f>'Data Tables (M)'!D33-'Data Tables (M) cb_zip'!D33</f>
        <v>0</v>
      </c>
      <c r="E33" s="3">
        <f>'Data Tables (M)'!E33-'Data Tables (M) cb_zip'!E33</f>
        <v>0</v>
      </c>
      <c r="F33" s="3">
        <f>'Data Tables (M)'!F33-'Data Tables (M) cb_zip'!F33</f>
        <v>0</v>
      </c>
      <c r="G33" s="3">
        <f>'Data Tables (M)'!G33-'Data Tables (M) cb_zip'!G33</f>
        <v>0</v>
      </c>
      <c r="H33" s="3">
        <f>'Data Tables (M)'!H33-'Data Tables (M) cb_zip'!H33</f>
        <v>0</v>
      </c>
      <c r="I33" s="3">
        <f>'Data Tables (M)'!I33-'Data Tables (M) cb_zip'!I33</f>
        <v>0</v>
      </c>
      <c r="J33" s="3">
        <f>'Data Tables (M)'!J33-'Data Tables (M) cb_zip'!J33</f>
        <v>0</v>
      </c>
      <c r="K33" s="3">
        <f>'Data Tables (M)'!K33-'Data Tables (M) cb_zip'!K33</f>
        <v>0</v>
      </c>
      <c r="L33" s="3">
        <f>'Data Tables (M)'!L33-'Data Tables (M) cb_zip'!L33</f>
        <v>0</v>
      </c>
      <c r="M33" s="3">
        <f>'Data Tables (M)'!M33-'Data Tables (M) cb_zip'!M33</f>
        <v>0</v>
      </c>
      <c r="N33" s="3">
        <f>'Data Tables (M)'!N33-'Data Tables (M) cb_zip'!N33</f>
        <v>0</v>
      </c>
      <c r="O33" s="3">
        <f>'Data Tables (M)'!O33-'Data Tables (M) cb_zip'!O33</f>
        <v>0</v>
      </c>
      <c r="P33" s="3">
        <f>'Data Tables (M)'!P33-'Data Tables (M) cb_zip'!P33</f>
        <v>0</v>
      </c>
      <c r="Q33" s="3">
        <f>'Data Tables (M)'!Q33-'Data Tables (M) cb_zip'!Q33</f>
        <v>0</v>
      </c>
      <c r="R33" s="3">
        <f>'Data Tables (M)'!R33-'Data Tables (M) cb_zip'!R33</f>
        <v>0</v>
      </c>
      <c r="S33" s="3">
        <f>'Data Tables (M)'!S33-'Data Tables (M) cb_zip'!S33</f>
        <v>0</v>
      </c>
      <c r="T33" s="3">
        <f>'Data Tables (M)'!T33-'Data Tables (M) cb_zip'!T33</f>
        <v>0</v>
      </c>
      <c r="U33" s="3">
        <f>'Data Tables (M)'!U33-'Data Tables (M) cb_zip'!U33</f>
        <v>0</v>
      </c>
      <c r="V33" s="3">
        <f>'Data Tables (M)'!V33-'Data Tables (M) cb_zip'!V33</f>
        <v>0</v>
      </c>
    </row>
    <row r="34" spans="1:22" x14ac:dyDescent="0.35">
      <c r="A34" t="str">
        <f>'Data Tables (M) no_cb_zip'!A34</f>
        <v>FLD</v>
      </c>
      <c r="B34" s="3" t="e">
        <f>'Data Tables (M)'!B34-'Data Tables (M) cb_zip'!B34</f>
        <v>#VALUE!</v>
      </c>
      <c r="C34" s="3" t="e">
        <f>'Data Tables (M)'!C34-'Data Tables (M) cb_zip'!C34</f>
        <v>#VALUE!</v>
      </c>
      <c r="D34" s="3" t="e">
        <f>'Data Tables (M)'!D34-'Data Tables (M) cb_zip'!D34</f>
        <v>#VALUE!</v>
      </c>
      <c r="E34" s="3" t="e">
        <f>'Data Tables (M)'!E34-'Data Tables (M) cb_zip'!E34</f>
        <v>#VALUE!</v>
      </c>
      <c r="F34" s="3" t="e">
        <f>'Data Tables (M)'!F34-'Data Tables (M) cb_zip'!F34</f>
        <v>#VALUE!</v>
      </c>
      <c r="G34" s="3" t="e">
        <f>'Data Tables (M)'!G34-'Data Tables (M) cb_zip'!G34</f>
        <v>#VALUE!</v>
      </c>
      <c r="H34" s="3" t="e">
        <f>'Data Tables (M)'!H34-'Data Tables (M) cb_zip'!H34</f>
        <v>#VALUE!</v>
      </c>
      <c r="I34" s="3" t="e">
        <f>'Data Tables (M)'!I34-'Data Tables (M) cb_zip'!I34</f>
        <v>#VALUE!</v>
      </c>
      <c r="J34" s="3" t="e">
        <f>'Data Tables (M)'!J34-'Data Tables (M) cb_zip'!J34</f>
        <v>#VALUE!</v>
      </c>
      <c r="K34" s="3" t="e">
        <f>'Data Tables (M)'!K34-'Data Tables (M) cb_zip'!K34</f>
        <v>#VALUE!</v>
      </c>
      <c r="L34" s="3" t="e">
        <f>'Data Tables (M)'!L34-'Data Tables (M) cb_zip'!L34</f>
        <v>#VALUE!</v>
      </c>
      <c r="M34" s="3" t="e">
        <f>'Data Tables (M)'!M34-'Data Tables (M) cb_zip'!M34</f>
        <v>#VALUE!</v>
      </c>
      <c r="N34" s="3" t="e">
        <f>'Data Tables (M)'!N34-'Data Tables (M) cb_zip'!N34</f>
        <v>#VALUE!</v>
      </c>
      <c r="O34" s="3" t="e">
        <f>'Data Tables (M)'!O34-'Data Tables (M) cb_zip'!O34</f>
        <v>#VALUE!</v>
      </c>
      <c r="P34" s="3" t="e">
        <f>'Data Tables (M)'!P34-'Data Tables (M) cb_zip'!P34</f>
        <v>#VALUE!</v>
      </c>
      <c r="Q34" s="3" t="e">
        <f>'Data Tables (M)'!Q34-'Data Tables (M) cb_zip'!Q34</f>
        <v>#VALUE!</v>
      </c>
      <c r="R34" s="3" t="e">
        <f>'Data Tables (M)'!R34-'Data Tables (M) cb_zip'!R34</f>
        <v>#VALUE!</v>
      </c>
      <c r="S34" s="3" t="e">
        <f>'Data Tables (M)'!S34-'Data Tables (M) cb_zip'!S34</f>
        <v>#VALUE!</v>
      </c>
      <c r="T34" s="3" t="e">
        <f>'Data Tables (M)'!T34-'Data Tables (M) cb_zip'!T34</f>
        <v>#VALUE!</v>
      </c>
      <c r="U34" s="3" t="e">
        <f>'Data Tables (M)'!U34-'Data Tables (M) cb_zip'!U34</f>
        <v>#VALUE!</v>
      </c>
      <c r="V34" s="3" t="e">
        <f>'Data Tables (M)'!V34-'Data Tables (M) cb_zip'!V34</f>
        <v>#VALUE!</v>
      </c>
    </row>
    <row r="35" spans="1:22" x14ac:dyDescent="0.35">
      <c r="A35" t="str">
        <f>'Data Tables (M) no_cb_zip'!A35</f>
        <v>Model Score</v>
      </c>
      <c r="B35" s="3">
        <f>'Data Tables (M)'!B35-'Data Tables (M) cb_zip'!B35</f>
        <v>0</v>
      </c>
      <c r="C35" s="3">
        <f>'Data Tables (M)'!C35-'Data Tables (M) cb_zip'!C35</f>
        <v>0</v>
      </c>
      <c r="D35" s="3">
        <f>'Data Tables (M)'!D35-'Data Tables (M) cb_zip'!D35</f>
        <v>0</v>
      </c>
      <c r="E35" s="3">
        <f>'Data Tables (M)'!E35-'Data Tables (M) cb_zip'!E35</f>
        <v>0</v>
      </c>
      <c r="F35" s="3">
        <f>'Data Tables (M)'!F35-'Data Tables (M) cb_zip'!F35</f>
        <v>0</v>
      </c>
      <c r="G35" s="3">
        <f>'Data Tables (M)'!G35-'Data Tables (M) cb_zip'!G35</f>
        <v>0</v>
      </c>
      <c r="H35" s="3">
        <f>'Data Tables (M)'!H35-'Data Tables (M) cb_zip'!H35</f>
        <v>0</v>
      </c>
      <c r="I35" s="3">
        <f>'Data Tables (M)'!I35-'Data Tables (M) cb_zip'!I35</f>
        <v>0</v>
      </c>
      <c r="J35" s="3">
        <f>'Data Tables (M)'!J35-'Data Tables (M) cb_zip'!J35</f>
        <v>0</v>
      </c>
      <c r="K35" s="3">
        <f>'Data Tables (M)'!K35-'Data Tables (M) cb_zip'!K35</f>
        <v>0</v>
      </c>
      <c r="L35" s="3">
        <f>'Data Tables (M)'!L35-'Data Tables (M) cb_zip'!L35</f>
        <v>0</v>
      </c>
      <c r="M35" s="3">
        <f>'Data Tables (M)'!M35-'Data Tables (M) cb_zip'!M35</f>
        <v>0</v>
      </c>
      <c r="N35" s="3">
        <f>'Data Tables (M)'!N35-'Data Tables (M) cb_zip'!N35</f>
        <v>0</v>
      </c>
      <c r="O35" s="3">
        <f>'Data Tables (M)'!O35-'Data Tables (M) cb_zip'!O35</f>
        <v>0</v>
      </c>
      <c r="P35" s="3">
        <f>'Data Tables (M)'!P35-'Data Tables (M) cb_zip'!P35</f>
        <v>0</v>
      </c>
      <c r="Q35" s="3">
        <f>'Data Tables (M)'!Q35-'Data Tables (M) cb_zip'!Q35</f>
        <v>0</v>
      </c>
      <c r="R35" s="3">
        <f>'Data Tables (M)'!R35-'Data Tables (M) cb_zip'!R35</f>
        <v>0</v>
      </c>
      <c r="S35" s="3">
        <f>'Data Tables (M)'!S35-'Data Tables (M) cb_zip'!S35</f>
        <v>0</v>
      </c>
      <c r="T35" s="3">
        <f>'Data Tables (M)'!T35-'Data Tables (M) cb_zip'!T35</f>
        <v>0</v>
      </c>
      <c r="U35" s="3">
        <f>'Data Tables (M)'!U35-'Data Tables (M) cb_zip'!U35</f>
        <v>0</v>
      </c>
      <c r="V35" s="3">
        <f>'Data Tables (M)'!V35-'Data Tables (M) cb_zip'!V35</f>
        <v>8.9230712388001621E-2</v>
      </c>
    </row>
    <row r="36" spans="1:22" x14ac:dyDescent="0.35">
      <c r="A36" t="str">
        <f>'Data Tables (M) no_cb_zip'!A36</f>
        <v>Expected Gross Loss Impact</v>
      </c>
      <c r="B36" s="3">
        <f>'Data Tables (M)'!B36-'Data Tables (M) cb_zip'!B36</f>
        <v>0</v>
      </c>
      <c r="C36" s="3">
        <f>'Data Tables (M)'!C36-'Data Tables (M) cb_zip'!C36</f>
        <v>1.0093211768348986E-2</v>
      </c>
      <c r="D36" s="3">
        <f>'Data Tables (M)'!D36-'Data Tables (M) cb_zip'!D36</f>
        <v>0</v>
      </c>
      <c r="E36" s="3">
        <f>'Data Tables (M)'!E36-'Data Tables (M) cb_zip'!E36</f>
        <v>0</v>
      </c>
      <c r="F36" s="3">
        <f>'Data Tables (M)'!F36-'Data Tables (M) cb_zip'!F36</f>
        <v>0</v>
      </c>
      <c r="G36" s="3">
        <f>'Data Tables (M)'!G36-'Data Tables (M) cb_zip'!G36</f>
        <v>0</v>
      </c>
      <c r="H36" s="3">
        <f>'Data Tables (M)'!H36-'Data Tables (M) cb_zip'!H36</f>
        <v>0</v>
      </c>
      <c r="I36" s="3">
        <f>'Data Tables (M)'!I36-'Data Tables (M) cb_zip'!I36</f>
        <v>0</v>
      </c>
      <c r="J36" s="3">
        <f>'Data Tables (M)'!J36-'Data Tables (M) cb_zip'!J36</f>
        <v>0</v>
      </c>
      <c r="K36" s="3">
        <f>'Data Tables (M)'!K36-'Data Tables (M) cb_zip'!K36</f>
        <v>0</v>
      </c>
      <c r="L36" s="3">
        <f>'Data Tables (M)'!L36-'Data Tables (M) cb_zip'!L36</f>
        <v>0</v>
      </c>
      <c r="M36" s="3">
        <f>'Data Tables (M)'!M36-'Data Tables (M) cb_zip'!M36</f>
        <v>0</v>
      </c>
      <c r="N36" s="3">
        <f>'Data Tables (M)'!N36-'Data Tables (M) cb_zip'!N36</f>
        <v>0</v>
      </c>
      <c r="O36" s="3">
        <f>'Data Tables (M)'!O36-'Data Tables (M) cb_zip'!O36</f>
        <v>0</v>
      </c>
      <c r="P36" s="3">
        <f>'Data Tables (M)'!P36-'Data Tables (M) cb_zip'!P36</f>
        <v>0</v>
      </c>
      <c r="Q36" s="3">
        <f>'Data Tables (M)'!Q36-'Data Tables (M) cb_zip'!Q36</f>
        <v>0</v>
      </c>
      <c r="R36" s="3">
        <f>'Data Tables (M)'!R36-'Data Tables (M) cb_zip'!R36</f>
        <v>0</v>
      </c>
      <c r="S36" s="3">
        <f>'Data Tables (M)'!S36-'Data Tables (M) cb_zip'!S36</f>
        <v>0</v>
      </c>
      <c r="T36" s="3">
        <f>'Data Tables (M)'!T36-'Data Tables (M) cb_zip'!T36</f>
        <v>0</v>
      </c>
      <c r="U36" s="3">
        <f>'Data Tables (M)'!U36-'Data Tables (M) cb_zip'!U36</f>
        <v>0</v>
      </c>
      <c r="V36" s="3">
        <f>'Data Tables (M)'!V36-'Data Tables (M) cb_zip'!V36</f>
        <v>7.1411801598741942E-2</v>
      </c>
    </row>
    <row r="37" spans="1:22" x14ac:dyDescent="0.35">
      <c r="A37" t="str">
        <f>'Data Tables (M) no_cb_zip'!A37</f>
        <v>Recovery Impact</v>
      </c>
      <c r="B37" s="3">
        <f>'Data Tables (M)'!B37-'Data Tables (M) cb_zip'!B37</f>
        <v>-1.021405182655144E-14</v>
      </c>
      <c r="C37" s="3">
        <f>'Data Tables (M)'!C37-'Data Tables (M) cb_zip'!C37</f>
        <v>2.2377788091243023E-2</v>
      </c>
      <c r="D37" s="3">
        <f>'Data Tables (M)'!D37-'Data Tables (M) cb_zip'!D37</f>
        <v>1.8207657603852567E-14</v>
      </c>
      <c r="E37" s="3">
        <f>'Data Tables (M)'!E37-'Data Tables (M) cb_zip'!E37</f>
        <v>-8.8817841970012523E-15</v>
      </c>
      <c r="F37" s="3">
        <f>'Data Tables (M)'!F37-'Data Tables (M) cb_zip'!F37</f>
        <v>9.1038288019262836E-15</v>
      </c>
      <c r="G37" s="3">
        <f>'Data Tables (M)'!G37-'Data Tables (M) cb_zip'!G37</f>
        <v>-8.8817841970012523E-15</v>
      </c>
      <c r="H37" s="3">
        <f>'Data Tables (M)'!H37-'Data Tables (M) cb_zip'!H37</f>
        <v>0</v>
      </c>
      <c r="I37" s="3">
        <f>'Data Tables (M)'!I37-'Data Tables (M) cb_zip'!I37</f>
        <v>0</v>
      </c>
      <c r="J37" s="3">
        <f>'Data Tables (M)'!J37-'Data Tables (M) cb_zip'!J37</f>
        <v>0</v>
      </c>
      <c r="K37" s="3">
        <f>'Data Tables (M)'!K37-'Data Tables (M) cb_zip'!K37</f>
        <v>-8.8817841970012523E-15</v>
      </c>
      <c r="L37" s="3">
        <f>'Data Tables (M)'!L37-'Data Tables (M) cb_zip'!L37</f>
        <v>0</v>
      </c>
      <c r="M37" s="3">
        <f>'Data Tables (M)'!M37-'Data Tables (M) cb_zip'!M37</f>
        <v>-9.3258734068513149E-15</v>
      </c>
      <c r="N37" s="3">
        <f>'Data Tables (M)'!N37-'Data Tables (M) cb_zip'!N37</f>
        <v>0</v>
      </c>
      <c r="O37" s="3">
        <f>'Data Tables (M)'!O37-'Data Tables (M) cb_zip'!O37</f>
        <v>-9.9920072216264089E-15</v>
      </c>
      <c r="P37" s="3">
        <f>'Data Tables (M)'!P37-'Data Tables (M) cb_zip'!P37</f>
        <v>-9.2148511043887993E-15</v>
      </c>
      <c r="Q37" s="3">
        <f>'Data Tables (M)'!Q37-'Data Tables (M) cb_zip'!Q37</f>
        <v>-8.7707618945387367E-15</v>
      </c>
      <c r="R37" s="3">
        <f>'Data Tables (M)'!R37-'Data Tables (M) cb_zip'!R37</f>
        <v>0</v>
      </c>
      <c r="S37" s="3">
        <f>'Data Tables (M)'!S37-'Data Tables (M) cb_zip'!S37</f>
        <v>0</v>
      </c>
      <c r="T37" s="3">
        <f>'Data Tables (M)'!T37-'Data Tables (M) cb_zip'!T37</f>
        <v>8.5487172896137054E-15</v>
      </c>
      <c r="U37" s="3">
        <f>'Data Tables (M)'!U37-'Data Tables (M) cb_zip'!U37</f>
        <v>0</v>
      </c>
      <c r="V37" s="3">
        <f>'Data Tables (M)'!V37-'Data Tables (M) cb_zip'!V37</f>
        <v>2.7651201810775794E-2</v>
      </c>
    </row>
    <row r="38" spans="1:22" x14ac:dyDescent="0.35">
      <c r="A38" t="str">
        <f>'Data Tables (M) no_cb_zip'!A38</f>
        <v>LTV Impact</v>
      </c>
      <c r="B38" s="3">
        <f>'Data Tables (M)'!B38-'Data Tables (M) cb_zip'!B38</f>
        <v>0</v>
      </c>
      <c r="C38" s="3">
        <f>'Data Tables (M)'!C38-'Data Tables (M) cb_zip'!C38</f>
        <v>-3.3544323972451995E-3</v>
      </c>
      <c r="D38" s="3">
        <f>'Data Tables (M)'!D38-'Data Tables (M) cb_zip'!D38</f>
        <v>-3.7747582837255322E-15</v>
      </c>
      <c r="E38" s="3">
        <f>'Data Tables (M)'!E38-'Data Tables (M) cb_zip'!E38</f>
        <v>-3.8302694349567901E-15</v>
      </c>
      <c r="F38" s="3">
        <f>'Data Tables (M)'!F38-'Data Tables (M) cb_zip'!F38</f>
        <v>-3.8302694349567901E-15</v>
      </c>
      <c r="G38" s="3">
        <f>'Data Tables (M)'!G38-'Data Tables (M) cb_zip'!G38</f>
        <v>0</v>
      </c>
      <c r="H38" s="3">
        <f>'Data Tables (M)'!H38-'Data Tables (M) cb_zip'!H38</f>
        <v>0</v>
      </c>
      <c r="I38" s="3">
        <f>'Data Tables (M)'!I38-'Data Tables (M) cb_zip'!I38</f>
        <v>0</v>
      </c>
      <c r="J38" s="3">
        <f>'Data Tables (M)'!J38-'Data Tables (M) cb_zip'!J38</f>
        <v>3.8302694349567901E-15</v>
      </c>
      <c r="K38" s="3">
        <f>'Data Tables (M)'!K38-'Data Tables (M) cb_zip'!K38</f>
        <v>0</v>
      </c>
      <c r="L38" s="3">
        <f>'Data Tables (M)'!L38-'Data Tables (M) cb_zip'!L38</f>
        <v>-7.5495165674510645E-15</v>
      </c>
      <c r="M38" s="3">
        <f>'Data Tables (M)'!M38-'Data Tables (M) cb_zip'!M38</f>
        <v>0</v>
      </c>
      <c r="N38" s="3">
        <f>'Data Tables (M)'!N38-'Data Tables (M) cb_zip'!N38</f>
        <v>1.5970974430912221E-4</v>
      </c>
      <c r="O38" s="3">
        <f>'Data Tables (M)'!O38-'Data Tables (M) cb_zip'!O38</f>
        <v>0</v>
      </c>
      <c r="P38" s="3">
        <f>'Data Tables (M)'!P38-'Data Tables (M) cb_zip'!P38</f>
        <v>2.7927844316100181E-5</v>
      </c>
      <c r="Q38" s="3">
        <f>'Data Tables (M)'!Q38-'Data Tables (M) cb_zip'!Q38</f>
        <v>5.6621374255882984E-15</v>
      </c>
      <c r="R38" s="3">
        <f>'Data Tables (M)'!R38-'Data Tables (M) cb_zip'!R38</f>
        <v>-1.8873791418627661E-15</v>
      </c>
      <c r="S38" s="3">
        <f>'Data Tables (M)'!S38-'Data Tables (M) cb_zip'!S38</f>
        <v>-1.9428902930940239E-15</v>
      </c>
      <c r="T38" s="3">
        <f>'Data Tables (M)'!T38-'Data Tables (M) cb_zip'!T38</f>
        <v>-5.6621374255882984E-15</v>
      </c>
      <c r="U38" s="3">
        <f>'Data Tables (M)'!U38-'Data Tables (M) cb_zip'!U38</f>
        <v>0</v>
      </c>
      <c r="V38" s="3">
        <f>'Data Tables (M)'!V38-'Data Tables (M) cb_zip'!V38</f>
        <v>5.8911296170424121E-3</v>
      </c>
    </row>
    <row r="39" spans="1:22" x14ac:dyDescent="0.35">
      <c r="A39" t="str">
        <f>'Data Tables (M) no_cb_zip'!A39</f>
        <v>APR Impact</v>
      </c>
      <c r="B39" s="3">
        <f>'Data Tables (M)'!B39-'Data Tables (M) cb_zip'!B39</f>
        <v>0</v>
      </c>
      <c r="C39" s="3">
        <f>'Data Tables (M)'!C39-'Data Tables (M) cb_zip'!C39</f>
        <v>-2.751998791532817E-3</v>
      </c>
      <c r="D39" s="3">
        <f>'Data Tables (M)'!D39-'Data Tables (M) cb_zip'!D39</f>
        <v>0</v>
      </c>
      <c r="E39" s="3">
        <f>'Data Tables (M)'!E39-'Data Tables (M) cb_zip'!E39</f>
        <v>-1.9428902930940239E-15</v>
      </c>
      <c r="F39" s="3">
        <f>'Data Tables (M)'!F39-'Data Tables (M) cb_zip'!F39</f>
        <v>-1.9984014443252818E-15</v>
      </c>
      <c r="G39" s="3">
        <f>'Data Tables (M)'!G39-'Data Tables (M) cb_zip'!G39</f>
        <v>-1.9984014443252818E-15</v>
      </c>
      <c r="H39" s="3">
        <f>'Data Tables (M)'!H39-'Data Tables (M) cb_zip'!H39</f>
        <v>0</v>
      </c>
      <c r="I39" s="3">
        <f>'Data Tables (M)'!I39-'Data Tables (M) cb_zip'!I39</f>
        <v>0</v>
      </c>
      <c r="J39" s="3">
        <f>'Data Tables (M)'!J39-'Data Tables (M) cb_zip'!J39</f>
        <v>0</v>
      </c>
      <c r="K39" s="3">
        <f>'Data Tables (M)'!K39-'Data Tables (M) cb_zip'!K39</f>
        <v>0</v>
      </c>
      <c r="L39" s="3">
        <f>'Data Tables (M)'!L39-'Data Tables (M) cb_zip'!L39</f>
        <v>-5.9396931817445875E-15</v>
      </c>
      <c r="M39" s="3">
        <f>'Data Tables (M)'!M39-'Data Tables (M) cb_zip'!M39</f>
        <v>3.8857805861880479E-15</v>
      </c>
      <c r="N39" s="3">
        <f>'Data Tables (M)'!N39-'Data Tables (M) cb_zip'!N39</f>
        <v>0</v>
      </c>
      <c r="O39" s="3">
        <f>'Data Tables (M)'!O39-'Data Tables (M) cb_zip'!O39</f>
        <v>0</v>
      </c>
      <c r="P39" s="3">
        <f>'Data Tables (M)'!P39-'Data Tables (M) cb_zip'!P39</f>
        <v>3.9412917374193057E-15</v>
      </c>
      <c r="Q39" s="3">
        <f>'Data Tables (M)'!Q39-'Data Tables (M) cb_zip'!Q39</f>
        <v>1.9984014443252818E-15</v>
      </c>
      <c r="R39" s="3">
        <f>'Data Tables (M)'!R39-'Data Tables (M) cb_zip'!R39</f>
        <v>-3.8857805861880479E-15</v>
      </c>
      <c r="S39" s="3">
        <f>'Data Tables (M)'!S39-'Data Tables (M) cb_zip'!S39</f>
        <v>2.0539125955565396E-15</v>
      </c>
      <c r="T39" s="3">
        <f>'Data Tables (M)'!T39-'Data Tables (M) cb_zip'!T39</f>
        <v>-3.8857805861880479E-15</v>
      </c>
      <c r="U39" s="3">
        <f>'Data Tables (M)'!U39-'Data Tables (M) cb_zip'!U39</f>
        <v>0</v>
      </c>
      <c r="V39" s="3">
        <f>'Data Tables (M)'!V39-'Data Tables (M) cb_zip'!V39</f>
        <v>3.2994459037996027E-2</v>
      </c>
    </row>
    <row r="40" spans="1:22" x14ac:dyDescent="0.35">
      <c r="A40" t="str">
        <f>'Data Tables (M) no_cb_zip'!A40</f>
        <v>RAGU Score</v>
      </c>
      <c r="B40" s="3">
        <f>'Data Tables (M)'!B40-'Data Tables (M) cb_zip'!B40</f>
        <v>0</v>
      </c>
      <c r="C40" s="3">
        <f>'Data Tables (M)'!C40-'Data Tables (M) cb_zip'!C40</f>
        <v>2.6364568670800281E-2</v>
      </c>
      <c r="D40" s="3">
        <f>'Data Tables (M)'!D40-'Data Tables (M) cb_zip'!D40</f>
        <v>0</v>
      </c>
      <c r="E40" s="3">
        <f>'Data Tables (M)'!E40-'Data Tables (M) cb_zip'!E40</f>
        <v>0</v>
      </c>
      <c r="F40" s="3">
        <f>'Data Tables (M)'!F40-'Data Tables (M) cb_zip'!F40</f>
        <v>0</v>
      </c>
      <c r="G40" s="3">
        <f>'Data Tables (M)'!G40-'Data Tables (M) cb_zip'!G40</f>
        <v>0</v>
      </c>
      <c r="H40" s="3">
        <f>'Data Tables (M)'!H40-'Data Tables (M) cb_zip'!H40</f>
        <v>0</v>
      </c>
      <c r="I40" s="3">
        <f>'Data Tables (M)'!I40-'Data Tables (M) cb_zip'!I40</f>
        <v>0</v>
      </c>
      <c r="J40" s="3">
        <f>'Data Tables (M)'!J40-'Data Tables (M) cb_zip'!J40</f>
        <v>0</v>
      </c>
      <c r="K40" s="3">
        <f>'Data Tables (M)'!K40-'Data Tables (M) cb_zip'!K40</f>
        <v>0</v>
      </c>
      <c r="L40" s="3">
        <f>'Data Tables (M)'!L40-'Data Tables (M) cb_zip'!L40</f>
        <v>0</v>
      </c>
      <c r="M40" s="3">
        <f>'Data Tables (M)'!M40-'Data Tables (M) cb_zip'!M40</f>
        <v>0</v>
      </c>
      <c r="N40" s="3">
        <f>'Data Tables (M)'!N40-'Data Tables (M) cb_zip'!N40</f>
        <v>1.597097443095663E-4</v>
      </c>
      <c r="O40" s="3">
        <f>'Data Tables (M)'!O40-'Data Tables (M) cb_zip'!O40</f>
        <v>0</v>
      </c>
      <c r="P40" s="3">
        <f>'Data Tables (M)'!P40-'Data Tables (M) cb_zip'!P40</f>
        <v>2.7927844314490358E-5</v>
      </c>
      <c r="Q40" s="3">
        <f>'Data Tables (M)'!Q40-'Data Tables (M) cb_zip'!Q40</f>
        <v>0</v>
      </c>
      <c r="R40" s="3">
        <f>'Data Tables (M)'!R40-'Data Tables (M) cb_zip'!R40</f>
        <v>0</v>
      </c>
      <c r="S40" s="3">
        <f>'Data Tables (M)'!S40-'Data Tables (M) cb_zip'!S40</f>
        <v>0</v>
      </c>
      <c r="T40" s="3">
        <f>'Data Tables (M)'!T40-'Data Tables (M) cb_zip'!T40</f>
        <v>0</v>
      </c>
      <c r="U40" s="3">
        <f>'Data Tables (M)'!U40-'Data Tables (M) cb_zip'!U40</f>
        <v>0</v>
      </c>
      <c r="V40" s="3">
        <f>'Data Tables (M)'!V40-'Data Tables (M) cb_zip'!V40</f>
        <v>0.22717930445250545</v>
      </c>
    </row>
    <row r="41" spans="1:22" x14ac:dyDescent="0.35">
      <c r="A41" t="str">
        <f>'Data Tables (M) no_cb_zip'!A41</f>
        <v>Amount Financed</v>
      </c>
      <c r="B41" s="3">
        <f>'Data Tables (M)'!B41-'Data Tables (M) cb_zip'!B41</f>
        <v>0</v>
      </c>
      <c r="C41" s="3">
        <f>'Data Tables (M)'!C41-'Data Tables (M) cb_zip'!C41</f>
        <v>-15539.580000000075</v>
      </c>
      <c r="D41" s="3">
        <f>'Data Tables (M)'!D41-'Data Tables (M) cb_zip'!D41</f>
        <v>0</v>
      </c>
      <c r="E41" s="3">
        <f>'Data Tables (M)'!E41-'Data Tables (M) cb_zip'!E41</f>
        <v>0</v>
      </c>
      <c r="F41" s="3">
        <f>'Data Tables (M)'!F41-'Data Tables (M) cb_zip'!F41</f>
        <v>0</v>
      </c>
      <c r="G41" s="3">
        <f>'Data Tables (M)'!G41-'Data Tables (M) cb_zip'!G41</f>
        <v>0</v>
      </c>
      <c r="H41" s="3">
        <f>'Data Tables (M)'!H41-'Data Tables (M) cb_zip'!H41</f>
        <v>0</v>
      </c>
      <c r="I41" s="3">
        <f>'Data Tables (M)'!I41-'Data Tables (M) cb_zip'!I41</f>
        <v>0</v>
      </c>
      <c r="J41" s="3">
        <f>'Data Tables (M)'!J41-'Data Tables (M) cb_zip'!J41</f>
        <v>0</v>
      </c>
      <c r="K41" s="3">
        <f>'Data Tables (M)'!K41-'Data Tables (M) cb_zip'!K41</f>
        <v>0</v>
      </c>
      <c r="L41" s="3">
        <f>'Data Tables (M)'!L41-'Data Tables (M) cb_zip'!L41</f>
        <v>0</v>
      </c>
      <c r="M41" s="3">
        <f>'Data Tables (M)'!M41-'Data Tables (M) cb_zip'!M41</f>
        <v>0</v>
      </c>
      <c r="N41" s="3">
        <f>'Data Tables (M)'!N41-'Data Tables (M) cb_zip'!N41</f>
        <v>0</v>
      </c>
      <c r="O41" s="3">
        <f>'Data Tables (M)'!O41-'Data Tables (M) cb_zip'!O41</f>
        <v>0</v>
      </c>
      <c r="P41" s="3">
        <f>'Data Tables (M)'!P41-'Data Tables (M) cb_zip'!P41</f>
        <v>0</v>
      </c>
      <c r="Q41" s="3">
        <f>'Data Tables (M)'!Q41-'Data Tables (M) cb_zip'!Q41</f>
        <v>0</v>
      </c>
      <c r="R41" s="3">
        <f>'Data Tables (M)'!R41-'Data Tables (M) cb_zip'!R41</f>
        <v>0</v>
      </c>
      <c r="S41" s="3">
        <f>'Data Tables (M)'!S41-'Data Tables (M) cb_zip'!S41</f>
        <v>0</v>
      </c>
      <c r="T41" s="3">
        <f>'Data Tables (M)'!T41-'Data Tables (M) cb_zip'!T41</f>
        <v>0</v>
      </c>
      <c r="U41" s="3">
        <f>'Data Tables (M)'!U41-'Data Tables (M) cb_zip'!U41</f>
        <v>0</v>
      </c>
      <c r="V41" s="3">
        <f>'Data Tables (M)'!V41-'Data Tables (M) cb_zip'!V41</f>
        <v>411669.41999999806</v>
      </c>
    </row>
    <row r="42" spans="1:22" x14ac:dyDescent="0.35">
      <c r="A42" t="str">
        <f>'Data Tables (M) no_cb_zip'!A42</f>
        <v>Weighted LTV</v>
      </c>
      <c r="B42" s="3">
        <f>'Data Tables (M)'!B42-'Data Tables (M) cb_zip'!B42</f>
        <v>0</v>
      </c>
      <c r="C42" s="3">
        <f>'Data Tables (M)'!C42-'Data Tables (M) cb_zip'!C42</f>
        <v>2.6356408500394224E-4</v>
      </c>
      <c r="D42" s="3">
        <f>'Data Tables (M)'!D42-'Data Tables (M) cb_zip'!D42</f>
        <v>0</v>
      </c>
      <c r="E42" s="3">
        <f>'Data Tables (M)'!E42-'Data Tables (M) cb_zip'!E42</f>
        <v>0</v>
      </c>
      <c r="F42" s="3">
        <f>'Data Tables (M)'!F42-'Data Tables (M) cb_zip'!F42</f>
        <v>0</v>
      </c>
      <c r="G42" s="3">
        <f>'Data Tables (M)'!G42-'Data Tables (M) cb_zip'!G42</f>
        <v>0</v>
      </c>
      <c r="H42" s="3">
        <f>'Data Tables (M)'!H42-'Data Tables (M) cb_zip'!H42</f>
        <v>0</v>
      </c>
      <c r="I42" s="3">
        <f>'Data Tables (M)'!I42-'Data Tables (M) cb_zip'!I42</f>
        <v>0</v>
      </c>
      <c r="J42" s="3">
        <f>'Data Tables (M)'!J42-'Data Tables (M) cb_zip'!J42</f>
        <v>0</v>
      </c>
      <c r="K42" s="3">
        <f>'Data Tables (M)'!K42-'Data Tables (M) cb_zip'!K42</f>
        <v>0</v>
      </c>
      <c r="L42" s="3">
        <f>'Data Tables (M)'!L42-'Data Tables (M) cb_zip'!L42</f>
        <v>0</v>
      </c>
      <c r="M42" s="3">
        <f>'Data Tables (M)'!M42-'Data Tables (M) cb_zip'!M42</f>
        <v>0</v>
      </c>
      <c r="N42" s="3">
        <f>'Data Tables (M)'!N42-'Data Tables (M) cb_zip'!N42</f>
        <v>-1.4399395155129113E-5</v>
      </c>
      <c r="O42" s="3">
        <f>'Data Tables (M)'!O42-'Data Tables (M) cb_zip'!O42</f>
        <v>0</v>
      </c>
      <c r="P42" s="3">
        <f>'Data Tables (M)'!P42-'Data Tables (M) cb_zip'!P42</f>
        <v>-2.4485275360586201E-6</v>
      </c>
      <c r="Q42" s="3">
        <f>'Data Tables (M)'!Q42-'Data Tables (M) cb_zip'!Q42</f>
        <v>0</v>
      </c>
      <c r="R42" s="3">
        <f>'Data Tables (M)'!R42-'Data Tables (M) cb_zip'!R42</f>
        <v>0</v>
      </c>
      <c r="S42" s="3">
        <f>'Data Tables (M)'!S42-'Data Tables (M) cb_zip'!S42</f>
        <v>0</v>
      </c>
      <c r="T42" s="3">
        <f>'Data Tables (M)'!T42-'Data Tables (M) cb_zip'!T42</f>
        <v>0</v>
      </c>
      <c r="U42" s="3">
        <f>'Data Tables (M)'!U42-'Data Tables (M) cb_zip'!U42</f>
        <v>0</v>
      </c>
      <c r="V42" s="3">
        <f>'Data Tables (M)'!V42-'Data Tables (M) cb_zip'!V42</f>
        <v>-5.5878313353607822E-4</v>
      </c>
    </row>
    <row r="43" spans="1:22" x14ac:dyDescent="0.35">
      <c r="A43" t="str">
        <f>'Data Tables (M) no_cb_zip'!A43</f>
        <v>Weighted APR</v>
      </c>
      <c r="B43" s="3">
        <f>'Data Tables (M)'!B43-'Data Tables (M) cb_zip'!B43</f>
        <v>0</v>
      </c>
      <c r="C43" s="3">
        <f>'Data Tables (M)'!C43-'Data Tables (M) cb_zip'!C43</f>
        <v>3.931426845049657E-5</v>
      </c>
      <c r="D43" s="3">
        <f>'Data Tables (M)'!D43-'Data Tables (M) cb_zip'!D43</f>
        <v>0</v>
      </c>
      <c r="E43" s="3">
        <f>'Data Tables (M)'!E43-'Data Tables (M) cb_zip'!E43</f>
        <v>0</v>
      </c>
      <c r="F43" s="3">
        <f>'Data Tables (M)'!F43-'Data Tables (M) cb_zip'!F43</f>
        <v>0</v>
      </c>
      <c r="G43" s="3">
        <f>'Data Tables (M)'!G43-'Data Tables (M) cb_zip'!G43</f>
        <v>0</v>
      </c>
      <c r="H43" s="3">
        <f>'Data Tables (M)'!H43-'Data Tables (M) cb_zip'!H43</f>
        <v>0</v>
      </c>
      <c r="I43" s="3">
        <f>'Data Tables (M)'!I43-'Data Tables (M) cb_zip'!I43</f>
        <v>0</v>
      </c>
      <c r="J43" s="3">
        <f>'Data Tables (M)'!J43-'Data Tables (M) cb_zip'!J43</f>
        <v>0</v>
      </c>
      <c r="K43" s="3">
        <f>'Data Tables (M)'!K43-'Data Tables (M) cb_zip'!K43</f>
        <v>0</v>
      </c>
      <c r="L43" s="3">
        <f>'Data Tables (M)'!L43-'Data Tables (M) cb_zip'!L43</f>
        <v>0</v>
      </c>
      <c r="M43" s="3">
        <f>'Data Tables (M)'!M43-'Data Tables (M) cb_zip'!M43</f>
        <v>0</v>
      </c>
      <c r="N43" s="3">
        <f>'Data Tables (M)'!N43-'Data Tables (M) cb_zip'!N43</f>
        <v>0</v>
      </c>
      <c r="O43" s="3">
        <f>'Data Tables (M)'!O43-'Data Tables (M) cb_zip'!O43</f>
        <v>0</v>
      </c>
      <c r="P43" s="3">
        <f>'Data Tables (M)'!P43-'Data Tables (M) cb_zip'!P43</f>
        <v>0</v>
      </c>
      <c r="Q43" s="3">
        <f>'Data Tables (M)'!Q43-'Data Tables (M) cb_zip'!Q43</f>
        <v>0</v>
      </c>
      <c r="R43" s="3">
        <f>'Data Tables (M)'!R43-'Data Tables (M) cb_zip'!R43</f>
        <v>0</v>
      </c>
      <c r="S43" s="3">
        <f>'Data Tables (M)'!S43-'Data Tables (M) cb_zip'!S43</f>
        <v>0</v>
      </c>
      <c r="T43" s="3">
        <f>'Data Tables (M)'!T43-'Data Tables (M) cb_zip'!T43</f>
        <v>0</v>
      </c>
      <c r="U43" s="3">
        <f>'Data Tables (M)'!U43-'Data Tables (M) cb_zip'!U43</f>
        <v>0</v>
      </c>
      <c r="V43" s="3">
        <f>'Data Tables (M)'!V43-'Data Tables (M) cb_zip'!V43</f>
        <v>-4.7134941482848691E-4</v>
      </c>
    </row>
    <row r="44" spans="1:22" x14ac:dyDescent="0.35">
      <c r="A44">
        <f>'Data Tables (M) no_cb_zip'!A44</f>
        <v>0</v>
      </c>
      <c r="B44" s="3">
        <f>'Data Tables (M)'!B44-'Data Tables (M) cb_zip'!B44</f>
        <v>0</v>
      </c>
      <c r="C44" s="3">
        <f>'Data Tables (M)'!C44-'Data Tables (M) cb_zip'!C44</f>
        <v>0</v>
      </c>
      <c r="D44" s="3">
        <f>'Data Tables (M)'!D44-'Data Tables (M) cb_zip'!D44</f>
        <v>0</v>
      </c>
      <c r="E44" s="3">
        <f>'Data Tables (M)'!E44-'Data Tables (M) cb_zip'!E44</f>
        <v>0</v>
      </c>
      <c r="F44" s="3">
        <f>'Data Tables (M)'!F44-'Data Tables (M) cb_zip'!F44</f>
        <v>0</v>
      </c>
      <c r="G44" s="3">
        <f>'Data Tables (M)'!G44-'Data Tables (M) cb_zip'!G44</f>
        <v>0</v>
      </c>
      <c r="H44" s="3">
        <f>'Data Tables (M)'!H44-'Data Tables (M) cb_zip'!H44</f>
        <v>0</v>
      </c>
      <c r="I44" s="3">
        <f>'Data Tables (M)'!I44-'Data Tables (M) cb_zip'!I44</f>
        <v>0</v>
      </c>
      <c r="J44" s="3">
        <f>'Data Tables (M)'!J44-'Data Tables (M) cb_zip'!J44</f>
        <v>0</v>
      </c>
      <c r="K44" s="3">
        <f>'Data Tables (M)'!K44-'Data Tables (M) cb_zip'!K44</f>
        <v>0</v>
      </c>
      <c r="L44" s="3">
        <f>'Data Tables (M)'!L44-'Data Tables (M) cb_zip'!L44</f>
        <v>0</v>
      </c>
      <c r="M44" s="3">
        <f>'Data Tables (M)'!M44-'Data Tables (M) cb_zip'!M44</f>
        <v>0</v>
      </c>
      <c r="N44" s="3">
        <f>'Data Tables (M)'!N44-'Data Tables (M) cb_zip'!N44</f>
        <v>0</v>
      </c>
      <c r="O44" s="3">
        <f>'Data Tables (M)'!O44-'Data Tables (M) cb_zip'!O44</f>
        <v>0</v>
      </c>
      <c r="P44" s="3">
        <f>'Data Tables (M)'!P44-'Data Tables (M) cb_zip'!P44</f>
        <v>0</v>
      </c>
      <c r="Q44" s="3">
        <f>'Data Tables (M)'!Q44-'Data Tables (M) cb_zip'!Q44</f>
        <v>0</v>
      </c>
      <c r="R44" s="3">
        <f>'Data Tables (M)'!R44-'Data Tables (M) cb_zip'!R44</f>
        <v>0</v>
      </c>
      <c r="S44" s="3">
        <f>'Data Tables (M)'!S44-'Data Tables (M) cb_zip'!S44</f>
        <v>0</v>
      </c>
      <c r="T44" s="3">
        <f>'Data Tables (M)'!T44-'Data Tables (M) cb_zip'!T44</f>
        <v>0</v>
      </c>
      <c r="U44" s="3">
        <f>'Data Tables (M)'!U44-'Data Tables (M) cb_zip'!U44</f>
        <v>0</v>
      </c>
      <c r="V44" s="3">
        <f>'Data Tables (M)'!V44-'Data Tables (M) cb_zip'!V44</f>
        <v>0</v>
      </c>
    </row>
    <row r="45" spans="1:22" x14ac:dyDescent="0.35">
      <c r="A45" t="str">
        <f>'Data Tables (M) no_cb_zip'!A45</f>
        <v>ENT</v>
      </c>
      <c r="B45" s="3" t="e">
        <f>'Data Tables (M)'!B45-'Data Tables (M) cb_zip'!B45</f>
        <v>#VALUE!</v>
      </c>
      <c r="C45" s="3" t="e">
        <f>'Data Tables (M)'!C45-'Data Tables (M) cb_zip'!C45</f>
        <v>#VALUE!</v>
      </c>
      <c r="D45" s="3" t="e">
        <f>'Data Tables (M)'!D45-'Data Tables (M) cb_zip'!D45</f>
        <v>#VALUE!</v>
      </c>
      <c r="E45" s="3" t="e">
        <f>'Data Tables (M)'!E45-'Data Tables (M) cb_zip'!E45</f>
        <v>#VALUE!</v>
      </c>
      <c r="F45" s="3" t="e">
        <f>'Data Tables (M)'!F45-'Data Tables (M) cb_zip'!F45</f>
        <v>#VALUE!</v>
      </c>
      <c r="G45" s="3" t="e">
        <f>'Data Tables (M)'!G45-'Data Tables (M) cb_zip'!G45</f>
        <v>#VALUE!</v>
      </c>
      <c r="H45" s="3" t="e">
        <f>'Data Tables (M)'!H45-'Data Tables (M) cb_zip'!H45</f>
        <v>#VALUE!</v>
      </c>
      <c r="I45" s="3" t="e">
        <f>'Data Tables (M)'!I45-'Data Tables (M) cb_zip'!I45</f>
        <v>#VALUE!</v>
      </c>
      <c r="J45" s="3" t="e">
        <f>'Data Tables (M)'!J45-'Data Tables (M) cb_zip'!J45</f>
        <v>#VALUE!</v>
      </c>
      <c r="K45" s="3" t="e">
        <f>'Data Tables (M)'!K45-'Data Tables (M) cb_zip'!K45</f>
        <v>#VALUE!</v>
      </c>
      <c r="L45" s="3" t="e">
        <f>'Data Tables (M)'!L45-'Data Tables (M) cb_zip'!L45</f>
        <v>#VALUE!</v>
      </c>
      <c r="M45" s="3" t="e">
        <f>'Data Tables (M)'!M45-'Data Tables (M) cb_zip'!M45</f>
        <v>#VALUE!</v>
      </c>
      <c r="N45" s="3" t="e">
        <f>'Data Tables (M)'!N45-'Data Tables (M) cb_zip'!N45</f>
        <v>#VALUE!</v>
      </c>
      <c r="O45" s="3" t="e">
        <f>'Data Tables (M)'!O45-'Data Tables (M) cb_zip'!O45</f>
        <v>#VALUE!</v>
      </c>
      <c r="P45" s="3" t="e">
        <f>'Data Tables (M)'!P45-'Data Tables (M) cb_zip'!P45</f>
        <v>#VALUE!</v>
      </c>
      <c r="Q45" s="3" t="e">
        <f>'Data Tables (M)'!Q45-'Data Tables (M) cb_zip'!Q45</f>
        <v>#VALUE!</v>
      </c>
      <c r="R45" s="3" t="e">
        <f>'Data Tables (M)'!R45-'Data Tables (M) cb_zip'!R45</f>
        <v>#VALUE!</v>
      </c>
      <c r="S45" s="3" t="e">
        <f>'Data Tables (M)'!S45-'Data Tables (M) cb_zip'!S45</f>
        <v>#VALUE!</v>
      </c>
      <c r="T45" s="3" t="e">
        <f>'Data Tables (M)'!T45-'Data Tables (M) cb_zip'!T45</f>
        <v>#VALUE!</v>
      </c>
      <c r="U45" s="3" t="e">
        <f>'Data Tables (M)'!U45-'Data Tables (M) cb_zip'!U45</f>
        <v>#VALUE!</v>
      </c>
      <c r="V45" s="3" t="e">
        <f>'Data Tables (M)'!V45-'Data Tables (M) cb_zip'!V45</f>
        <v>#VALUE!</v>
      </c>
    </row>
    <row r="46" spans="1:22" x14ac:dyDescent="0.35">
      <c r="A46" t="str">
        <f>'Data Tables (M) no_cb_zip'!A46</f>
        <v>Model Score</v>
      </c>
      <c r="B46" s="3">
        <f>'Data Tables (M)'!B46-'Data Tables (M) cb_zip'!B46</f>
        <v>0</v>
      </c>
      <c r="C46" s="3">
        <f>'Data Tables (M)'!C46-'Data Tables (M) cb_zip'!C46</f>
        <v>0</v>
      </c>
      <c r="D46" s="3">
        <f>'Data Tables (M)'!D46-'Data Tables (M) cb_zip'!D46</f>
        <v>0</v>
      </c>
      <c r="E46" s="3">
        <f>'Data Tables (M)'!E46-'Data Tables (M) cb_zip'!E46</f>
        <v>0</v>
      </c>
      <c r="F46" s="3">
        <f>'Data Tables (M)'!F46-'Data Tables (M) cb_zip'!F46</f>
        <v>0</v>
      </c>
      <c r="G46" s="3">
        <f>'Data Tables (M)'!G46-'Data Tables (M) cb_zip'!G46</f>
        <v>0</v>
      </c>
      <c r="H46" s="3">
        <f>'Data Tables (M)'!H46-'Data Tables (M) cb_zip'!H46</f>
        <v>0</v>
      </c>
      <c r="I46" s="3">
        <f>'Data Tables (M)'!I46-'Data Tables (M) cb_zip'!I46</f>
        <v>0</v>
      </c>
      <c r="J46" s="3">
        <f>'Data Tables (M)'!J46-'Data Tables (M) cb_zip'!J46</f>
        <v>0</v>
      </c>
      <c r="K46" s="3">
        <f>'Data Tables (M)'!K46-'Data Tables (M) cb_zip'!K46</f>
        <v>0</v>
      </c>
      <c r="L46" s="3">
        <f>'Data Tables (M)'!L46-'Data Tables (M) cb_zip'!L46</f>
        <v>0</v>
      </c>
      <c r="M46" s="3">
        <f>'Data Tables (M)'!M46-'Data Tables (M) cb_zip'!M46</f>
        <v>0</v>
      </c>
      <c r="N46" s="3">
        <f>'Data Tables (M)'!N46-'Data Tables (M) cb_zip'!N46</f>
        <v>0</v>
      </c>
      <c r="O46" s="3">
        <f>'Data Tables (M)'!O46-'Data Tables (M) cb_zip'!O46</f>
        <v>0</v>
      </c>
      <c r="P46" s="3">
        <f>'Data Tables (M)'!P46-'Data Tables (M) cb_zip'!P46</f>
        <v>0</v>
      </c>
      <c r="Q46" s="3">
        <f>'Data Tables (M)'!Q46-'Data Tables (M) cb_zip'!Q46</f>
        <v>0</v>
      </c>
      <c r="R46" s="3">
        <f>'Data Tables (M)'!R46-'Data Tables (M) cb_zip'!R46</f>
        <v>0</v>
      </c>
      <c r="S46" s="3">
        <f>'Data Tables (M)'!S46-'Data Tables (M) cb_zip'!S46</f>
        <v>0</v>
      </c>
      <c r="T46" s="3">
        <f>'Data Tables (M)'!T46-'Data Tables (M) cb_zip'!T46</f>
        <v>0</v>
      </c>
      <c r="U46" s="3">
        <f>'Data Tables (M)'!U46-'Data Tables (M) cb_zip'!U46</f>
        <v>0</v>
      </c>
      <c r="V46" s="3">
        <f>'Data Tables (M)'!V46-'Data Tables (M) cb_zip'!V46</f>
        <v>1.9161358274999429E-2</v>
      </c>
    </row>
    <row r="47" spans="1:22" x14ac:dyDescent="0.35">
      <c r="A47" t="str">
        <f>'Data Tables (M) no_cb_zip'!A47</f>
        <v>Expected Gross Loss Impact</v>
      </c>
      <c r="B47" s="3">
        <f>'Data Tables (M)'!B47-'Data Tables (M) cb_zip'!B47</f>
        <v>3.6151198092961856E-3</v>
      </c>
      <c r="C47" s="3">
        <f>'Data Tables (M)'!C47-'Data Tables (M) cb_zip'!C47</f>
        <v>0</v>
      </c>
      <c r="D47" s="3">
        <f>'Data Tables (M)'!D47-'Data Tables (M) cb_zip'!D47</f>
        <v>0</v>
      </c>
      <c r="E47" s="3">
        <f>'Data Tables (M)'!E47-'Data Tables (M) cb_zip'!E47</f>
        <v>-1.3916387979129308E-3</v>
      </c>
      <c r="F47" s="3">
        <f>'Data Tables (M)'!F47-'Data Tables (M) cb_zip'!F47</f>
        <v>2.3708348692252912E-5</v>
      </c>
      <c r="G47" s="3">
        <f>'Data Tables (M)'!G47-'Data Tables (M) cb_zip'!G47</f>
        <v>2.8421709430404007E-14</v>
      </c>
      <c r="H47" s="3">
        <f>'Data Tables (M)'!H47-'Data Tables (M) cb_zip'!H47</f>
        <v>-2.8421709430404007E-14</v>
      </c>
      <c r="I47" s="3">
        <f>'Data Tables (M)'!I47-'Data Tables (M) cb_zip'!I47</f>
        <v>0</v>
      </c>
      <c r="J47" s="3">
        <f>'Data Tables (M)'!J47-'Data Tables (M) cb_zip'!J47</f>
        <v>0</v>
      </c>
      <c r="K47" s="3">
        <f>'Data Tables (M)'!K47-'Data Tables (M) cb_zip'!K47</f>
        <v>0</v>
      </c>
      <c r="L47" s="3">
        <f>'Data Tables (M)'!L47-'Data Tables (M) cb_zip'!L47</f>
        <v>0</v>
      </c>
      <c r="M47" s="3">
        <f>'Data Tables (M)'!M47-'Data Tables (M) cb_zip'!M47</f>
        <v>0</v>
      </c>
      <c r="N47" s="3">
        <f>'Data Tables (M)'!N47-'Data Tables (M) cb_zip'!N47</f>
        <v>0</v>
      </c>
      <c r="O47" s="3">
        <f>'Data Tables (M)'!O47-'Data Tables (M) cb_zip'!O47</f>
        <v>0</v>
      </c>
      <c r="P47" s="3">
        <f>'Data Tables (M)'!P47-'Data Tables (M) cb_zip'!P47</f>
        <v>0</v>
      </c>
      <c r="Q47" s="3">
        <f>'Data Tables (M)'!Q47-'Data Tables (M) cb_zip'!Q47</f>
        <v>0</v>
      </c>
      <c r="R47" s="3">
        <f>'Data Tables (M)'!R47-'Data Tables (M) cb_zip'!R47</f>
        <v>0</v>
      </c>
      <c r="S47" s="3">
        <f>'Data Tables (M)'!S47-'Data Tables (M) cb_zip'!S47</f>
        <v>0</v>
      </c>
      <c r="T47" s="3">
        <f>'Data Tables (M)'!T47-'Data Tables (M) cb_zip'!T47</f>
        <v>0</v>
      </c>
      <c r="U47" s="3">
        <f>'Data Tables (M)'!U47-'Data Tables (M) cb_zip'!U47</f>
        <v>0</v>
      </c>
      <c r="V47" s="3">
        <f>'Data Tables (M)'!V47-'Data Tables (M) cb_zip'!V47</f>
        <v>3.9561992272467705E-3</v>
      </c>
    </row>
    <row r="48" spans="1:22" x14ac:dyDescent="0.35">
      <c r="A48" t="str">
        <f>'Data Tables (M) no_cb_zip'!A48</f>
        <v>Recovery Impact</v>
      </c>
      <c r="B48" s="3">
        <f>'Data Tables (M)'!B48-'Data Tables (M) cb_zip'!B48</f>
        <v>9.9513737975938099E-3</v>
      </c>
      <c r="C48" s="3">
        <f>'Data Tables (M)'!C48-'Data Tables (M) cb_zip'!C48</f>
        <v>9.7699626167013776E-15</v>
      </c>
      <c r="D48" s="3">
        <f>'Data Tables (M)'!D48-'Data Tables (M) cb_zip'!D48</f>
        <v>0</v>
      </c>
      <c r="E48" s="3">
        <f>'Data Tables (M)'!E48-'Data Tables (M) cb_zip'!E48</f>
        <v>-2.8047916245181881E-3</v>
      </c>
      <c r="F48" s="3">
        <f>'Data Tables (M)'!F48-'Data Tables (M) cb_zip'!F48</f>
        <v>-5.337108806489077E-3</v>
      </c>
      <c r="G48" s="3">
        <f>'Data Tables (M)'!G48-'Data Tables (M) cb_zip'!G48</f>
        <v>-1.021405182655144E-14</v>
      </c>
      <c r="H48" s="3">
        <f>'Data Tables (M)'!H48-'Data Tables (M) cb_zip'!H48</f>
        <v>9.3258734068513149E-15</v>
      </c>
      <c r="I48" s="3">
        <f>'Data Tables (M)'!I48-'Data Tables (M) cb_zip'!I48</f>
        <v>0</v>
      </c>
      <c r="J48" s="3">
        <f>'Data Tables (M)'!J48-'Data Tables (M) cb_zip'!J48</f>
        <v>0</v>
      </c>
      <c r="K48" s="3">
        <f>'Data Tables (M)'!K48-'Data Tables (M) cb_zip'!K48</f>
        <v>0</v>
      </c>
      <c r="L48" s="3">
        <f>'Data Tables (M)'!L48-'Data Tables (M) cb_zip'!L48</f>
        <v>1.9095836023552692E-14</v>
      </c>
      <c r="M48" s="3">
        <f>'Data Tables (M)'!M48-'Data Tables (M) cb_zip'!M48</f>
        <v>1.0658141036401503E-14</v>
      </c>
      <c r="N48" s="3">
        <f>'Data Tables (M)'!N48-'Data Tables (M) cb_zip'!N48</f>
        <v>-8.8817841970012523E-15</v>
      </c>
      <c r="O48" s="3">
        <f>'Data Tables (M)'!O48-'Data Tables (M) cb_zip'!O48</f>
        <v>0</v>
      </c>
      <c r="P48" s="3">
        <f>'Data Tables (M)'!P48-'Data Tables (M) cb_zip'!P48</f>
        <v>0</v>
      </c>
      <c r="Q48" s="3">
        <f>'Data Tables (M)'!Q48-'Data Tables (M) cb_zip'!Q48</f>
        <v>0</v>
      </c>
      <c r="R48" s="3">
        <f>'Data Tables (M)'!R48-'Data Tables (M) cb_zip'!R48</f>
        <v>0</v>
      </c>
      <c r="S48" s="3">
        <f>'Data Tables (M)'!S48-'Data Tables (M) cb_zip'!S48</f>
        <v>-1.7985612998927536E-14</v>
      </c>
      <c r="T48" s="3">
        <f>'Data Tables (M)'!T48-'Data Tables (M) cb_zip'!T48</f>
        <v>0</v>
      </c>
      <c r="U48" s="3">
        <f>'Data Tables (M)'!U48-'Data Tables (M) cb_zip'!U48</f>
        <v>0</v>
      </c>
      <c r="V48" s="3">
        <f>'Data Tables (M)'!V48-'Data Tables (M) cb_zip'!V48</f>
        <v>9.636984312238206E-2</v>
      </c>
    </row>
    <row r="49" spans="1:22" x14ac:dyDescent="0.35">
      <c r="A49" t="str">
        <f>'Data Tables (M) no_cb_zip'!A49</f>
        <v>LTV Impact</v>
      </c>
      <c r="B49" s="3">
        <f>'Data Tables (M)'!B49-'Data Tables (M) cb_zip'!B49</f>
        <v>-1.0735158191730321E-3</v>
      </c>
      <c r="C49" s="3">
        <f>'Data Tables (M)'!C49-'Data Tables (M) cb_zip'!C49</f>
        <v>0</v>
      </c>
      <c r="D49" s="3">
        <f>'Data Tables (M)'!D49-'Data Tables (M) cb_zip'!D49</f>
        <v>-2.886579864025407E-15</v>
      </c>
      <c r="E49" s="3">
        <f>'Data Tables (M)'!E49-'Data Tables (M) cb_zip'!E49</f>
        <v>-1.9091339692600684E-4</v>
      </c>
      <c r="F49" s="3">
        <f>'Data Tables (M)'!F49-'Data Tables (M) cb_zip'!F49</f>
        <v>-2.4157295671067835E-3</v>
      </c>
      <c r="G49" s="3">
        <f>'Data Tables (M)'!G49-'Data Tables (M) cb_zip'!G49</f>
        <v>0</v>
      </c>
      <c r="H49" s="3">
        <f>'Data Tables (M)'!H49-'Data Tables (M) cb_zip'!H49</f>
        <v>-3.9968028886505635E-15</v>
      </c>
      <c r="I49" s="3">
        <f>'Data Tables (M)'!I49-'Data Tables (M) cb_zip'!I49</f>
        <v>-3.9968028886505635E-15</v>
      </c>
      <c r="J49" s="3">
        <f>'Data Tables (M)'!J49-'Data Tables (M) cb_zip'!J49</f>
        <v>0</v>
      </c>
      <c r="K49" s="3">
        <f>'Data Tables (M)'!K49-'Data Tables (M) cb_zip'!K49</f>
        <v>1.8080053632179016E-3</v>
      </c>
      <c r="L49" s="3">
        <f>'Data Tables (M)'!L49-'Data Tables (M) cb_zip'!L49</f>
        <v>-3.1086244689504383E-15</v>
      </c>
      <c r="M49" s="3">
        <f>'Data Tables (M)'!M49-'Data Tables (M) cb_zip'!M49</f>
        <v>-2.8908438281405324E-4</v>
      </c>
      <c r="N49" s="3">
        <f>'Data Tables (M)'!N49-'Data Tables (M) cb_zip'!N49</f>
        <v>0</v>
      </c>
      <c r="O49" s="3">
        <f>'Data Tables (M)'!O49-'Data Tables (M) cb_zip'!O49</f>
        <v>0</v>
      </c>
      <c r="P49" s="3">
        <f>'Data Tables (M)'!P49-'Data Tables (M) cb_zip'!P49</f>
        <v>0</v>
      </c>
      <c r="Q49" s="3">
        <f>'Data Tables (M)'!Q49-'Data Tables (M) cb_zip'!Q49</f>
        <v>-3.9968028886505635E-15</v>
      </c>
      <c r="R49" s="3">
        <f>'Data Tables (M)'!R49-'Data Tables (M) cb_zip'!R49</f>
        <v>0</v>
      </c>
      <c r="S49" s="3">
        <f>'Data Tables (M)'!S49-'Data Tables (M) cb_zip'!S49</f>
        <v>0</v>
      </c>
      <c r="T49" s="3">
        <f>'Data Tables (M)'!T49-'Data Tables (M) cb_zip'!T49</f>
        <v>0</v>
      </c>
      <c r="U49" s="3">
        <f>'Data Tables (M)'!U49-'Data Tables (M) cb_zip'!U49</f>
        <v>0</v>
      </c>
      <c r="V49" s="3">
        <f>'Data Tables (M)'!V49-'Data Tables (M) cb_zip'!V49</f>
        <v>1.1159497424566123E-2</v>
      </c>
    </row>
    <row r="50" spans="1:22" x14ac:dyDescent="0.35">
      <c r="A50" t="str">
        <f>'Data Tables (M) no_cb_zip'!A50</f>
        <v>APR Impact</v>
      </c>
      <c r="B50" s="3">
        <f>'Data Tables (M)'!B50-'Data Tables (M) cb_zip'!B50</f>
        <v>5.5403802884432252E-4</v>
      </c>
      <c r="C50" s="3">
        <f>'Data Tables (M)'!C50-'Data Tables (M) cb_zip'!C50</f>
        <v>-3.9135361618036768E-15</v>
      </c>
      <c r="D50" s="3">
        <f>'Data Tables (M)'!D50-'Data Tables (M) cb_zip'!D50</f>
        <v>-3.9412917374193057E-15</v>
      </c>
      <c r="E50" s="3">
        <f>'Data Tables (M)'!E50-'Data Tables (M) cb_zip'!E50</f>
        <v>3.3186137798929538E-4</v>
      </c>
      <c r="F50" s="3">
        <f>'Data Tables (M)'!F50-'Data Tables (M) cb_zip'!F50</f>
        <v>7.5674492709210117E-4</v>
      </c>
      <c r="G50" s="3">
        <f>'Data Tables (M)'!G50-'Data Tables (M) cb_zip'!G50</f>
        <v>0</v>
      </c>
      <c r="H50" s="3">
        <f>'Data Tables (M)'!H50-'Data Tables (M) cb_zip'!H50</f>
        <v>-3.8857805861880479E-15</v>
      </c>
      <c r="I50" s="3">
        <f>'Data Tables (M)'!I50-'Data Tables (M) cb_zip'!I50</f>
        <v>-1.8873791418627661E-15</v>
      </c>
      <c r="J50" s="3">
        <f>'Data Tables (M)'!J50-'Data Tables (M) cb_zip'!J50</f>
        <v>0</v>
      </c>
      <c r="K50" s="3">
        <f>'Data Tables (M)'!K50-'Data Tables (M) cb_zip'!K50</f>
        <v>0</v>
      </c>
      <c r="L50" s="3">
        <f>'Data Tables (M)'!L50-'Data Tables (M) cb_zip'!L50</f>
        <v>-1.9012569296705806E-15</v>
      </c>
      <c r="M50" s="3">
        <f>'Data Tables (M)'!M50-'Data Tables (M) cb_zip'!M50</f>
        <v>-1.9984014443252818E-15</v>
      </c>
      <c r="N50" s="3">
        <f>'Data Tables (M)'!N50-'Data Tables (M) cb_zip'!N50</f>
        <v>-2.0122792321330962E-15</v>
      </c>
      <c r="O50" s="3">
        <f>'Data Tables (M)'!O50-'Data Tables (M) cb_zip'!O50</f>
        <v>0</v>
      </c>
      <c r="P50" s="3">
        <f>'Data Tables (M)'!P50-'Data Tables (M) cb_zip'!P50</f>
        <v>0</v>
      </c>
      <c r="Q50" s="3">
        <f>'Data Tables (M)'!Q50-'Data Tables (M) cb_zip'!Q50</f>
        <v>0</v>
      </c>
      <c r="R50" s="3">
        <f>'Data Tables (M)'!R50-'Data Tables (M) cb_zip'!R50</f>
        <v>0</v>
      </c>
      <c r="S50" s="3">
        <f>'Data Tables (M)'!S50-'Data Tables (M) cb_zip'!S50</f>
        <v>-1.9984014443252818E-15</v>
      </c>
      <c r="T50" s="3">
        <f>'Data Tables (M)'!T50-'Data Tables (M) cb_zip'!T50</f>
        <v>1.9984014443252818E-15</v>
      </c>
      <c r="U50" s="3">
        <f>'Data Tables (M)'!U50-'Data Tables (M) cb_zip'!U50</f>
        <v>0</v>
      </c>
      <c r="V50" s="3">
        <f>'Data Tables (M)'!V50-'Data Tables (M) cb_zip'!V50</f>
        <v>3.28982684017773E-2</v>
      </c>
    </row>
    <row r="51" spans="1:22" x14ac:dyDescent="0.35">
      <c r="A51" t="str">
        <f>'Data Tables (M) no_cb_zip'!A51</f>
        <v>RAGU Score</v>
      </c>
      <c r="B51" s="3">
        <f>'Data Tables (M)'!B51-'Data Tables (M) cb_zip'!B51</f>
        <v>1.3047015816596286E-2</v>
      </c>
      <c r="C51" s="3">
        <f>'Data Tables (M)'!C51-'Data Tables (M) cb_zip'!C51</f>
        <v>0</v>
      </c>
      <c r="D51" s="3">
        <f>'Data Tables (M)'!D51-'Data Tables (M) cb_zip'!D51</f>
        <v>0</v>
      </c>
      <c r="E51" s="3">
        <f>'Data Tables (M)'!E51-'Data Tables (M) cb_zip'!E51</f>
        <v>-4.0554824414016366E-3</v>
      </c>
      <c r="F51" s="3">
        <f>'Data Tables (M)'!F51-'Data Tables (M) cb_zip'!F51</f>
        <v>-6.9723850978107293E-3</v>
      </c>
      <c r="G51" s="3">
        <f>'Data Tables (M)'!G51-'Data Tables (M) cb_zip'!G51</f>
        <v>0</v>
      </c>
      <c r="H51" s="3">
        <f>'Data Tables (M)'!H51-'Data Tables (M) cb_zip'!H51</f>
        <v>0</v>
      </c>
      <c r="I51" s="3">
        <f>'Data Tables (M)'!I51-'Data Tables (M) cb_zip'!I51</f>
        <v>0</v>
      </c>
      <c r="J51" s="3">
        <f>'Data Tables (M)'!J51-'Data Tables (M) cb_zip'!J51</f>
        <v>0</v>
      </c>
      <c r="K51" s="3">
        <f>'Data Tables (M)'!K51-'Data Tables (M) cb_zip'!K51</f>
        <v>1.8080053631877036E-3</v>
      </c>
      <c r="L51" s="3">
        <f>'Data Tables (M)'!L51-'Data Tables (M) cb_zip'!L51</f>
        <v>0</v>
      </c>
      <c r="M51" s="3">
        <f>'Data Tables (M)'!M51-'Data Tables (M) cb_zip'!M51</f>
        <v>-2.8908438289931837E-4</v>
      </c>
      <c r="N51" s="3">
        <f>'Data Tables (M)'!N51-'Data Tables (M) cb_zip'!N51</f>
        <v>0</v>
      </c>
      <c r="O51" s="3">
        <f>'Data Tables (M)'!O51-'Data Tables (M) cb_zip'!O51</f>
        <v>0</v>
      </c>
      <c r="P51" s="3">
        <f>'Data Tables (M)'!P51-'Data Tables (M) cb_zip'!P51</f>
        <v>0</v>
      </c>
      <c r="Q51" s="3">
        <f>'Data Tables (M)'!Q51-'Data Tables (M) cb_zip'!Q51</f>
        <v>0</v>
      </c>
      <c r="R51" s="3">
        <f>'Data Tables (M)'!R51-'Data Tables (M) cb_zip'!R51</f>
        <v>0</v>
      </c>
      <c r="S51" s="3">
        <f>'Data Tables (M)'!S51-'Data Tables (M) cb_zip'!S51</f>
        <v>0</v>
      </c>
      <c r="T51" s="3">
        <f>'Data Tables (M)'!T51-'Data Tables (M) cb_zip'!T51</f>
        <v>0</v>
      </c>
      <c r="U51" s="3">
        <f>'Data Tables (M)'!U51-'Data Tables (M) cb_zip'!U51</f>
        <v>0</v>
      </c>
      <c r="V51" s="3">
        <f>'Data Tables (M)'!V51-'Data Tables (M) cb_zip'!V51</f>
        <v>0.16354516645111516</v>
      </c>
    </row>
    <row r="52" spans="1:22" x14ac:dyDescent="0.35">
      <c r="A52" t="str">
        <f>'Data Tables (M) no_cb_zip'!A52</f>
        <v>Amount Financed</v>
      </c>
      <c r="B52" s="3">
        <f>'Data Tables (M)'!B52-'Data Tables (M) cb_zip'!B52</f>
        <v>-25038</v>
      </c>
      <c r="C52" s="3">
        <f>'Data Tables (M)'!C52-'Data Tables (M) cb_zip'!C52</f>
        <v>0</v>
      </c>
      <c r="D52" s="3">
        <f>'Data Tables (M)'!D52-'Data Tables (M) cb_zip'!D52</f>
        <v>0</v>
      </c>
      <c r="E52" s="3">
        <f>'Data Tables (M)'!E52-'Data Tables (M) cb_zip'!E52</f>
        <v>-19582.960000000894</v>
      </c>
      <c r="F52" s="3">
        <f>'Data Tables (M)'!F52-'Data Tables (M) cb_zip'!F52</f>
        <v>-34702.020000003278</v>
      </c>
      <c r="G52" s="3">
        <f>'Data Tables (M)'!G52-'Data Tables (M) cb_zip'!G52</f>
        <v>0</v>
      </c>
      <c r="H52" s="3">
        <f>'Data Tables (M)'!H52-'Data Tables (M) cb_zip'!H52</f>
        <v>0</v>
      </c>
      <c r="I52" s="3">
        <f>'Data Tables (M)'!I52-'Data Tables (M) cb_zip'!I52</f>
        <v>0</v>
      </c>
      <c r="J52" s="3">
        <f>'Data Tables (M)'!J52-'Data Tables (M) cb_zip'!J52</f>
        <v>0</v>
      </c>
      <c r="K52" s="3">
        <f>'Data Tables (M)'!K52-'Data Tables (M) cb_zip'!K52</f>
        <v>0</v>
      </c>
      <c r="L52" s="3">
        <f>'Data Tables (M)'!L52-'Data Tables (M) cb_zip'!L52</f>
        <v>0</v>
      </c>
      <c r="M52" s="3">
        <f>'Data Tables (M)'!M52-'Data Tables (M) cb_zip'!M52</f>
        <v>0</v>
      </c>
      <c r="N52" s="3">
        <f>'Data Tables (M)'!N52-'Data Tables (M) cb_zip'!N52</f>
        <v>0</v>
      </c>
      <c r="O52" s="3">
        <f>'Data Tables (M)'!O52-'Data Tables (M) cb_zip'!O52</f>
        <v>0</v>
      </c>
      <c r="P52" s="3">
        <f>'Data Tables (M)'!P52-'Data Tables (M) cb_zip'!P52</f>
        <v>0</v>
      </c>
      <c r="Q52" s="3">
        <f>'Data Tables (M)'!Q52-'Data Tables (M) cb_zip'!Q52</f>
        <v>0</v>
      </c>
      <c r="R52" s="3">
        <f>'Data Tables (M)'!R52-'Data Tables (M) cb_zip'!R52</f>
        <v>0</v>
      </c>
      <c r="S52" s="3">
        <f>'Data Tables (M)'!S52-'Data Tables (M) cb_zip'!S52</f>
        <v>0</v>
      </c>
      <c r="T52" s="3">
        <f>'Data Tables (M)'!T52-'Data Tables (M) cb_zip'!T52</f>
        <v>0</v>
      </c>
      <c r="U52" s="3">
        <f>'Data Tables (M)'!U52-'Data Tables (M) cb_zip'!U52</f>
        <v>0</v>
      </c>
      <c r="V52" s="3">
        <f>'Data Tables (M)'!V52-'Data Tables (M) cb_zip'!V52</f>
        <v>635570.15000000037</v>
      </c>
    </row>
    <row r="53" spans="1:22" x14ac:dyDescent="0.35">
      <c r="A53" t="str">
        <f>'Data Tables (M) no_cb_zip'!A53</f>
        <v>Weighted LTV</v>
      </c>
      <c r="B53" s="3">
        <f>'Data Tables (M)'!B53-'Data Tables (M) cb_zip'!B53</f>
        <v>7.9701398574050231E-5</v>
      </c>
      <c r="C53" s="3">
        <f>'Data Tables (M)'!C53-'Data Tables (M) cb_zip'!C53</f>
        <v>0</v>
      </c>
      <c r="D53" s="3">
        <f>'Data Tables (M)'!D53-'Data Tables (M) cb_zip'!D53</f>
        <v>0</v>
      </c>
      <c r="E53" s="3">
        <f>'Data Tables (M)'!E53-'Data Tables (M) cb_zip'!E53</f>
        <v>1.3329599917843993E-5</v>
      </c>
      <c r="F53" s="3">
        <f>'Data Tables (M)'!F53-'Data Tables (M) cb_zip'!F53</f>
        <v>1.6431852458898E-4</v>
      </c>
      <c r="G53" s="3">
        <f>'Data Tables (M)'!G53-'Data Tables (M) cb_zip'!G53</f>
        <v>0</v>
      </c>
      <c r="H53" s="3">
        <f>'Data Tables (M)'!H53-'Data Tables (M) cb_zip'!H53</f>
        <v>0</v>
      </c>
      <c r="I53" s="3">
        <f>'Data Tables (M)'!I53-'Data Tables (M) cb_zip'!I53</f>
        <v>0</v>
      </c>
      <c r="J53" s="3">
        <f>'Data Tables (M)'!J53-'Data Tables (M) cb_zip'!J53</f>
        <v>0</v>
      </c>
      <c r="K53" s="3">
        <f>'Data Tables (M)'!K53-'Data Tables (M) cb_zip'!K53</f>
        <v>-1.2460601895103451E-4</v>
      </c>
      <c r="L53" s="3">
        <f>'Data Tables (M)'!L53-'Data Tables (M) cb_zip'!L53</f>
        <v>0</v>
      </c>
      <c r="M53" s="3">
        <f>'Data Tables (M)'!M53-'Data Tables (M) cb_zip'!M53</f>
        <v>2.1344441361037525E-5</v>
      </c>
      <c r="N53" s="3">
        <f>'Data Tables (M)'!N53-'Data Tables (M) cb_zip'!N53</f>
        <v>0</v>
      </c>
      <c r="O53" s="3">
        <f>'Data Tables (M)'!O53-'Data Tables (M) cb_zip'!O53</f>
        <v>0</v>
      </c>
      <c r="P53" s="3">
        <f>'Data Tables (M)'!P53-'Data Tables (M) cb_zip'!P53</f>
        <v>0</v>
      </c>
      <c r="Q53" s="3">
        <f>'Data Tables (M)'!Q53-'Data Tables (M) cb_zip'!Q53</f>
        <v>0</v>
      </c>
      <c r="R53" s="3">
        <f>'Data Tables (M)'!R53-'Data Tables (M) cb_zip'!R53</f>
        <v>0</v>
      </c>
      <c r="S53" s="3">
        <f>'Data Tables (M)'!S53-'Data Tables (M) cb_zip'!S53</f>
        <v>0</v>
      </c>
      <c r="T53" s="3">
        <f>'Data Tables (M)'!T53-'Data Tables (M) cb_zip'!T53</f>
        <v>0</v>
      </c>
      <c r="U53" s="3">
        <f>'Data Tables (M)'!U53-'Data Tables (M) cb_zip'!U53</f>
        <v>0</v>
      </c>
      <c r="V53" s="3">
        <f>'Data Tables (M)'!V53-'Data Tables (M) cb_zip'!V53</f>
        <v>-7.4674516855588458E-4</v>
      </c>
    </row>
    <row r="54" spans="1:22" x14ac:dyDescent="0.35">
      <c r="A54" t="str">
        <f>'Data Tables (M) no_cb_zip'!A54</f>
        <v>Weighted APR</v>
      </c>
      <c r="B54" s="3">
        <f>'Data Tables (M)'!B54-'Data Tables (M) cb_zip'!B54</f>
        <v>-7.9148289834907182E-6</v>
      </c>
      <c r="C54" s="3">
        <f>'Data Tables (M)'!C54-'Data Tables (M) cb_zip'!C54</f>
        <v>0</v>
      </c>
      <c r="D54" s="3">
        <f>'Data Tables (M)'!D54-'Data Tables (M) cb_zip'!D54</f>
        <v>0</v>
      </c>
      <c r="E54" s="3">
        <f>'Data Tables (M)'!E54-'Data Tables (M) cb_zip'!E54</f>
        <v>-4.7408768284185054E-6</v>
      </c>
      <c r="F54" s="3">
        <f>'Data Tables (M)'!F54-'Data Tables (M) cb_zip'!F54</f>
        <v>-1.0810641815600652E-5</v>
      </c>
      <c r="G54" s="3">
        <f>'Data Tables (M)'!G54-'Data Tables (M) cb_zip'!G54</f>
        <v>0</v>
      </c>
      <c r="H54" s="3">
        <f>'Data Tables (M)'!H54-'Data Tables (M) cb_zip'!H54</f>
        <v>0</v>
      </c>
      <c r="I54" s="3">
        <f>'Data Tables (M)'!I54-'Data Tables (M) cb_zip'!I54</f>
        <v>0</v>
      </c>
      <c r="J54" s="3">
        <f>'Data Tables (M)'!J54-'Data Tables (M) cb_zip'!J54</f>
        <v>0</v>
      </c>
      <c r="K54" s="3">
        <f>'Data Tables (M)'!K54-'Data Tables (M) cb_zip'!K54</f>
        <v>0</v>
      </c>
      <c r="L54" s="3">
        <f>'Data Tables (M)'!L54-'Data Tables (M) cb_zip'!L54</f>
        <v>0</v>
      </c>
      <c r="M54" s="3">
        <f>'Data Tables (M)'!M54-'Data Tables (M) cb_zip'!M54</f>
        <v>0</v>
      </c>
      <c r="N54" s="3">
        <f>'Data Tables (M)'!N54-'Data Tables (M) cb_zip'!N54</f>
        <v>0</v>
      </c>
      <c r="O54" s="3">
        <f>'Data Tables (M)'!O54-'Data Tables (M) cb_zip'!O54</f>
        <v>0</v>
      </c>
      <c r="P54" s="3">
        <f>'Data Tables (M)'!P54-'Data Tables (M) cb_zip'!P54</f>
        <v>0</v>
      </c>
      <c r="Q54" s="3">
        <f>'Data Tables (M)'!Q54-'Data Tables (M) cb_zip'!Q54</f>
        <v>0</v>
      </c>
      <c r="R54" s="3">
        <f>'Data Tables (M)'!R54-'Data Tables (M) cb_zip'!R54</f>
        <v>0</v>
      </c>
      <c r="S54" s="3">
        <f>'Data Tables (M)'!S54-'Data Tables (M) cb_zip'!S54</f>
        <v>0</v>
      </c>
      <c r="T54" s="3">
        <f>'Data Tables (M)'!T54-'Data Tables (M) cb_zip'!T54</f>
        <v>0</v>
      </c>
      <c r="U54" s="3">
        <f>'Data Tables (M)'!U54-'Data Tables (M) cb_zip'!U54</f>
        <v>0</v>
      </c>
      <c r="V54" s="3">
        <f>'Data Tables (M)'!V54-'Data Tables (M) cb_zip'!V54</f>
        <v>-4.6997526288250491E-4</v>
      </c>
    </row>
    <row r="55" spans="1:22" x14ac:dyDescent="0.35">
      <c r="A55">
        <f>'Data Tables (M) no_cb_zip'!A55</f>
        <v>0</v>
      </c>
      <c r="B55" s="3">
        <f>'Data Tables (M)'!B55-'Data Tables (M) cb_zip'!B55</f>
        <v>0</v>
      </c>
      <c r="C55" s="3">
        <f>'Data Tables (M)'!C55-'Data Tables (M) cb_zip'!C55</f>
        <v>0</v>
      </c>
      <c r="D55" s="3">
        <f>'Data Tables (M)'!D55-'Data Tables (M) cb_zip'!D55</f>
        <v>0</v>
      </c>
      <c r="E55" s="3">
        <f>'Data Tables (M)'!E55-'Data Tables (M) cb_zip'!E55</f>
        <v>0</v>
      </c>
      <c r="F55" s="3">
        <f>'Data Tables (M)'!F55-'Data Tables (M) cb_zip'!F55</f>
        <v>0</v>
      </c>
      <c r="G55" s="3">
        <f>'Data Tables (M)'!G55-'Data Tables (M) cb_zip'!G55</f>
        <v>0</v>
      </c>
      <c r="H55" s="3">
        <f>'Data Tables (M)'!H55-'Data Tables (M) cb_zip'!H55</f>
        <v>0</v>
      </c>
      <c r="I55" s="3">
        <f>'Data Tables (M)'!I55-'Data Tables (M) cb_zip'!I55</f>
        <v>0</v>
      </c>
      <c r="J55" s="3">
        <f>'Data Tables (M)'!J55-'Data Tables (M) cb_zip'!J55</f>
        <v>0</v>
      </c>
      <c r="K55" s="3">
        <f>'Data Tables (M)'!K55-'Data Tables (M) cb_zip'!K55</f>
        <v>0</v>
      </c>
      <c r="L55" s="3">
        <f>'Data Tables (M)'!L55-'Data Tables (M) cb_zip'!L55</f>
        <v>0</v>
      </c>
      <c r="M55" s="3">
        <f>'Data Tables (M)'!M55-'Data Tables (M) cb_zip'!M55</f>
        <v>0</v>
      </c>
      <c r="N55" s="3">
        <f>'Data Tables (M)'!N55-'Data Tables (M) cb_zip'!N55</f>
        <v>0</v>
      </c>
      <c r="O55" s="3">
        <f>'Data Tables (M)'!O55-'Data Tables (M) cb_zip'!O55</f>
        <v>0</v>
      </c>
      <c r="P55" s="3">
        <f>'Data Tables (M)'!P55-'Data Tables (M) cb_zip'!P55</f>
        <v>0</v>
      </c>
      <c r="Q55" s="3">
        <f>'Data Tables (M)'!Q55-'Data Tables (M) cb_zip'!Q55</f>
        <v>0</v>
      </c>
      <c r="R55" s="3">
        <f>'Data Tables (M)'!R55-'Data Tables (M) cb_zip'!R55</f>
        <v>0</v>
      </c>
      <c r="S55" s="3">
        <f>'Data Tables (M)'!S55-'Data Tables (M) cb_zip'!S55</f>
        <v>0</v>
      </c>
      <c r="T55" s="3">
        <f>'Data Tables (M)'!T55-'Data Tables (M) cb_zip'!T55</f>
        <v>0</v>
      </c>
      <c r="U55" s="3">
        <f>'Data Tables (M)'!U55-'Data Tables (M) cb_zip'!U55</f>
        <v>0</v>
      </c>
      <c r="V55" s="3">
        <f>'Data Tables (M)'!V55-'Data Tables (M) cb_zip'!V55</f>
        <v>0</v>
      </c>
    </row>
    <row r="56" spans="1:22" x14ac:dyDescent="0.35">
      <c r="A56" t="str">
        <f>'Data Tables (M) no_cb_zip'!A56</f>
        <v>KMX</v>
      </c>
      <c r="B56" s="3" t="e">
        <f>'Data Tables (M)'!B56-'Data Tables (M) cb_zip'!B56</f>
        <v>#VALUE!</v>
      </c>
      <c r="C56" s="3" t="e">
        <f>'Data Tables (M)'!C56-'Data Tables (M) cb_zip'!C56</f>
        <v>#VALUE!</v>
      </c>
      <c r="D56" s="3" t="e">
        <f>'Data Tables (M)'!D56-'Data Tables (M) cb_zip'!D56</f>
        <v>#VALUE!</v>
      </c>
      <c r="E56" s="3" t="e">
        <f>'Data Tables (M)'!E56-'Data Tables (M) cb_zip'!E56</f>
        <v>#VALUE!</v>
      </c>
      <c r="F56" s="3" t="e">
        <f>'Data Tables (M)'!F56-'Data Tables (M) cb_zip'!F56</f>
        <v>#VALUE!</v>
      </c>
      <c r="G56" s="3" t="e">
        <f>'Data Tables (M)'!G56-'Data Tables (M) cb_zip'!G56</f>
        <v>#VALUE!</v>
      </c>
      <c r="H56" s="3" t="e">
        <f>'Data Tables (M)'!H56-'Data Tables (M) cb_zip'!H56</f>
        <v>#VALUE!</v>
      </c>
      <c r="I56" s="3" t="e">
        <f>'Data Tables (M)'!I56-'Data Tables (M) cb_zip'!I56</f>
        <v>#VALUE!</v>
      </c>
      <c r="J56" s="3" t="e">
        <f>'Data Tables (M)'!J56-'Data Tables (M) cb_zip'!J56</f>
        <v>#VALUE!</v>
      </c>
      <c r="K56" s="3" t="e">
        <f>'Data Tables (M)'!K56-'Data Tables (M) cb_zip'!K56</f>
        <v>#VALUE!</v>
      </c>
      <c r="L56" s="3" t="e">
        <f>'Data Tables (M)'!L56-'Data Tables (M) cb_zip'!L56</f>
        <v>#VALUE!</v>
      </c>
      <c r="M56" s="3" t="e">
        <f>'Data Tables (M)'!M56-'Data Tables (M) cb_zip'!M56</f>
        <v>#VALUE!</v>
      </c>
      <c r="N56" s="3" t="e">
        <f>'Data Tables (M)'!N56-'Data Tables (M) cb_zip'!N56</f>
        <v>#VALUE!</v>
      </c>
      <c r="O56" s="3" t="e">
        <f>'Data Tables (M)'!O56-'Data Tables (M) cb_zip'!O56</f>
        <v>#VALUE!</v>
      </c>
      <c r="P56" s="3" t="e">
        <f>'Data Tables (M)'!P56-'Data Tables (M) cb_zip'!P56</f>
        <v>#VALUE!</v>
      </c>
      <c r="Q56" s="3" t="e">
        <f>'Data Tables (M)'!Q56-'Data Tables (M) cb_zip'!Q56</f>
        <v>#VALUE!</v>
      </c>
      <c r="R56" s="3" t="e">
        <f>'Data Tables (M)'!R56-'Data Tables (M) cb_zip'!R56</f>
        <v>#VALUE!</v>
      </c>
      <c r="S56" s="3" t="e">
        <f>'Data Tables (M)'!S56-'Data Tables (M) cb_zip'!S56</f>
        <v>#VALUE!</v>
      </c>
      <c r="T56" s="3" t="e">
        <f>'Data Tables (M)'!T56-'Data Tables (M) cb_zip'!T56</f>
        <v>#VALUE!</v>
      </c>
      <c r="U56" s="3" t="e">
        <f>'Data Tables (M)'!U56-'Data Tables (M) cb_zip'!U56</f>
        <v>#VALUE!</v>
      </c>
      <c r="V56" s="3" t="e">
        <f>'Data Tables (M)'!V56-'Data Tables (M) cb_zip'!V56</f>
        <v>#VALUE!</v>
      </c>
    </row>
    <row r="57" spans="1:22" x14ac:dyDescent="0.35">
      <c r="A57" t="str">
        <f>'Data Tables (M) no_cb_zip'!A57</f>
        <v>Model Score</v>
      </c>
      <c r="B57" s="3">
        <f>'Data Tables (M)'!B57-'Data Tables (M) cb_zip'!B57</f>
        <v>0</v>
      </c>
      <c r="C57" s="3">
        <f>'Data Tables (M)'!C57-'Data Tables (M) cb_zip'!C57</f>
        <v>0</v>
      </c>
      <c r="D57" s="3">
        <f>'Data Tables (M)'!D57-'Data Tables (M) cb_zip'!D57</f>
        <v>0</v>
      </c>
      <c r="E57" s="3">
        <f>'Data Tables (M)'!E57-'Data Tables (M) cb_zip'!E57</f>
        <v>0</v>
      </c>
      <c r="F57" s="3">
        <f>'Data Tables (M)'!F57-'Data Tables (M) cb_zip'!F57</f>
        <v>0</v>
      </c>
      <c r="G57" s="3">
        <f>'Data Tables (M)'!G57-'Data Tables (M) cb_zip'!G57</f>
        <v>0</v>
      </c>
      <c r="H57" s="3">
        <f>'Data Tables (M)'!H57-'Data Tables (M) cb_zip'!H57</f>
        <v>0</v>
      </c>
      <c r="I57" s="3">
        <f>'Data Tables (M)'!I57-'Data Tables (M) cb_zip'!I57</f>
        <v>0</v>
      </c>
      <c r="J57" s="3">
        <f>'Data Tables (M)'!J57-'Data Tables (M) cb_zip'!J57</f>
        <v>0</v>
      </c>
      <c r="K57" s="3">
        <f>'Data Tables (M)'!K57-'Data Tables (M) cb_zip'!K57</f>
        <v>0</v>
      </c>
      <c r="L57" s="3">
        <f>'Data Tables (M)'!L57-'Data Tables (M) cb_zip'!L57</f>
        <v>0</v>
      </c>
      <c r="M57" s="3">
        <f>'Data Tables (M)'!M57-'Data Tables (M) cb_zip'!M57</f>
        <v>0</v>
      </c>
      <c r="N57" s="3">
        <f>'Data Tables (M)'!N57-'Data Tables (M) cb_zip'!N57</f>
        <v>0</v>
      </c>
      <c r="O57" s="3">
        <f>'Data Tables (M)'!O57-'Data Tables (M) cb_zip'!O57</f>
        <v>0</v>
      </c>
      <c r="P57" s="3">
        <f>'Data Tables (M)'!P57-'Data Tables (M) cb_zip'!P57</f>
        <v>0</v>
      </c>
      <c r="Q57" s="3">
        <f>'Data Tables (M)'!Q57-'Data Tables (M) cb_zip'!Q57</f>
        <v>0</v>
      </c>
      <c r="R57" s="3">
        <f>'Data Tables (M)'!R57-'Data Tables (M) cb_zip'!R57</f>
        <v>0</v>
      </c>
      <c r="S57" s="3">
        <f>'Data Tables (M)'!S57-'Data Tables (M) cb_zip'!S57</f>
        <v>0</v>
      </c>
      <c r="T57" s="3">
        <f>'Data Tables (M)'!T57-'Data Tables (M) cb_zip'!T57</f>
        <v>0</v>
      </c>
      <c r="U57" s="3">
        <f>'Data Tables (M)'!U57-'Data Tables (M) cb_zip'!U57</f>
        <v>0</v>
      </c>
      <c r="V57" s="3">
        <f>'Data Tables (M)'!V57-'Data Tables (M) cb_zip'!V57</f>
        <v>2.9086200870892753E-2</v>
      </c>
    </row>
    <row r="58" spans="1:22" x14ac:dyDescent="0.35">
      <c r="A58" t="str">
        <f>'Data Tables (M) no_cb_zip'!A58</f>
        <v>Expected Gross Loss Impact</v>
      </c>
      <c r="B58" s="3">
        <f>'Data Tables (M)'!B58-'Data Tables (M) cb_zip'!B58</f>
        <v>0</v>
      </c>
      <c r="C58" s="3">
        <f>'Data Tables (M)'!C58-'Data Tables (M) cb_zip'!C58</f>
        <v>0</v>
      </c>
      <c r="D58" s="3">
        <f>'Data Tables (M)'!D58-'Data Tables (M) cb_zip'!D58</f>
        <v>0</v>
      </c>
      <c r="E58" s="3">
        <f>'Data Tables (M)'!E58-'Data Tables (M) cb_zip'!E58</f>
        <v>0</v>
      </c>
      <c r="F58" s="3">
        <f>'Data Tables (M)'!F58-'Data Tables (M) cb_zip'!F58</f>
        <v>0</v>
      </c>
      <c r="G58" s="3">
        <f>'Data Tables (M)'!G58-'Data Tables (M) cb_zip'!G58</f>
        <v>0</v>
      </c>
      <c r="H58" s="3">
        <f>'Data Tables (M)'!H58-'Data Tables (M) cb_zip'!H58</f>
        <v>0</v>
      </c>
      <c r="I58" s="3">
        <f>'Data Tables (M)'!I58-'Data Tables (M) cb_zip'!I58</f>
        <v>0</v>
      </c>
      <c r="J58" s="3">
        <f>'Data Tables (M)'!J58-'Data Tables (M) cb_zip'!J58</f>
        <v>0</v>
      </c>
      <c r="K58" s="3">
        <f>'Data Tables (M)'!K58-'Data Tables (M) cb_zip'!K58</f>
        <v>0</v>
      </c>
      <c r="L58" s="3">
        <f>'Data Tables (M)'!L58-'Data Tables (M) cb_zip'!L58</f>
        <v>0</v>
      </c>
      <c r="M58" s="3">
        <f>'Data Tables (M)'!M58-'Data Tables (M) cb_zip'!M58</f>
        <v>0</v>
      </c>
      <c r="N58" s="3">
        <f>'Data Tables (M)'!N58-'Data Tables (M) cb_zip'!N58</f>
        <v>0</v>
      </c>
      <c r="O58" s="3">
        <f>'Data Tables (M)'!O58-'Data Tables (M) cb_zip'!O58</f>
        <v>0</v>
      </c>
      <c r="P58" s="3">
        <f>'Data Tables (M)'!P58-'Data Tables (M) cb_zip'!P58</f>
        <v>0</v>
      </c>
      <c r="Q58" s="3">
        <f>'Data Tables (M)'!Q58-'Data Tables (M) cb_zip'!Q58</f>
        <v>0</v>
      </c>
      <c r="R58" s="3">
        <f>'Data Tables (M)'!R58-'Data Tables (M) cb_zip'!R58</f>
        <v>0</v>
      </c>
      <c r="S58" s="3">
        <f>'Data Tables (M)'!S58-'Data Tables (M) cb_zip'!S58</f>
        <v>0</v>
      </c>
      <c r="T58" s="3">
        <f>'Data Tables (M)'!T58-'Data Tables (M) cb_zip'!T58</f>
        <v>0</v>
      </c>
      <c r="U58" s="3">
        <f>'Data Tables (M)'!U58-'Data Tables (M) cb_zip'!U58</f>
        <v>-7.6192376005195683E-2</v>
      </c>
      <c r="V58" s="3">
        <f>'Data Tables (M)'!V58-'Data Tables (M) cb_zip'!V58</f>
        <v>-0.2551385188506004</v>
      </c>
    </row>
    <row r="59" spans="1:22" x14ac:dyDescent="0.35">
      <c r="A59" t="str">
        <f>'Data Tables (M) no_cb_zip'!A59</f>
        <v>Recovery Impact</v>
      </c>
      <c r="B59" s="3">
        <f>'Data Tables (M)'!B59-'Data Tables (M) cb_zip'!B59</f>
        <v>0</v>
      </c>
      <c r="C59" s="3">
        <f>'Data Tables (M)'!C59-'Data Tables (M) cb_zip'!C59</f>
        <v>0</v>
      </c>
      <c r="D59" s="3">
        <f>'Data Tables (M)'!D59-'Data Tables (M) cb_zip'!D59</f>
        <v>0</v>
      </c>
      <c r="E59" s="3">
        <f>'Data Tables (M)'!E59-'Data Tables (M) cb_zip'!E59</f>
        <v>0</v>
      </c>
      <c r="F59" s="3">
        <f>'Data Tables (M)'!F59-'Data Tables (M) cb_zip'!F59</f>
        <v>0</v>
      </c>
      <c r="G59" s="3">
        <f>'Data Tables (M)'!G59-'Data Tables (M) cb_zip'!G59</f>
        <v>0</v>
      </c>
      <c r="H59" s="3">
        <f>'Data Tables (M)'!H59-'Data Tables (M) cb_zip'!H59</f>
        <v>0</v>
      </c>
      <c r="I59" s="3">
        <f>'Data Tables (M)'!I59-'Data Tables (M) cb_zip'!I59</f>
        <v>0</v>
      </c>
      <c r="J59" s="3">
        <f>'Data Tables (M)'!J59-'Data Tables (M) cb_zip'!J59</f>
        <v>-9.3258734068513149E-15</v>
      </c>
      <c r="K59" s="3">
        <f>'Data Tables (M)'!K59-'Data Tables (M) cb_zip'!K59</f>
        <v>9.2148511043887993E-15</v>
      </c>
      <c r="L59" s="3">
        <f>'Data Tables (M)'!L59-'Data Tables (M) cb_zip'!L59</f>
        <v>0</v>
      </c>
      <c r="M59" s="3">
        <f>'Data Tables (M)'!M59-'Data Tables (M) cb_zip'!M59</f>
        <v>0</v>
      </c>
      <c r="N59" s="3">
        <f>'Data Tables (M)'!N59-'Data Tables (M) cb_zip'!N59</f>
        <v>-8.8817841970012523E-15</v>
      </c>
      <c r="O59" s="3">
        <f>'Data Tables (M)'!O59-'Data Tables (M) cb_zip'!O59</f>
        <v>9.4368957093138306E-15</v>
      </c>
      <c r="P59" s="3">
        <f>'Data Tables (M)'!P59-'Data Tables (M) cb_zip'!P59</f>
        <v>9.5479180117763462E-15</v>
      </c>
      <c r="Q59" s="3">
        <f>'Data Tables (M)'!Q59-'Data Tables (M) cb_zip'!Q59</f>
        <v>-9.9920072216264089E-15</v>
      </c>
      <c r="R59" s="3">
        <f>'Data Tables (M)'!R59-'Data Tables (M) cb_zip'!R59</f>
        <v>0</v>
      </c>
      <c r="S59" s="3">
        <f>'Data Tables (M)'!S59-'Data Tables (M) cb_zip'!S59</f>
        <v>0</v>
      </c>
      <c r="T59" s="3">
        <f>'Data Tables (M)'!T59-'Data Tables (M) cb_zip'!T59</f>
        <v>0</v>
      </c>
      <c r="U59" s="3">
        <f>'Data Tables (M)'!U59-'Data Tables (M) cb_zip'!U59</f>
        <v>-4.4636295246369695E-4</v>
      </c>
      <c r="V59" s="3">
        <f>'Data Tables (M)'!V59-'Data Tables (M) cb_zip'!V59</f>
        <v>-1.8369226003970285E-2</v>
      </c>
    </row>
    <row r="60" spans="1:22" x14ac:dyDescent="0.35">
      <c r="A60" t="str">
        <f>'Data Tables (M) no_cb_zip'!A60</f>
        <v>LTV Impact</v>
      </c>
      <c r="B60" s="3">
        <f>'Data Tables (M)'!B60-'Data Tables (M) cb_zip'!B60</f>
        <v>0</v>
      </c>
      <c r="C60" s="3">
        <f>'Data Tables (M)'!C60-'Data Tables (M) cb_zip'!C60</f>
        <v>0</v>
      </c>
      <c r="D60" s="3">
        <f>'Data Tables (M)'!D60-'Data Tables (M) cb_zip'!D60</f>
        <v>-2.9976021664879227E-15</v>
      </c>
      <c r="E60" s="3">
        <f>'Data Tables (M)'!E60-'Data Tables (M) cb_zip'!E60</f>
        <v>0</v>
      </c>
      <c r="F60" s="3">
        <f>'Data Tables (M)'!F60-'Data Tables (M) cb_zip'!F60</f>
        <v>0</v>
      </c>
      <c r="G60" s="3">
        <f>'Data Tables (M)'!G60-'Data Tables (M) cb_zip'!G60</f>
        <v>0</v>
      </c>
      <c r="H60" s="3">
        <f>'Data Tables (M)'!H60-'Data Tables (M) cb_zip'!H60</f>
        <v>0</v>
      </c>
      <c r="I60" s="3">
        <f>'Data Tables (M)'!I60-'Data Tables (M) cb_zip'!I60</f>
        <v>5.8286708792820718E-15</v>
      </c>
      <c r="J60" s="3">
        <f>'Data Tables (M)'!J60-'Data Tables (M) cb_zip'!J60</f>
        <v>8.7707618945387367E-15</v>
      </c>
      <c r="K60" s="3">
        <f>'Data Tables (M)'!K60-'Data Tables (M) cb_zip'!K60</f>
        <v>-5.8841820305133297E-15</v>
      </c>
      <c r="L60" s="3">
        <f>'Data Tables (M)'!L60-'Data Tables (M) cb_zip'!L60</f>
        <v>-2.886579864025407E-15</v>
      </c>
      <c r="M60" s="3">
        <f>'Data Tables (M)'!M60-'Data Tables (M) cb_zip'!M60</f>
        <v>-5.773159728050814E-15</v>
      </c>
      <c r="N60" s="3">
        <f>'Data Tables (M)'!N60-'Data Tables (M) cb_zip'!N60</f>
        <v>0</v>
      </c>
      <c r="O60" s="3">
        <f>'Data Tables (M)'!O60-'Data Tables (M) cb_zip'!O60</f>
        <v>0</v>
      </c>
      <c r="P60" s="3">
        <f>'Data Tables (M)'!P60-'Data Tables (M) cb_zip'!P60</f>
        <v>-5.8286708792820718E-15</v>
      </c>
      <c r="Q60" s="3">
        <f>'Data Tables (M)'!Q60-'Data Tables (M) cb_zip'!Q60</f>
        <v>5.8841820305133297E-15</v>
      </c>
      <c r="R60" s="3">
        <f>'Data Tables (M)'!R60-'Data Tables (M) cb_zip'!R60</f>
        <v>-5.9952043329758453E-15</v>
      </c>
      <c r="S60" s="3">
        <f>'Data Tables (M)'!S60-'Data Tables (M) cb_zip'!S60</f>
        <v>5.9952043329758453E-15</v>
      </c>
      <c r="T60" s="3">
        <f>'Data Tables (M)'!T60-'Data Tables (M) cb_zip'!T60</f>
        <v>0</v>
      </c>
      <c r="U60" s="3">
        <f>'Data Tables (M)'!U60-'Data Tables (M) cb_zip'!U60</f>
        <v>-5.9952043329758453E-15</v>
      </c>
      <c r="V60" s="3">
        <f>'Data Tables (M)'!V60-'Data Tables (M) cb_zip'!V60</f>
        <v>-1.7923058763205546E-2</v>
      </c>
    </row>
    <row r="61" spans="1:22" x14ac:dyDescent="0.35">
      <c r="A61" t="str">
        <f>'Data Tables (M) no_cb_zip'!A61</f>
        <v>APR Impact</v>
      </c>
      <c r="B61" s="3">
        <f>'Data Tables (M)'!B61-'Data Tables (M) cb_zip'!B61</f>
        <v>5.9952043329758453E-15</v>
      </c>
      <c r="C61" s="3">
        <f>'Data Tables (M)'!C61-'Data Tables (M) cb_zip'!C61</f>
        <v>-5.9813265451680309E-15</v>
      </c>
      <c r="D61" s="3">
        <f>'Data Tables (M)'!D61-'Data Tables (M) cb_zip'!D61</f>
        <v>0</v>
      </c>
      <c r="E61" s="3">
        <f>'Data Tables (M)'!E61-'Data Tables (M) cb_zip'!E61</f>
        <v>0</v>
      </c>
      <c r="F61" s="3">
        <f>'Data Tables (M)'!F61-'Data Tables (M) cb_zip'!F61</f>
        <v>0</v>
      </c>
      <c r="G61" s="3">
        <f>'Data Tables (M)'!G61-'Data Tables (M) cb_zip'!G61</f>
        <v>0</v>
      </c>
      <c r="H61" s="3">
        <f>'Data Tables (M)'!H61-'Data Tables (M) cb_zip'!H61</f>
        <v>0</v>
      </c>
      <c r="I61" s="3">
        <f>'Data Tables (M)'!I61-'Data Tables (M) cb_zip'!I61</f>
        <v>5.9952043329758453E-15</v>
      </c>
      <c r="J61" s="3">
        <f>'Data Tables (M)'!J61-'Data Tables (M) cb_zip'!J61</f>
        <v>5.8841820305133297E-15</v>
      </c>
      <c r="K61" s="3">
        <f>'Data Tables (M)'!K61-'Data Tables (M) cb_zip'!K61</f>
        <v>-2.9976021664879227E-15</v>
      </c>
      <c r="L61" s="3">
        <f>'Data Tables (M)'!L61-'Data Tables (M) cb_zip'!L61</f>
        <v>0</v>
      </c>
      <c r="M61" s="3">
        <f>'Data Tables (M)'!M61-'Data Tables (M) cb_zip'!M61</f>
        <v>-2.9976021664879227E-15</v>
      </c>
      <c r="N61" s="3">
        <f>'Data Tables (M)'!N61-'Data Tables (M) cb_zip'!N61</f>
        <v>3.0531133177191805E-15</v>
      </c>
      <c r="O61" s="3">
        <f>'Data Tables (M)'!O61-'Data Tables (M) cb_zip'!O61</f>
        <v>0</v>
      </c>
      <c r="P61" s="3">
        <f>'Data Tables (M)'!P61-'Data Tables (M) cb_zip'!P61</f>
        <v>-5.9952043329758453E-15</v>
      </c>
      <c r="Q61" s="3">
        <f>'Data Tables (M)'!Q61-'Data Tables (M) cb_zip'!Q61</f>
        <v>-5.9952043329758453E-15</v>
      </c>
      <c r="R61" s="3">
        <f>'Data Tables (M)'!R61-'Data Tables (M) cb_zip'!R61</f>
        <v>5.9952043329758453E-15</v>
      </c>
      <c r="S61" s="3">
        <f>'Data Tables (M)'!S61-'Data Tables (M) cb_zip'!S61</f>
        <v>2.9976021664879227E-15</v>
      </c>
      <c r="T61" s="3">
        <f>'Data Tables (M)'!T61-'Data Tables (M) cb_zip'!T61</f>
        <v>0</v>
      </c>
      <c r="U61" s="3">
        <f>'Data Tables (M)'!U61-'Data Tables (M) cb_zip'!U61</f>
        <v>-9.1038288019262836E-15</v>
      </c>
      <c r="V61" s="3">
        <f>'Data Tables (M)'!V61-'Data Tables (M) cb_zip'!V61</f>
        <v>-6.0625708856349991E-3</v>
      </c>
    </row>
    <row r="62" spans="1:22" x14ac:dyDescent="0.35">
      <c r="A62" t="str">
        <f>'Data Tables (M) no_cb_zip'!A62</f>
        <v>RAGU Score</v>
      </c>
      <c r="B62" s="3">
        <f>'Data Tables (M)'!B62-'Data Tables (M) cb_zip'!B62</f>
        <v>0</v>
      </c>
      <c r="C62" s="3">
        <f>'Data Tables (M)'!C62-'Data Tables (M) cb_zip'!C62</f>
        <v>0</v>
      </c>
      <c r="D62" s="3">
        <f>'Data Tables (M)'!D62-'Data Tables (M) cb_zip'!D62</f>
        <v>0</v>
      </c>
      <c r="E62" s="3">
        <f>'Data Tables (M)'!E62-'Data Tables (M) cb_zip'!E62</f>
        <v>0</v>
      </c>
      <c r="F62" s="3">
        <f>'Data Tables (M)'!F62-'Data Tables (M) cb_zip'!F62</f>
        <v>0</v>
      </c>
      <c r="G62" s="3">
        <f>'Data Tables (M)'!G62-'Data Tables (M) cb_zip'!G62</f>
        <v>0</v>
      </c>
      <c r="H62" s="3">
        <f>'Data Tables (M)'!H62-'Data Tables (M) cb_zip'!H62</f>
        <v>0</v>
      </c>
      <c r="I62" s="3">
        <f>'Data Tables (M)'!I62-'Data Tables (M) cb_zip'!I62</f>
        <v>0</v>
      </c>
      <c r="J62" s="3">
        <f>'Data Tables (M)'!J62-'Data Tables (M) cb_zip'!J62</f>
        <v>0</v>
      </c>
      <c r="K62" s="3">
        <f>'Data Tables (M)'!K62-'Data Tables (M) cb_zip'!K62</f>
        <v>0</v>
      </c>
      <c r="L62" s="3">
        <f>'Data Tables (M)'!L62-'Data Tables (M) cb_zip'!L62</f>
        <v>0</v>
      </c>
      <c r="M62" s="3">
        <f>'Data Tables (M)'!M62-'Data Tables (M) cb_zip'!M62</f>
        <v>0</v>
      </c>
      <c r="N62" s="3">
        <f>'Data Tables (M)'!N62-'Data Tables (M) cb_zip'!N62</f>
        <v>0</v>
      </c>
      <c r="O62" s="3">
        <f>'Data Tables (M)'!O62-'Data Tables (M) cb_zip'!O62</f>
        <v>0</v>
      </c>
      <c r="P62" s="3">
        <f>'Data Tables (M)'!P62-'Data Tables (M) cb_zip'!P62</f>
        <v>0</v>
      </c>
      <c r="Q62" s="3">
        <f>'Data Tables (M)'!Q62-'Data Tables (M) cb_zip'!Q62</f>
        <v>0</v>
      </c>
      <c r="R62" s="3">
        <f>'Data Tables (M)'!R62-'Data Tables (M) cb_zip'!R62</f>
        <v>0</v>
      </c>
      <c r="S62" s="3">
        <f>'Data Tables (M)'!S62-'Data Tables (M) cb_zip'!S62</f>
        <v>0</v>
      </c>
      <c r="T62" s="3">
        <f>'Data Tables (M)'!T62-'Data Tables (M) cb_zip'!T62</f>
        <v>0</v>
      </c>
      <c r="U62" s="3">
        <f>'Data Tables (M)'!U62-'Data Tables (M) cb_zip'!U62</f>
        <v>-7.6638738957626629E-2</v>
      </c>
      <c r="V62" s="3">
        <f>'Data Tables (M)'!V62-'Data Tables (M) cb_zip'!V62</f>
        <v>-0.26840717363259614</v>
      </c>
    </row>
    <row r="63" spans="1:22" x14ac:dyDescent="0.35">
      <c r="A63" t="str">
        <f>'Data Tables (M) no_cb_zip'!A63</f>
        <v>Amount Financed</v>
      </c>
      <c r="B63" s="3">
        <f>'Data Tables (M)'!B63-'Data Tables (M) cb_zip'!B63</f>
        <v>0</v>
      </c>
      <c r="C63" s="3">
        <f>'Data Tables (M)'!C63-'Data Tables (M) cb_zip'!C63</f>
        <v>0</v>
      </c>
      <c r="D63" s="3">
        <f>'Data Tables (M)'!D63-'Data Tables (M) cb_zip'!D63</f>
        <v>0</v>
      </c>
      <c r="E63" s="3">
        <f>'Data Tables (M)'!E63-'Data Tables (M) cb_zip'!E63</f>
        <v>0</v>
      </c>
      <c r="F63" s="3">
        <f>'Data Tables (M)'!F63-'Data Tables (M) cb_zip'!F63</f>
        <v>0</v>
      </c>
      <c r="G63" s="3">
        <f>'Data Tables (M)'!G63-'Data Tables (M) cb_zip'!G63</f>
        <v>0</v>
      </c>
      <c r="H63" s="3">
        <f>'Data Tables (M)'!H63-'Data Tables (M) cb_zip'!H63</f>
        <v>0</v>
      </c>
      <c r="I63" s="3">
        <f>'Data Tables (M)'!I63-'Data Tables (M) cb_zip'!I63</f>
        <v>0</v>
      </c>
      <c r="J63" s="3">
        <f>'Data Tables (M)'!J63-'Data Tables (M) cb_zip'!J63</f>
        <v>0</v>
      </c>
      <c r="K63" s="3">
        <f>'Data Tables (M)'!K63-'Data Tables (M) cb_zip'!K63</f>
        <v>0</v>
      </c>
      <c r="L63" s="3">
        <f>'Data Tables (M)'!L63-'Data Tables (M) cb_zip'!L63</f>
        <v>0</v>
      </c>
      <c r="M63" s="3">
        <f>'Data Tables (M)'!M63-'Data Tables (M) cb_zip'!M63</f>
        <v>0</v>
      </c>
      <c r="N63" s="3">
        <f>'Data Tables (M)'!N63-'Data Tables (M) cb_zip'!N63</f>
        <v>0</v>
      </c>
      <c r="O63" s="3">
        <f>'Data Tables (M)'!O63-'Data Tables (M) cb_zip'!O63</f>
        <v>0</v>
      </c>
      <c r="P63" s="3">
        <f>'Data Tables (M)'!P63-'Data Tables (M) cb_zip'!P63</f>
        <v>0</v>
      </c>
      <c r="Q63" s="3">
        <f>'Data Tables (M)'!Q63-'Data Tables (M) cb_zip'!Q63</f>
        <v>0</v>
      </c>
      <c r="R63" s="3">
        <f>'Data Tables (M)'!R63-'Data Tables (M) cb_zip'!R63</f>
        <v>0</v>
      </c>
      <c r="S63" s="3">
        <f>'Data Tables (M)'!S63-'Data Tables (M) cb_zip'!S63</f>
        <v>0</v>
      </c>
      <c r="T63" s="3">
        <f>'Data Tables (M)'!T63-'Data Tables (M) cb_zip'!T63</f>
        <v>0</v>
      </c>
      <c r="U63" s="3">
        <f>'Data Tables (M)'!U63-'Data Tables (M) cb_zip'!U63</f>
        <v>0</v>
      </c>
      <c r="V63" s="3">
        <f>'Data Tables (M)'!V63-'Data Tables (M) cb_zip'!V63</f>
        <v>4937304.599999994</v>
      </c>
    </row>
    <row r="64" spans="1:22" x14ac:dyDescent="0.35">
      <c r="A64" t="str">
        <f>'Data Tables (M) no_cb_zip'!A64</f>
        <v>Weighted LTV</v>
      </c>
      <c r="B64" s="3">
        <f>'Data Tables (M)'!B64-'Data Tables (M) cb_zip'!B64</f>
        <v>0</v>
      </c>
      <c r="C64" s="3">
        <f>'Data Tables (M)'!C64-'Data Tables (M) cb_zip'!C64</f>
        <v>0</v>
      </c>
      <c r="D64" s="3">
        <f>'Data Tables (M)'!D64-'Data Tables (M) cb_zip'!D64</f>
        <v>0</v>
      </c>
      <c r="E64" s="3">
        <f>'Data Tables (M)'!E64-'Data Tables (M) cb_zip'!E64</f>
        <v>0</v>
      </c>
      <c r="F64" s="3">
        <f>'Data Tables (M)'!F64-'Data Tables (M) cb_zip'!F64</f>
        <v>0</v>
      </c>
      <c r="G64" s="3">
        <f>'Data Tables (M)'!G64-'Data Tables (M) cb_zip'!G64</f>
        <v>0</v>
      </c>
      <c r="H64" s="3">
        <f>'Data Tables (M)'!H64-'Data Tables (M) cb_zip'!H64</f>
        <v>0</v>
      </c>
      <c r="I64" s="3">
        <f>'Data Tables (M)'!I64-'Data Tables (M) cb_zip'!I64</f>
        <v>0</v>
      </c>
      <c r="J64" s="3">
        <f>'Data Tables (M)'!J64-'Data Tables (M) cb_zip'!J64</f>
        <v>0</v>
      </c>
      <c r="K64" s="3">
        <f>'Data Tables (M)'!K64-'Data Tables (M) cb_zip'!K64</f>
        <v>0</v>
      </c>
      <c r="L64" s="3">
        <f>'Data Tables (M)'!L64-'Data Tables (M) cb_zip'!L64</f>
        <v>0</v>
      </c>
      <c r="M64" s="3">
        <f>'Data Tables (M)'!M64-'Data Tables (M) cb_zip'!M64</f>
        <v>0</v>
      </c>
      <c r="N64" s="3">
        <f>'Data Tables (M)'!N64-'Data Tables (M) cb_zip'!N64</f>
        <v>0</v>
      </c>
      <c r="O64" s="3">
        <f>'Data Tables (M)'!O64-'Data Tables (M) cb_zip'!O64</f>
        <v>0</v>
      </c>
      <c r="P64" s="3">
        <f>'Data Tables (M)'!P64-'Data Tables (M) cb_zip'!P64</f>
        <v>0</v>
      </c>
      <c r="Q64" s="3">
        <f>'Data Tables (M)'!Q64-'Data Tables (M) cb_zip'!Q64</f>
        <v>0</v>
      </c>
      <c r="R64" s="3">
        <f>'Data Tables (M)'!R64-'Data Tables (M) cb_zip'!R64</f>
        <v>0</v>
      </c>
      <c r="S64" s="3">
        <f>'Data Tables (M)'!S64-'Data Tables (M) cb_zip'!S64</f>
        <v>0</v>
      </c>
      <c r="T64" s="3">
        <f>'Data Tables (M)'!T64-'Data Tables (M) cb_zip'!T64</f>
        <v>0</v>
      </c>
      <c r="U64" s="3">
        <f>'Data Tables (M)'!U64-'Data Tables (M) cb_zip'!U64</f>
        <v>0</v>
      </c>
      <c r="V64" s="3">
        <f>'Data Tables (M)'!V64-'Data Tables (M) cb_zip'!V64</f>
        <v>1.0461189259478587E-3</v>
      </c>
    </row>
    <row r="65" spans="1:22" x14ac:dyDescent="0.35">
      <c r="A65" t="str">
        <f>'Data Tables (M) no_cb_zip'!A65</f>
        <v>Weighted APR</v>
      </c>
      <c r="B65" s="3">
        <f>'Data Tables (M)'!B65-'Data Tables (M) cb_zip'!B65</f>
        <v>0</v>
      </c>
      <c r="C65" s="3">
        <f>'Data Tables (M)'!C65-'Data Tables (M) cb_zip'!C65</f>
        <v>0</v>
      </c>
      <c r="D65" s="3">
        <f>'Data Tables (M)'!D65-'Data Tables (M) cb_zip'!D65</f>
        <v>0</v>
      </c>
      <c r="E65" s="3">
        <f>'Data Tables (M)'!E65-'Data Tables (M) cb_zip'!E65</f>
        <v>0</v>
      </c>
      <c r="F65" s="3">
        <f>'Data Tables (M)'!F65-'Data Tables (M) cb_zip'!F65</f>
        <v>0</v>
      </c>
      <c r="G65" s="3">
        <f>'Data Tables (M)'!G65-'Data Tables (M) cb_zip'!G65</f>
        <v>0</v>
      </c>
      <c r="H65" s="3">
        <f>'Data Tables (M)'!H65-'Data Tables (M) cb_zip'!H65</f>
        <v>0</v>
      </c>
      <c r="I65" s="3">
        <f>'Data Tables (M)'!I65-'Data Tables (M) cb_zip'!I65</f>
        <v>0</v>
      </c>
      <c r="J65" s="3">
        <f>'Data Tables (M)'!J65-'Data Tables (M) cb_zip'!J65</f>
        <v>0</v>
      </c>
      <c r="K65" s="3">
        <f>'Data Tables (M)'!K65-'Data Tables (M) cb_zip'!K65</f>
        <v>0</v>
      </c>
      <c r="L65" s="3">
        <f>'Data Tables (M)'!L65-'Data Tables (M) cb_zip'!L65</f>
        <v>0</v>
      </c>
      <c r="M65" s="3">
        <f>'Data Tables (M)'!M65-'Data Tables (M) cb_zip'!M65</f>
        <v>0</v>
      </c>
      <c r="N65" s="3">
        <f>'Data Tables (M)'!N65-'Data Tables (M) cb_zip'!N65</f>
        <v>0</v>
      </c>
      <c r="O65" s="3">
        <f>'Data Tables (M)'!O65-'Data Tables (M) cb_zip'!O65</f>
        <v>0</v>
      </c>
      <c r="P65" s="3">
        <f>'Data Tables (M)'!P65-'Data Tables (M) cb_zip'!P65</f>
        <v>0</v>
      </c>
      <c r="Q65" s="3">
        <f>'Data Tables (M)'!Q65-'Data Tables (M) cb_zip'!Q65</f>
        <v>0</v>
      </c>
      <c r="R65" s="3">
        <f>'Data Tables (M)'!R65-'Data Tables (M) cb_zip'!R65</f>
        <v>0</v>
      </c>
      <c r="S65" s="3">
        <f>'Data Tables (M)'!S65-'Data Tables (M) cb_zip'!S65</f>
        <v>0</v>
      </c>
      <c r="T65" s="3">
        <f>'Data Tables (M)'!T65-'Data Tables (M) cb_zip'!T65</f>
        <v>0</v>
      </c>
      <c r="U65" s="3">
        <f>'Data Tables (M)'!U65-'Data Tables (M) cb_zip'!U65</f>
        <v>0</v>
      </c>
      <c r="V65" s="3">
        <f>'Data Tables (M)'!V65-'Data Tables (M) cb_zip'!V65</f>
        <v>5.62953010808942E-5</v>
      </c>
    </row>
    <row r="66" spans="1:22" x14ac:dyDescent="0.35">
      <c r="A66">
        <f>'Data Tables (M) no_cb_zip'!A66</f>
        <v>0</v>
      </c>
      <c r="B66" s="3">
        <f>'Data Tables (M)'!B66-'Data Tables (M) cb_zip'!B66</f>
        <v>0</v>
      </c>
      <c r="C66" s="3">
        <f>'Data Tables (M)'!C66-'Data Tables (M) cb_zip'!C66</f>
        <v>0</v>
      </c>
      <c r="D66" s="3">
        <f>'Data Tables (M)'!D66-'Data Tables (M) cb_zip'!D66</f>
        <v>0</v>
      </c>
      <c r="E66" s="3">
        <f>'Data Tables (M)'!E66-'Data Tables (M) cb_zip'!E66</f>
        <v>0</v>
      </c>
      <c r="F66" s="3">
        <f>'Data Tables (M)'!F66-'Data Tables (M) cb_zip'!F66</f>
        <v>0</v>
      </c>
      <c r="G66" s="3">
        <f>'Data Tables (M)'!G66-'Data Tables (M) cb_zip'!G66</f>
        <v>0</v>
      </c>
      <c r="H66" s="3">
        <f>'Data Tables (M)'!H66-'Data Tables (M) cb_zip'!H66</f>
        <v>0</v>
      </c>
      <c r="I66" s="3">
        <f>'Data Tables (M)'!I66-'Data Tables (M) cb_zip'!I66</f>
        <v>0</v>
      </c>
      <c r="J66" s="3">
        <f>'Data Tables (M)'!J66-'Data Tables (M) cb_zip'!J66</f>
        <v>0</v>
      </c>
      <c r="K66" s="3">
        <f>'Data Tables (M)'!K66-'Data Tables (M) cb_zip'!K66</f>
        <v>0</v>
      </c>
      <c r="L66" s="3">
        <f>'Data Tables (M)'!L66-'Data Tables (M) cb_zip'!L66</f>
        <v>0</v>
      </c>
      <c r="M66" s="3">
        <f>'Data Tables (M)'!M66-'Data Tables (M) cb_zip'!M66</f>
        <v>0</v>
      </c>
      <c r="N66" s="3">
        <f>'Data Tables (M)'!N66-'Data Tables (M) cb_zip'!N66</f>
        <v>0</v>
      </c>
      <c r="O66" s="3">
        <f>'Data Tables (M)'!O66-'Data Tables (M) cb_zip'!O66</f>
        <v>0</v>
      </c>
      <c r="P66" s="3">
        <f>'Data Tables (M)'!P66-'Data Tables (M) cb_zip'!P66</f>
        <v>0</v>
      </c>
      <c r="Q66" s="3">
        <f>'Data Tables (M)'!Q66-'Data Tables (M) cb_zip'!Q66</f>
        <v>0</v>
      </c>
      <c r="R66" s="3">
        <f>'Data Tables (M)'!R66-'Data Tables (M) cb_zip'!R66</f>
        <v>0</v>
      </c>
      <c r="S66" s="3">
        <f>'Data Tables (M)'!S66-'Data Tables (M) cb_zip'!S66</f>
        <v>0</v>
      </c>
      <c r="T66" s="3">
        <f>'Data Tables (M)'!T66-'Data Tables (M) cb_zip'!T66</f>
        <v>0</v>
      </c>
      <c r="U66" s="3">
        <f>'Data Tables (M)'!U66-'Data Tables (M) cb_zip'!U66</f>
        <v>0</v>
      </c>
      <c r="V66" s="3">
        <f>'Data Tables (M)'!V66-'Data Tables (M) cb_zip'!V66</f>
        <v>0</v>
      </c>
    </row>
    <row r="67" spans="1:22" x14ac:dyDescent="0.35">
      <c r="A67" t="str">
        <f>'Data Tables (M) no_cb_zip'!A67</f>
        <v>Franchise Independent</v>
      </c>
      <c r="B67" s="3" t="e">
        <f>'Data Tables (M)'!B67-'Data Tables (M) cb_zip'!B67</f>
        <v>#VALUE!</v>
      </c>
      <c r="C67" s="3" t="e">
        <f>'Data Tables (M)'!C67-'Data Tables (M) cb_zip'!C67</f>
        <v>#VALUE!</v>
      </c>
      <c r="D67" s="3" t="e">
        <f>'Data Tables (M)'!D67-'Data Tables (M) cb_zip'!D67</f>
        <v>#VALUE!</v>
      </c>
      <c r="E67" s="3" t="e">
        <f>'Data Tables (M)'!E67-'Data Tables (M) cb_zip'!E67</f>
        <v>#VALUE!</v>
      </c>
      <c r="F67" s="3" t="e">
        <f>'Data Tables (M)'!F67-'Data Tables (M) cb_zip'!F67</f>
        <v>#VALUE!</v>
      </c>
      <c r="G67" s="3" t="e">
        <f>'Data Tables (M)'!G67-'Data Tables (M) cb_zip'!G67</f>
        <v>#VALUE!</v>
      </c>
      <c r="H67" s="3" t="e">
        <f>'Data Tables (M)'!H67-'Data Tables (M) cb_zip'!H67</f>
        <v>#VALUE!</v>
      </c>
      <c r="I67" s="3" t="e">
        <f>'Data Tables (M)'!I67-'Data Tables (M) cb_zip'!I67</f>
        <v>#VALUE!</v>
      </c>
      <c r="J67" s="3" t="e">
        <f>'Data Tables (M)'!J67-'Data Tables (M) cb_zip'!J67</f>
        <v>#VALUE!</v>
      </c>
      <c r="K67" s="3" t="e">
        <f>'Data Tables (M)'!K67-'Data Tables (M) cb_zip'!K67</f>
        <v>#VALUE!</v>
      </c>
      <c r="L67" s="3" t="e">
        <f>'Data Tables (M)'!L67-'Data Tables (M) cb_zip'!L67</f>
        <v>#VALUE!</v>
      </c>
      <c r="M67" s="3" t="e">
        <f>'Data Tables (M)'!M67-'Data Tables (M) cb_zip'!M67</f>
        <v>#VALUE!</v>
      </c>
      <c r="N67" s="3" t="e">
        <f>'Data Tables (M)'!N67-'Data Tables (M) cb_zip'!N67</f>
        <v>#VALUE!</v>
      </c>
      <c r="O67" s="3" t="e">
        <f>'Data Tables (M)'!O67-'Data Tables (M) cb_zip'!O67</f>
        <v>#VALUE!</v>
      </c>
      <c r="P67" s="3" t="e">
        <f>'Data Tables (M)'!P67-'Data Tables (M) cb_zip'!P67</f>
        <v>#VALUE!</v>
      </c>
      <c r="Q67" s="3" t="e">
        <f>'Data Tables (M)'!Q67-'Data Tables (M) cb_zip'!Q67</f>
        <v>#VALUE!</v>
      </c>
      <c r="R67" s="3" t="e">
        <f>'Data Tables (M)'!R67-'Data Tables (M) cb_zip'!R67</f>
        <v>#VALUE!</v>
      </c>
      <c r="S67" s="3" t="e">
        <f>'Data Tables (M)'!S67-'Data Tables (M) cb_zip'!S67</f>
        <v>#VALUE!</v>
      </c>
      <c r="T67" s="3" t="e">
        <f>'Data Tables (M)'!T67-'Data Tables (M) cb_zip'!T67</f>
        <v>#VALUE!</v>
      </c>
      <c r="U67" s="3" t="e">
        <f>'Data Tables (M)'!U67-'Data Tables (M) cb_zip'!U67</f>
        <v>#VALUE!</v>
      </c>
      <c r="V67" s="3" t="e">
        <f>'Data Tables (M)'!V67-'Data Tables (M) cb_zip'!V67</f>
        <v>#VALUE!</v>
      </c>
    </row>
    <row r="68" spans="1:22" x14ac:dyDescent="0.35">
      <c r="A68" t="str">
        <f>'Data Tables (M) no_cb_zip'!A68</f>
        <v>Model Score</v>
      </c>
      <c r="B68" s="3">
        <f>'Data Tables (M)'!B68-'Data Tables (M) cb_zip'!B68</f>
        <v>8.0304134129960403E-4</v>
      </c>
      <c r="C68" s="3">
        <f>'Data Tables (M)'!C68-'Data Tables (M) cb_zip'!C68</f>
        <v>5.3136754999627556E-4</v>
      </c>
      <c r="D68" s="3">
        <f>'Data Tables (M)'!D68-'Data Tables (M) cb_zip'!D68</f>
        <v>-6.3359103137372585E-6</v>
      </c>
      <c r="E68" s="3">
        <f>'Data Tables (M)'!E68-'Data Tables (M) cb_zip'!E68</f>
        <v>1.0525844982112176E-4</v>
      </c>
      <c r="F68" s="3">
        <f>'Data Tables (M)'!F68-'Data Tables (M) cb_zip'!F68</f>
        <v>-5.3300220650953634E-4</v>
      </c>
      <c r="G68" s="3">
        <f>'Data Tables (M)'!G68-'Data Tables (M) cb_zip'!G68</f>
        <v>2.752973362873945E-4</v>
      </c>
      <c r="H68" s="3">
        <f>'Data Tables (M)'!H68-'Data Tables (M) cb_zip'!H68</f>
        <v>1.1272342351276166E-4</v>
      </c>
      <c r="I68" s="3">
        <f>'Data Tables (M)'!I68-'Data Tables (M) cb_zip'!I68</f>
        <v>0</v>
      </c>
      <c r="J68" s="3">
        <f>'Data Tables (M)'!J68-'Data Tables (M) cb_zip'!J68</f>
        <v>0</v>
      </c>
      <c r="K68" s="3">
        <f>'Data Tables (M)'!K68-'Data Tables (M) cb_zip'!K68</f>
        <v>0</v>
      </c>
      <c r="L68" s="3">
        <f>'Data Tables (M)'!L68-'Data Tables (M) cb_zip'!L68</f>
        <v>-4.289250489080132E-4</v>
      </c>
      <c r="M68" s="3">
        <f>'Data Tables (M)'!M68-'Data Tables (M) cb_zip'!M68</f>
        <v>0</v>
      </c>
      <c r="N68" s="3">
        <f>'Data Tables (M)'!N68-'Data Tables (M) cb_zip'!N68</f>
        <v>0</v>
      </c>
      <c r="O68" s="3">
        <f>'Data Tables (M)'!O68-'Data Tables (M) cb_zip'!O68</f>
        <v>0</v>
      </c>
      <c r="P68" s="3">
        <f>'Data Tables (M)'!P68-'Data Tables (M) cb_zip'!P68</f>
        <v>0</v>
      </c>
      <c r="Q68" s="3">
        <f>'Data Tables (M)'!Q68-'Data Tables (M) cb_zip'!Q68</f>
        <v>3.5400448609834712E-4</v>
      </c>
      <c r="R68" s="3">
        <f>'Data Tables (M)'!R68-'Data Tables (M) cb_zip'!R68</f>
        <v>0</v>
      </c>
      <c r="S68" s="3">
        <f>'Data Tables (M)'!S68-'Data Tables (M) cb_zip'!S68</f>
        <v>0</v>
      </c>
      <c r="T68" s="3">
        <f>'Data Tables (M)'!T68-'Data Tables (M) cb_zip'!T68</f>
        <v>0</v>
      </c>
      <c r="U68" s="3">
        <f>'Data Tables (M)'!U68-'Data Tables (M) cb_zip'!U68</f>
        <v>0</v>
      </c>
      <c r="V68" s="3">
        <f>'Data Tables (M)'!V68-'Data Tables (M) cb_zip'!V68</f>
        <v>-1.6465108310597998E-2</v>
      </c>
    </row>
    <row r="69" spans="1:22" x14ac:dyDescent="0.35">
      <c r="A69" t="str">
        <f>'Data Tables (M) no_cb_zip'!A69</f>
        <v>Expected Gross Loss Impact</v>
      </c>
      <c r="B69" s="3">
        <f>'Data Tables (M)'!B69-'Data Tables (M) cb_zip'!B69</f>
        <v>-2.3295889224890232E-3</v>
      </c>
      <c r="C69" s="3">
        <f>'Data Tables (M)'!C69-'Data Tables (M) cb_zip'!C69</f>
        <v>1.4257596315414567E-4</v>
      </c>
      <c r="D69" s="3">
        <f>'Data Tables (M)'!D69-'Data Tables (M) cb_zip'!D69</f>
        <v>-2.8428901485865743E-3</v>
      </c>
      <c r="E69" s="3">
        <f>'Data Tables (M)'!E69-'Data Tables (M) cb_zip'!E69</f>
        <v>1.6960318974762467E-3</v>
      </c>
      <c r="F69" s="3">
        <f>'Data Tables (M)'!F69-'Data Tables (M) cb_zip'!F69</f>
        <v>8.30528639420125E-4</v>
      </c>
      <c r="G69" s="3">
        <f>'Data Tables (M)'!G69-'Data Tables (M) cb_zip'!G69</f>
        <v>2.0671541625389978E-3</v>
      </c>
      <c r="H69" s="3">
        <f>'Data Tables (M)'!H69-'Data Tables (M) cb_zip'!H69</f>
        <v>8.1279668448619447E-5</v>
      </c>
      <c r="I69" s="3">
        <f>'Data Tables (M)'!I69-'Data Tables (M) cb_zip'!I69</f>
        <v>0</v>
      </c>
      <c r="J69" s="3">
        <f>'Data Tables (M)'!J69-'Data Tables (M) cb_zip'!J69</f>
        <v>4.8849813083506888E-15</v>
      </c>
      <c r="K69" s="3">
        <f>'Data Tables (M)'!K69-'Data Tables (M) cb_zip'!K69</f>
        <v>0</v>
      </c>
      <c r="L69" s="3">
        <f>'Data Tables (M)'!L69-'Data Tables (M) cb_zip'!L69</f>
        <v>-1.122775357266903E-3</v>
      </c>
      <c r="M69" s="3">
        <f>'Data Tables (M)'!M69-'Data Tables (M) cb_zip'!M69</f>
        <v>0</v>
      </c>
      <c r="N69" s="3">
        <f>'Data Tables (M)'!N69-'Data Tables (M) cb_zip'!N69</f>
        <v>-7.9936057773011271E-15</v>
      </c>
      <c r="O69" s="3">
        <f>'Data Tables (M)'!O69-'Data Tables (M) cb_zip'!O69</f>
        <v>0</v>
      </c>
      <c r="P69" s="3">
        <f>'Data Tables (M)'!P69-'Data Tables (M) cb_zip'!P69</f>
        <v>0</v>
      </c>
      <c r="Q69" s="3">
        <f>'Data Tables (M)'!Q69-'Data Tables (M) cb_zip'!Q69</f>
        <v>-1.6156392210340265E-3</v>
      </c>
      <c r="R69" s="3">
        <f>'Data Tables (M)'!R69-'Data Tables (M) cb_zip'!R69</f>
        <v>0</v>
      </c>
      <c r="S69" s="3">
        <f>'Data Tables (M)'!S69-'Data Tables (M) cb_zip'!S69</f>
        <v>0</v>
      </c>
      <c r="T69" s="3">
        <f>'Data Tables (M)'!T69-'Data Tables (M) cb_zip'!T69</f>
        <v>-1.9095836023552692E-14</v>
      </c>
      <c r="U69" s="3">
        <f>'Data Tables (M)'!U69-'Data Tables (M) cb_zip'!U69</f>
        <v>0</v>
      </c>
      <c r="V69" s="3">
        <f>'Data Tables (M)'!V69-'Data Tables (M) cb_zip'!V69</f>
        <v>-6.2879727203490887E-3</v>
      </c>
    </row>
    <row r="70" spans="1:22" x14ac:dyDescent="0.35">
      <c r="A70" t="str">
        <f>'Data Tables (M) no_cb_zip'!A70</f>
        <v>Recovery Impact</v>
      </c>
      <c r="B70" s="3">
        <f>'Data Tables (M)'!B70-'Data Tables (M) cb_zip'!B70</f>
        <v>5.7560276036969782E-3</v>
      </c>
      <c r="C70" s="3">
        <f>'Data Tables (M)'!C70-'Data Tables (M) cb_zip'!C70</f>
        <v>4.3760117797970732E-3</v>
      </c>
      <c r="D70" s="3">
        <f>'Data Tables (M)'!D70-'Data Tables (M) cb_zip'!D70</f>
        <v>5.7393834972570001E-3</v>
      </c>
      <c r="E70" s="3">
        <f>'Data Tables (M)'!E70-'Data Tables (M) cb_zip'!E70</f>
        <v>1.1457951981521663E-3</v>
      </c>
      <c r="F70" s="3">
        <f>'Data Tables (M)'!F70-'Data Tables (M) cb_zip'!F70</f>
        <v>-9.6152798059689903E-3</v>
      </c>
      <c r="G70" s="3">
        <f>'Data Tables (M)'!G70-'Data Tables (M) cb_zip'!G70</f>
        <v>1.6702615396662068E-2</v>
      </c>
      <c r="H70" s="3">
        <f>'Data Tables (M)'!H70-'Data Tables (M) cb_zip'!H70</f>
        <v>-1.5804375663686088E-4</v>
      </c>
      <c r="I70" s="3">
        <f>'Data Tables (M)'!I70-'Data Tables (M) cb_zip'!I70</f>
        <v>-4.8849813083506888E-15</v>
      </c>
      <c r="J70" s="3">
        <f>'Data Tables (M)'!J70-'Data Tables (M) cb_zip'!J70</f>
        <v>-5.773159728050814E-15</v>
      </c>
      <c r="K70" s="3">
        <f>'Data Tables (M)'!K70-'Data Tables (M) cb_zip'!K70</f>
        <v>0</v>
      </c>
      <c r="L70" s="3">
        <f>'Data Tables (M)'!L70-'Data Tables (M) cb_zip'!L70</f>
        <v>-1.1367403968840506E-3</v>
      </c>
      <c r="M70" s="3">
        <f>'Data Tables (M)'!M70-'Data Tables (M) cb_zip'!M70</f>
        <v>0</v>
      </c>
      <c r="N70" s="3">
        <f>'Data Tables (M)'!N70-'Data Tables (M) cb_zip'!N70</f>
        <v>0</v>
      </c>
      <c r="O70" s="3">
        <f>'Data Tables (M)'!O70-'Data Tables (M) cb_zip'!O70</f>
        <v>0</v>
      </c>
      <c r="P70" s="3">
        <f>'Data Tables (M)'!P70-'Data Tables (M) cb_zip'!P70</f>
        <v>-2.0543069689220594E-3</v>
      </c>
      <c r="Q70" s="3">
        <f>'Data Tables (M)'!Q70-'Data Tables (M) cb_zip'!Q70</f>
        <v>-2.7759853574940152E-3</v>
      </c>
      <c r="R70" s="3">
        <f>'Data Tables (M)'!R70-'Data Tables (M) cb_zip'!R70</f>
        <v>-1.1861149799630155E-4</v>
      </c>
      <c r="S70" s="3">
        <f>'Data Tables (M)'!S70-'Data Tables (M) cb_zip'!S70</f>
        <v>0</v>
      </c>
      <c r="T70" s="3">
        <f>'Data Tables (M)'!T70-'Data Tables (M) cb_zip'!T70</f>
        <v>0</v>
      </c>
      <c r="U70" s="3">
        <f>'Data Tables (M)'!U70-'Data Tables (M) cb_zip'!U70</f>
        <v>-2.4463642046228529E-3</v>
      </c>
      <c r="V70" s="3">
        <f>'Data Tables (M)'!V70-'Data Tables (M) cb_zip'!V70</f>
        <v>4.1351994134548598E-3</v>
      </c>
    </row>
    <row r="71" spans="1:22" x14ac:dyDescent="0.35">
      <c r="A71" t="str">
        <f>'Data Tables (M) no_cb_zip'!A71</f>
        <v>LTV Impact</v>
      </c>
      <c r="B71" s="3">
        <f>'Data Tables (M)'!B71-'Data Tables (M) cb_zip'!B71</f>
        <v>-3.5822428065896972E-3</v>
      </c>
      <c r="C71" s="3">
        <f>'Data Tables (M)'!C71-'Data Tables (M) cb_zip'!C71</f>
        <v>-7.558791974702217E-4</v>
      </c>
      <c r="D71" s="3">
        <f>'Data Tables (M)'!D71-'Data Tables (M) cb_zip'!D71</f>
        <v>1.5683769574259543E-3</v>
      </c>
      <c r="E71" s="3">
        <f>'Data Tables (M)'!E71-'Data Tables (M) cb_zip'!E71</f>
        <v>7.3736900223675406E-4</v>
      </c>
      <c r="F71" s="3">
        <f>'Data Tables (M)'!F71-'Data Tables (M) cb_zip'!F71</f>
        <v>1.4136863583100734E-3</v>
      </c>
      <c r="G71" s="3">
        <f>'Data Tables (M)'!G71-'Data Tables (M) cb_zip'!G71</f>
        <v>1.3379687055117273E-3</v>
      </c>
      <c r="H71" s="3">
        <f>'Data Tables (M)'!H71-'Data Tables (M) cb_zip'!H71</f>
        <v>1.4525373036393674E-3</v>
      </c>
      <c r="I71" s="3">
        <f>'Data Tables (M)'!I71-'Data Tables (M) cb_zip'!I71</f>
        <v>0</v>
      </c>
      <c r="J71" s="3">
        <f>'Data Tables (M)'!J71-'Data Tables (M) cb_zip'!J71</f>
        <v>0</v>
      </c>
      <c r="K71" s="3">
        <f>'Data Tables (M)'!K71-'Data Tables (M) cb_zip'!K71</f>
        <v>0</v>
      </c>
      <c r="L71" s="3">
        <f>'Data Tables (M)'!L71-'Data Tables (M) cb_zip'!L71</f>
        <v>-1.3684889200105133E-3</v>
      </c>
      <c r="M71" s="3">
        <f>'Data Tables (M)'!M71-'Data Tables (M) cb_zip'!M71</f>
        <v>0</v>
      </c>
      <c r="N71" s="3">
        <f>'Data Tables (M)'!N71-'Data Tables (M) cb_zip'!N71</f>
        <v>2.3133847801837248E-5</v>
      </c>
      <c r="O71" s="3">
        <f>'Data Tables (M)'!O71-'Data Tables (M) cb_zip'!O71</f>
        <v>2.1920356247981942E-3</v>
      </c>
      <c r="P71" s="3">
        <f>'Data Tables (M)'!P71-'Data Tables (M) cb_zip'!P71</f>
        <v>4.5259267222874655E-6</v>
      </c>
      <c r="Q71" s="3">
        <f>'Data Tables (M)'!Q71-'Data Tables (M) cb_zip'!Q71</f>
        <v>-1.1109587821884759E-3</v>
      </c>
      <c r="R71" s="3">
        <f>'Data Tables (M)'!R71-'Data Tables (M) cb_zip'!R71</f>
        <v>0</v>
      </c>
      <c r="S71" s="3">
        <f>'Data Tables (M)'!S71-'Data Tables (M) cb_zip'!S71</f>
        <v>0</v>
      </c>
      <c r="T71" s="3">
        <f>'Data Tables (M)'!T71-'Data Tables (M) cb_zip'!T71</f>
        <v>0</v>
      </c>
      <c r="U71" s="3">
        <f>'Data Tables (M)'!U71-'Data Tables (M) cb_zip'!U71</f>
        <v>0</v>
      </c>
      <c r="V71" s="3">
        <f>'Data Tables (M)'!V71-'Data Tables (M) cb_zip'!V71</f>
        <v>-3.129060541269002E-2</v>
      </c>
    </row>
    <row r="72" spans="1:22" x14ac:dyDescent="0.35">
      <c r="A72" t="str">
        <f>'Data Tables (M) no_cb_zip'!A72</f>
        <v>APR Impact</v>
      </c>
      <c r="B72" s="3">
        <f>'Data Tables (M)'!B72-'Data Tables (M) cb_zip'!B72</f>
        <v>-1.9547712240161053E-3</v>
      </c>
      <c r="C72" s="3">
        <f>'Data Tables (M)'!C72-'Data Tables (M) cb_zip'!C72</f>
        <v>-5.2481894402628404E-4</v>
      </c>
      <c r="D72" s="3">
        <f>'Data Tables (M)'!D72-'Data Tables (M) cb_zip'!D72</f>
        <v>1.390526868441655E-4</v>
      </c>
      <c r="E72" s="3">
        <f>'Data Tables (M)'!E72-'Data Tables (M) cb_zip'!E72</f>
        <v>3.077109436569192E-4</v>
      </c>
      <c r="F72" s="3">
        <f>'Data Tables (M)'!F72-'Data Tables (M) cb_zip'!F72</f>
        <v>-1.4561036129828731E-3</v>
      </c>
      <c r="G72" s="3">
        <f>'Data Tables (M)'!G72-'Data Tables (M) cb_zip'!G72</f>
        <v>1.3906879457235843E-3</v>
      </c>
      <c r="H72" s="3">
        <f>'Data Tables (M)'!H72-'Data Tables (M) cb_zip'!H72</f>
        <v>2.5535684638389178E-4</v>
      </c>
      <c r="I72" s="3">
        <f>'Data Tables (M)'!I72-'Data Tables (M) cb_zip'!I72</f>
        <v>1.609823385706477E-15</v>
      </c>
      <c r="J72" s="3">
        <f>'Data Tables (M)'!J72-'Data Tables (M) cb_zip'!J72</f>
        <v>-4.9960036108132044E-16</v>
      </c>
      <c r="K72" s="3">
        <f>'Data Tables (M)'!K72-'Data Tables (M) cb_zip'!K72</f>
        <v>-8.0491169285323849E-16</v>
      </c>
      <c r="L72" s="3">
        <f>'Data Tables (M)'!L72-'Data Tables (M) cb_zip'!L72</f>
        <v>6.1009845971929377E-4</v>
      </c>
      <c r="M72" s="3">
        <f>'Data Tables (M)'!M72-'Data Tables (M) cb_zip'!M72</f>
        <v>0</v>
      </c>
      <c r="N72" s="3">
        <f>'Data Tables (M)'!N72-'Data Tables (M) cb_zip'!N72</f>
        <v>-1.5959455978986625E-15</v>
      </c>
      <c r="O72" s="3">
        <f>'Data Tables (M)'!O72-'Data Tables (M) cb_zip'!O72</f>
        <v>5.2041704279304213E-16</v>
      </c>
      <c r="P72" s="3">
        <f>'Data Tables (M)'!P72-'Data Tables (M) cb_zip'!P72</f>
        <v>1.9012569296705806E-15</v>
      </c>
      <c r="Q72" s="3">
        <f>'Data Tables (M)'!Q72-'Data Tables (M) cb_zip'!Q72</f>
        <v>-1.3723491853734893E-3</v>
      </c>
      <c r="R72" s="3">
        <f>'Data Tables (M)'!R72-'Data Tables (M) cb_zip'!R72</f>
        <v>-2.1649348980190553E-15</v>
      </c>
      <c r="S72" s="3">
        <f>'Data Tables (M)'!S72-'Data Tables (M) cb_zip'!S72</f>
        <v>-2.4980018054066022E-15</v>
      </c>
      <c r="T72" s="3">
        <f>'Data Tables (M)'!T72-'Data Tables (M) cb_zip'!T72</f>
        <v>-2.886579864025407E-15</v>
      </c>
      <c r="U72" s="3">
        <f>'Data Tables (M)'!U72-'Data Tables (M) cb_zip'!U72</f>
        <v>2.0539125955565396E-15</v>
      </c>
      <c r="V72" s="3">
        <f>'Data Tables (M)'!V72-'Data Tables (M) cb_zip'!V72</f>
        <v>-7.9856972727671005E-3</v>
      </c>
    </row>
    <row r="73" spans="1:22" x14ac:dyDescent="0.35">
      <c r="A73" t="str">
        <f>'Data Tables (M) no_cb_zip'!A73</f>
        <v>RAGU Score</v>
      </c>
      <c r="B73" s="3">
        <f>'Data Tables (M)'!B73-'Data Tables (M) cb_zip'!B73</f>
        <v>-1.3075340081059039E-3</v>
      </c>
      <c r="C73" s="3">
        <f>'Data Tables (M)'!C73-'Data Tables (M) cb_zip'!C73</f>
        <v>3.7692571514185147E-3</v>
      </c>
      <c r="D73" s="3">
        <f>'Data Tables (M)'!D73-'Data Tables (M) cb_zip'!D73</f>
        <v>4.59758708259983E-3</v>
      </c>
      <c r="E73" s="3">
        <f>'Data Tables (M)'!E73-'Data Tables (M) cb_zip'!E73</f>
        <v>3.9921654912973281E-3</v>
      </c>
      <c r="F73" s="3">
        <f>'Data Tables (M)'!F73-'Data Tables (M) cb_zip'!F73</f>
        <v>-9.3601706277013363E-3</v>
      </c>
      <c r="G73" s="3">
        <f>'Data Tables (M)'!G73-'Data Tables (M) cb_zip'!G73</f>
        <v>2.1773723546800738E-2</v>
      </c>
      <c r="H73" s="3">
        <f>'Data Tables (M)'!H73-'Data Tables (M) cb_zip'!H73</f>
        <v>1.7438534853795318E-3</v>
      </c>
      <c r="I73" s="3">
        <f>'Data Tables (M)'!I73-'Data Tables (M) cb_zip'!I73</f>
        <v>0</v>
      </c>
      <c r="J73" s="3">
        <f>'Data Tables (M)'!J73-'Data Tables (M) cb_zip'!J73</f>
        <v>0</v>
      </c>
      <c r="K73" s="3">
        <f>'Data Tables (M)'!K73-'Data Tables (M) cb_zip'!K73</f>
        <v>0</v>
      </c>
      <c r="L73" s="3">
        <f>'Data Tables (M)'!L73-'Data Tables (M) cb_zip'!L73</f>
        <v>-3.4468312632895959E-3</v>
      </c>
      <c r="M73" s="3">
        <f>'Data Tables (M)'!M73-'Data Tables (M) cb_zip'!M73</f>
        <v>0</v>
      </c>
      <c r="N73" s="3">
        <f>'Data Tables (M)'!N73-'Data Tables (M) cb_zip'!N73</f>
        <v>2.3133847804501784E-5</v>
      </c>
      <c r="O73" s="3">
        <f>'Data Tables (M)'!O73-'Data Tables (M) cb_zip'!O73</f>
        <v>2.192035624801747E-3</v>
      </c>
      <c r="P73" s="3">
        <f>'Data Tables (M)'!P73-'Data Tables (M) cb_zip'!P73</f>
        <v>-2.0497810422170915E-3</v>
      </c>
      <c r="Q73" s="3">
        <f>'Data Tables (M)'!Q73-'Data Tables (M) cb_zip'!Q73</f>
        <v>-6.5209280600129205E-3</v>
      </c>
      <c r="R73" s="3">
        <f>'Data Tables (M)'!R73-'Data Tables (M) cb_zip'!R73</f>
        <v>-1.1861149798164661E-4</v>
      </c>
      <c r="S73" s="3">
        <f>'Data Tables (M)'!S73-'Data Tables (M) cb_zip'!S73</f>
        <v>0</v>
      </c>
      <c r="T73" s="3">
        <f>'Data Tables (M)'!T73-'Data Tables (M) cb_zip'!T73</f>
        <v>0</v>
      </c>
      <c r="U73" s="3">
        <f>'Data Tables (M)'!U73-'Data Tables (M) cb_zip'!U73</f>
        <v>-2.4463642045873257E-3</v>
      </c>
      <c r="V73" s="3">
        <f>'Data Tables (M)'!V73-'Data Tables (M) cb_zip'!V73</f>
        <v>-5.7894184302796248E-2</v>
      </c>
    </row>
    <row r="74" spans="1:22" x14ac:dyDescent="0.35">
      <c r="A74" t="str">
        <f>'Data Tables (M) no_cb_zip'!A74</f>
        <v>Amount Financed</v>
      </c>
      <c r="B74" s="3">
        <f>'Data Tables (M)'!B74-'Data Tables (M) cb_zip'!B74</f>
        <v>41201.030000001192</v>
      </c>
      <c r="C74" s="3">
        <f>'Data Tables (M)'!C74-'Data Tables (M) cb_zip'!C74</f>
        <v>-39536.420000016689</v>
      </c>
      <c r="D74" s="3">
        <f>'Data Tables (M)'!D74-'Data Tables (M) cb_zip'!D74</f>
        <v>-67308.419999986887</v>
      </c>
      <c r="E74" s="3">
        <f>'Data Tables (M)'!E74-'Data Tables (M) cb_zip'!E74</f>
        <v>2751.1700000166893</v>
      </c>
      <c r="F74" s="3">
        <f>'Data Tables (M)'!F74-'Data Tables (M) cb_zip'!F74</f>
        <v>-33056.820000007749</v>
      </c>
      <c r="G74" s="3">
        <f>'Data Tables (M)'!G74-'Data Tables (M) cb_zip'!G74</f>
        <v>101470.31000000238</v>
      </c>
      <c r="H74" s="3">
        <f>'Data Tables (M)'!H74-'Data Tables (M) cb_zip'!H74</f>
        <v>10782</v>
      </c>
      <c r="I74" s="3">
        <f>'Data Tables (M)'!I74-'Data Tables (M) cb_zip'!I74</f>
        <v>0</v>
      </c>
      <c r="J74" s="3">
        <f>'Data Tables (M)'!J74-'Data Tables (M) cb_zip'!J74</f>
        <v>0</v>
      </c>
      <c r="K74" s="3">
        <f>'Data Tables (M)'!K74-'Data Tables (M) cb_zip'!K74</f>
        <v>0</v>
      </c>
      <c r="L74" s="3">
        <f>'Data Tables (M)'!L74-'Data Tables (M) cb_zip'!L74</f>
        <v>-24121</v>
      </c>
      <c r="M74" s="3">
        <f>'Data Tables (M)'!M74-'Data Tables (M) cb_zip'!M74</f>
        <v>0</v>
      </c>
      <c r="N74" s="3">
        <f>'Data Tables (M)'!N74-'Data Tables (M) cb_zip'!N74</f>
        <v>0</v>
      </c>
      <c r="O74" s="3">
        <f>'Data Tables (M)'!O74-'Data Tables (M) cb_zip'!O74</f>
        <v>0</v>
      </c>
      <c r="P74" s="3">
        <f>'Data Tables (M)'!P74-'Data Tables (M) cb_zip'!P74</f>
        <v>0</v>
      </c>
      <c r="Q74" s="3">
        <f>'Data Tables (M)'!Q74-'Data Tables (M) cb_zip'!Q74</f>
        <v>-42434.140000015497</v>
      </c>
      <c r="R74" s="3">
        <f>'Data Tables (M)'!R74-'Data Tables (M) cb_zip'!R74</f>
        <v>0</v>
      </c>
      <c r="S74" s="3">
        <f>'Data Tables (M)'!S74-'Data Tables (M) cb_zip'!S74</f>
        <v>0</v>
      </c>
      <c r="T74" s="3">
        <f>'Data Tables (M)'!T74-'Data Tables (M) cb_zip'!T74</f>
        <v>0</v>
      </c>
      <c r="U74" s="3">
        <f>'Data Tables (M)'!U74-'Data Tables (M) cb_zip'!U74</f>
        <v>0</v>
      </c>
      <c r="V74" s="3">
        <f>'Data Tables (M)'!V74-'Data Tables (M) cb_zip'!V74</f>
        <v>5302436.1599999815</v>
      </c>
    </row>
    <row r="75" spans="1:22" x14ac:dyDescent="0.35">
      <c r="A75" t="str">
        <f>'Data Tables (M) no_cb_zip'!A75</f>
        <v>Weighted LTV</v>
      </c>
      <c r="B75" s="3">
        <f>'Data Tables (M)'!B75-'Data Tables (M) cb_zip'!B75</f>
        <v>2.7167897340496516E-4</v>
      </c>
      <c r="C75" s="3">
        <f>'Data Tables (M)'!C75-'Data Tables (M) cb_zip'!C75</f>
        <v>1.0961397185305088E-4</v>
      </c>
      <c r="D75" s="3">
        <f>'Data Tables (M)'!D75-'Data Tables (M) cb_zip'!D75</f>
        <v>-1.0691703875287395E-4</v>
      </c>
      <c r="E75" s="3">
        <f>'Data Tables (M)'!E75-'Data Tables (M) cb_zip'!E75</f>
        <v>-4.7212166876864359E-5</v>
      </c>
      <c r="F75" s="3">
        <f>'Data Tables (M)'!F75-'Data Tables (M) cb_zip'!F75</f>
        <v>-9.5457455288938675E-5</v>
      </c>
      <c r="G75" s="3">
        <f>'Data Tables (M)'!G75-'Data Tables (M) cb_zip'!G75</f>
        <v>-5.030806852013292E-5</v>
      </c>
      <c r="H75" s="3">
        <f>'Data Tables (M)'!H75-'Data Tables (M) cb_zip'!H75</f>
        <v>-8.7248363159986297E-5</v>
      </c>
      <c r="I75" s="3">
        <f>'Data Tables (M)'!I75-'Data Tables (M) cb_zip'!I75</f>
        <v>0</v>
      </c>
      <c r="J75" s="3">
        <f>'Data Tables (M)'!J75-'Data Tables (M) cb_zip'!J75</f>
        <v>0</v>
      </c>
      <c r="K75" s="3">
        <f>'Data Tables (M)'!K75-'Data Tables (M) cb_zip'!K75</f>
        <v>0</v>
      </c>
      <c r="L75" s="3">
        <f>'Data Tables (M)'!L75-'Data Tables (M) cb_zip'!L75</f>
        <v>6.4849678415912493E-5</v>
      </c>
      <c r="M75" s="3">
        <f>'Data Tables (M)'!M75-'Data Tables (M) cb_zip'!M75</f>
        <v>0</v>
      </c>
      <c r="N75" s="3">
        <f>'Data Tables (M)'!N75-'Data Tables (M) cb_zip'!N75</f>
        <v>-2.0857425919729167E-6</v>
      </c>
      <c r="O75" s="3">
        <f>'Data Tables (M)'!O75-'Data Tables (M) cb_zip'!O75</f>
        <v>-1.5298583373191121E-4</v>
      </c>
      <c r="P75" s="3">
        <f>'Data Tables (M)'!P75-'Data Tables (M) cb_zip'!P75</f>
        <v>-3.9680313590473304E-7</v>
      </c>
      <c r="Q75" s="3">
        <f>'Data Tables (M)'!Q75-'Data Tables (M) cb_zip'!Q75</f>
        <v>6.9132426635976074E-5</v>
      </c>
      <c r="R75" s="3">
        <f>'Data Tables (M)'!R75-'Data Tables (M) cb_zip'!R75</f>
        <v>0</v>
      </c>
      <c r="S75" s="3">
        <f>'Data Tables (M)'!S75-'Data Tables (M) cb_zip'!S75</f>
        <v>0</v>
      </c>
      <c r="T75" s="3">
        <f>'Data Tables (M)'!T75-'Data Tables (M) cb_zip'!T75</f>
        <v>0</v>
      </c>
      <c r="U75" s="3">
        <f>'Data Tables (M)'!U75-'Data Tables (M) cb_zip'!U75</f>
        <v>0</v>
      </c>
      <c r="V75" s="3">
        <f>'Data Tables (M)'!V75-'Data Tables (M) cb_zip'!V75</f>
        <v>2.6420720203930159E-3</v>
      </c>
    </row>
    <row r="76" spans="1:22" x14ac:dyDescent="0.35">
      <c r="A76" t="str">
        <f>'Data Tables (M) no_cb_zip'!A76</f>
        <v>Weighted APR</v>
      </c>
      <c r="B76" s="3">
        <f>'Data Tables (M)'!B76-'Data Tables (M) cb_zip'!B76</f>
        <v>2.8563732875186432E-5</v>
      </c>
      <c r="C76" s="3">
        <f>'Data Tables (M)'!C76-'Data Tables (M) cb_zip'!C76</f>
        <v>9.1472481547061335E-6</v>
      </c>
      <c r="D76" s="3">
        <f>'Data Tables (M)'!D76-'Data Tables (M) cb_zip'!D76</f>
        <v>-2.6434392529917083E-6</v>
      </c>
      <c r="E76" s="3">
        <f>'Data Tables (M)'!E76-'Data Tables (M) cb_zip'!E76</f>
        <v>-4.3664218172256852E-6</v>
      </c>
      <c r="F76" s="3">
        <f>'Data Tables (M)'!F76-'Data Tables (M) cb_zip'!F76</f>
        <v>2.0412604051778249E-5</v>
      </c>
      <c r="G76" s="3">
        <f>'Data Tables (M)'!G76-'Data Tables (M) cb_zip'!G76</f>
        <v>-1.8524929532720558E-5</v>
      </c>
      <c r="H76" s="3">
        <f>'Data Tables (M)'!H76-'Data Tables (M) cb_zip'!H76</f>
        <v>-3.5102926044805471E-6</v>
      </c>
      <c r="I76" s="3">
        <f>'Data Tables (M)'!I76-'Data Tables (M) cb_zip'!I76</f>
        <v>0</v>
      </c>
      <c r="J76" s="3">
        <f>'Data Tables (M)'!J76-'Data Tables (M) cb_zip'!J76</f>
        <v>0</v>
      </c>
      <c r="K76" s="3">
        <f>'Data Tables (M)'!K76-'Data Tables (M) cb_zip'!K76</f>
        <v>0</v>
      </c>
      <c r="L76" s="3">
        <f>'Data Tables (M)'!L76-'Data Tables (M) cb_zip'!L76</f>
        <v>-9.5289368625128823E-6</v>
      </c>
      <c r="M76" s="3">
        <f>'Data Tables (M)'!M76-'Data Tables (M) cb_zip'!M76</f>
        <v>0</v>
      </c>
      <c r="N76" s="3">
        <f>'Data Tables (M)'!N76-'Data Tables (M) cb_zip'!N76</f>
        <v>0</v>
      </c>
      <c r="O76" s="3">
        <f>'Data Tables (M)'!O76-'Data Tables (M) cb_zip'!O76</f>
        <v>0</v>
      </c>
      <c r="P76" s="3">
        <f>'Data Tables (M)'!P76-'Data Tables (M) cb_zip'!P76</f>
        <v>0</v>
      </c>
      <c r="Q76" s="3">
        <f>'Data Tables (M)'!Q76-'Data Tables (M) cb_zip'!Q76</f>
        <v>1.8973928341409207E-5</v>
      </c>
      <c r="R76" s="3">
        <f>'Data Tables (M)'!R76-'Data Tables (M) cb_zip'!R76</f>
        <v>0</v>
      </c>
      <c r="S76" s="3">
        <f>'Data Tables (M)'!S76-'Data Tables (M) cb_zip'!S76</f>
        <v>0</v>
      </c>
      <c r="T76" s="3">
        <f>'Data Tables (M)'!T76-'Data Tables (M) cb_zip'!T76</f>
        <v>0</v>
      </c>
      <c r="U76" s="3">
        <f>'Data Tables (M)'!U76-'Data Tables (M) cb_zip'!U76</f>
        <v>0</v>
      </c>
      <c r="V76" s="3">
        <f>'Data Tables (M)'!V76-'Data Tables (M) cb_zip'!V76</f>
        <v>1.3308873731709969E-4</v>
      </c>
    </row>
    <row r="77" spans="1:22" x14ac:dyDescent="0.35">
      <c r="A77">
        <f>'Data Tables (M) no_cb_zip'!A77</f>
        <v>0</v>
      </c>
      <c r="B77" s="3">
        <f>'Data Tables (M)'!B77-'Data Tables (M) cb_zip'!B77</f>
        <v>0</v>
      </c>
      <c r="C77" s="3">
        <f>'Data Tables (M)'!C77-'Data Tables (M) cb_zip'!C77</f>
        <v>0</v>
      </c>
      <c r="D77" s="3">
        <f>'Data Tables (M)'!D77-'Data Tables (M) cb_zip'!D77</f>
        <v>0</v>
      </c>
      <c r="E77" s="3">
        <f>'Data Tables (M)'!E77-'Data Tables (M) cb_zip'!E77</f>
        <v>0</v>
      </c>
      <c r="F77" s="3">
        <f>'Data Tables (M)'!F77-'Data Tables (M) cb_zip'!F77</f>
        <v>0</v>
      </c>
      <c r="G77" s="3">
        <f>'Data Tables (M)'!G77-'Data Tables (M) cb_zip'!G77</f>
        <v>0</v>
      </c>
      <c r="H77" s="3">
        <f>'Data Tables (M)'!H77-'Data Tables (M) cb_zip'!H77</f>
        <v>0</v>
      </c>
      <c r="I77" s="3">
        <f>'Data Tables (M)'!I77-'Data Tables (M) cb_zip'!I77</f>
        <v>0</v>
      </c>
      <c r="J77" s="3">
        <f>'Data Tables (M)'!J77-'Data Tables (M) cb_zip'!J77</f>
        <v>0</v>
      </c>
      <c r="K77" s="3">
        <f>'Data Tables (M)'!K77-'Data Tables (M) cb_zip'!K77</f>
        <v>0</v>
      </c>
      <c r="L77" s="3">
        <f>'Data Tables (M)'!L77-'Data Tables (M) cb_zip'!L77</f>
        <v>0</v>
      </c>
      <c r="M77" s="3">
        <f>'Data Tables (M)'!M77-'Data Tables (M) cb_zip'!M77</f>
        <v>0</v>
      </c>
      <c r="N77" s="3">
        <f>'Data Tables (M)'!N77-'Data Tables (M) cb_zip'!N77</f>
        <v>0</v>
      </c>
      <c r="O77" s="3">
        <f>'Data Tables (M)'!O77-'Data Tables (M) cb_zip'!O77</f>
        <v>0</v>
      </c>
      <c r="P77" s="3">
        <f>'Data Tables (M)'!P77-'Data Tables (M) cb_zip'!P77</f>
        <v>0</v>
      </c>
      <c r="Q77" s="3">
        <f>'Data Tables (M)'!Q77-'Data Tables (M) cb_zip'!Q77</f>
        <v>0</v>
      </c>
      <c r="R77" s="3">
        <f>'Data Tables (M)'!R77-'Data Tables (M) cb_zip'!R77</f>
        <v>0</v>
      </c>
      <c r="S77" s="3">
        <f>'Data Tables (M)'!S77-'Data Tables (M) cb_zip'!S77</f>
        <v>0</v>
      </c>
      <c r="T77" s="3">
        <f>'Data Tables (M)'!T77-'Data Tables (M) cb_zip'!T77</f>
        <v>0</v>
      </c>
      <c r="U77" s="3">
        <f>'Data Tables (M)'!U77-'Data Tables (M) cb_zip'!U77</f>
        <v>0</v>
      </c>
      <c r="V77" s="3">
        <f>'Data Tables (M)'!V77-'Data Tables (M) cb_zip'!V77</f>
        <v>0</v>
      </c>
    </row>
    <row r="78" spans="1:22" x14ac:dyDescent="0.35">
      <c r="A78" t="str">
        <f>'Data Tables (M) no_cb_zip'!A78</f>
        <v>nonKMX</v>
      </c>
      <c r="B78" s="3" t="e">
        <f>'Data Tables (M)'!B78-'Data Tables (M) cb_zip'!B78</f>
        <v>#VALUE!</v>
      </c>
      <c r="C78" s="3" t="e">
        <f>'Data Tables (M)'!C78-'Data Tables (M) cb_zip'!C78</f>
        <v>#VALUE!</v>
      </c>
      <c r="D78" s="3" t="e">
        <f>'Data Tables (M)'!D78-'Data Tables (M) cb_zip'!D78</f>
        <v>#VALUE!</v>
      </c>
      <c r="E78" s="3" t="e">
        <f>'Data Tables (M)'!E78-'Data Tables (M) cb_zip'!E78</f>
        <v>#VALUE!</v>
      </c>
      <c r="F78" s="3" t="e">
        <f>'Data Tables (M)'!F78-'Data Tables (M) cb_zip'!F78</f>
        <v>#VALUE!</v>
      </c>
      <c r="G78" s="3" t="e">
        <f>'Data Tables (M)'!G78-'Data Tables (M) cb_zip'!G78</f>
        <v>#VALUE!</v>
      </c>
      <c r="H78" s="3" t="e">
        <f>'Data Tables (M)'!H78-'Data Tables (M) cb_zip'!H78</f>
        <v>#VALUE!</v>
      </c>
      <c r="I78" s="3" t="e">
        <f>'Data Tables (M)'!I78-'Data Tables (M) cb_zip'!I78</f>
        <v>#VALUE!</v>
      </c>
      <c r="J78" s="3" t="e">
        <f>'Data Tables (M)'!J78-'Data Tables (M) cb_zip'!J78</f>
        <v>#VALUE!</v>
      </c>
      <c r="K78" s="3" t="e">
        <f>'Data Tables (M)'!K78-'Data Tables (M) cb_zip'!K78</f>
        <v>#VALUE!</v>
      </c>
      <c r="L78" s="3" t="e">
        <f>'Data Tables (M)'!L78-'Data Tables (M) cb_zip'!L78</f>
        <v>#VALUE!</v>
      </c>
      <c r="M78" s="3" t="e">
        <f>'Data Tables (M)'!M78-'Data Tables (M) cb_zip'!M78</f>
        <v>#VALUE!</v>
      </c>
      <c r="N78" s="3" t="e">
        <f>'Data Tables (M)'!N78-'Data Tables (M) cb_zip'!N78</f>
        <v>#VALUE!</v>
      </c>
      <c r="O78" s="3" t="e">
        <f>'Data Tables (M)'!O78-'Data Tables (M) cb_zip'!O78</f>
        <v>#VALUE!</v>
      </c>
      <c r="P78" s="3" t="e">
        <f>'Data Tables (M)'!P78-'Data Tables (M) cb_zip'!P78</f>
        <v>#VALUE!</v>
      </c>
      <c r="Q78" s="3" t="e">
        <f>'Data Tables (M)'!Q78-'Data Tables (M) cb_zip'!Q78</f>
        <v>#VALUE!</v>
      </c>
      <c r="R78" s="3" t="e">
        <f>'Data Tables (M)'!R78-'Data Tables (M) cb_zip'!R78</f>
        <v>#VALUE!</v>
      </c>
      <c r="S78" s="3" t="e">
        <f>'Data Tables (M)'!S78-'Data Tables (M) cb_zip'!S78</f>
        <v>#VALUE!</v>
      </c>
      <c r="T78" s="3" t="e">
        <f>'Data Tables (M)'!T78-'Data Tables (M) cb_zip'!T78</f>
        <v>#VALUE!</v>
      </c>
      <c r="U78" s="3" t="e">
        <f>'Data Tables (M)'!U78-'Data Tables (M) cb_zip'!U78</f>
        <v>#VALUE!</v>
      </c>
      <c r="V78" s="3" t="e">
        <f>'Data Tables (M)'!V78-'Data Tables (M) cb_zip'!V78</f>
        <v>#VALUE!</v>
      </c>
    </row>
    <row r="79" spans="1:22" x14ac:dyDescent="0.35">
      <c r="A79" t="str">
        <f>'Data Tables (M) no_cb_zip'!A79</f>
        <v>Model Score</v>
      </c>
      <c r="B79" s="3">
        <f>'Data Tables (M)'!B79-'Data Tables (M) cb_zip'!B79</f>
        <v>1.3752289760873282E-3</v>
      </c>
      <c r="C79" s="3">
        <f>'Data Tables (M)'!C79-'Data Tables (M) cb_zip'!C79</f>
        <v>3.2920754989618217E-5</v>
      </c>
      <c r="D79" s="3">
        <f>'Data Tables (M)'!D79-'Data Tables (M) cb_zip'!D79</f>
        <v>-2.3429855468748428E-4</v>
      </c>
      <c r="E79" s="3">
        <f>'Data Tables (M)'!E79-'Data Tables (M) cb_zip'!E79</f>
        <v>2.8515453988120498E-4</v>
      </c>
      <c r="F79" s="3">
        <f>'Data Tables (M)'!F79-'Data Tables (M) cb_zip'!F79</f>
        <v>-7.3996983900315172E-5</v>
      </c>
      <c r="G79" s="3">
        <f>'Data Tables (M)'!G79-'Data Tables (M) cb_zip'!G79</f>
        <v>6.0405719412415237E-4</v>
      </c>
      <c r="H79" s="3">
        <f>'Data Tables (M)'!H79-'Data Tables (M) cb_zip'!H79</f>
        <v>1.2524551769388381E-4</v>
      </c>
      <c r="I79" s="3">
        <f>'Data Tables (M)'!I79-'Data Tables (M) cb_zip'!I79</f>
        <v>0</v>
      </c>
      <c r="J79" s="3">
        <f>'Data Tables (M)'!J79-'Data Tables (M) cb_zip'!J79</f>
        <v>0</v>
      </c>
      <c r="K79" s="3">
        <f>'Data Tables (M)'!K79-'Data Tables (M) cb_zip'!K79</f>
        <v>0</v>
      </c>
      <c r="L79" s="3">
        <f>'Data Tables (M)'!L79-'Data Tables (M) cb_zip'!L79</f>
        <v>-5.1376098721789276E-4</v>
      </c>
      <c r="M79" s="3">
        <f>'Data Tables (M)'!M79-'Data Tables (M) cb_zip'!M79</f>
        <v>0</v>
      </c>
      <c r="N79" s="3">
        <f>'Data Tables (M)'!N79-'Data Tables (M) cb_zip'!N79</f>
        <v>0</v>
      </c>
      <c r="O79" s="3">
        <f>'Data Tables (M)'!O79-'Data Tables (M) cb_zip'!O79</f>
        <v>0</v>
      </c>
      <c r="P79" s="3">
        <f>'Data Tables (M)'!P79-'Data Tables (M) cb_zip'!P79</f>
        <v>0</v>
      </c>
      <c r="Q79" s="3">
        <f>'Data Tables (M)'!Q79-'Data Tables (M) cb_zip'!Q79</f>
        <v>2.4444149488545008E-4</v>
      </c>
      <c r="R79" s="3">
        <f>'Data Tables (M)'!R79-'Data Tables (M) cb_zip'!R79</f>
        <v>0</v>
      </c>
      <c r="S79" s="3">
        <f>'Data Tables (M)'!S79-'Data Tables (M) cb_zip'!S79</f>
        <v>0</v>
      </c>
      <c r="T79" s="3">
        <f>'Data Tables (M)'!T79-'Data Tables (M) cb_zip'!T79</f>
        <v>0</v>
      </c>
      <c r="U79" s="3">
        <f>'Data Tables (M)'!U79-'Data Tables (M) cb_zip'!U79</f>
        <v>0</v>
      </c>
      <c r="V79" s="3">
        <f>'Data Tables (M)'!V79-'Data Tables (M) cb_zip'!V79</f>
        <v>-1.4805561139183965E-2</v>
      </c>
    </row>
    <row r="80" spans="1:22" x14ac:dyDescent="0.35">
      <c r="A80" t="str">
        <f>'Data Tables (M) no_cb_zip'!A80</f>
        <v>Expected Gross Loss Impact</v>
      </c>
      <c r="B80" s="3">
        <f>'Data Tables (M)'!B80-'Data Tables (M) cb_zip'!B80</f>
        <v>-2.7140262359059975E-4</v>
      </c>
      <c r="C80" s="3">
        <f>'Data Tables (M)'!C80-'Data Tables (M) cb_zip'!C80</f>
        <v>-8.2136603300322908E-5</v>
      </c>
      <c r="D80" s="3">
        <f>'Data Tables (M)'!D80-'Data Tables (M) cb_zip'!D80</f>
        <v>-2.2211344984596204E-3</v>
      </c>
      <c r="E80" s="3">
        <f>'Data Tables (M)'!E80-'Data Tables (M) cb_zip'!E80</f>
        <v>1.0028044923839075E-3</v>
      </c>
      <c r="F80" s="3">
        <f>'Data Tables (M)'!F80-'Data Tables (M) cb_zip'!F80</f>
        <v>8.343726250704675E-4</v>
      </c>
      <c r="G80" s="3">
        <f>'Data Tables (M)'!G80-'Data Tables (M) cb_zip'!G80</f>
        <v>1.8188676710586549E-3</v>
      </c>
      <c r="H80" s="3">
        <f>'Data Tables (M)'!H80-'Data Tables (M) cb_zip'!H80</f>
        <v>8.8115755242701432E-5</v>
      </c>
      <c r="I80" s="3">
        <f>'Data Tables (M)'!I80-'Data Tables (M) cb_zip'!I80</f>
        <v>0</v>
      </c>
      <c r="J80" s="3">
        <f>'Data Tables (M)'!J80-'Data Tables (M) cb_zip'!J80</f>
        <v>2.886579864025407E-15</v>
      </c>
      <c r="K80" s="3">
        <f>'Data Tables (M)'!K80-'Data Tables (M) cb_zip'!K80</f>
        <v>0</v>
      </c>
      <c r="L80" s="3">
        <f>'Data Tables (M)'!L80-'Data Tables (M) cb_zip'!L80</f>
        <v>-9.2764080767293589E-4</v>
      </c>
      <c r="M80" s="3">
        <f>'Data Tables (M)'!M80-'Data Tables (M) cb_zip'!M80</f>
        <v>0</v>
      </c>
      <c r="N80" s="3">
        <f>'Data Tables (M)'!N80-'Data Tables (M) cb_zip'!N80</f>
        <v>-5.9952043329758453E-15</v>
      </c>
      <c r="O80" s="3">
        <f>'Data Tables (M)'!O80-'Data Tables (M) cb_zip'!O80</f>
        <v>0</v>
      </c>
      <c r="P80" s="3">
        <f>'Data Tables (M)'!P80-'Data Tables (M) cb_zip'!P80</f>
        <v>0</v>
      </c>
      <c r="Q80" s="3">
        <f>'Data Tables (M)'!Q80-'Data Tables (M) cb_zip'!Q80</f>
        <v>-1.4636502815139618E-3</v>
      </c>
      <c r="R80" s="3">
        <f>'Data Tables (M)'!R80-'Data Tables (M) cb_zip'!R80</f>
        <v>0</v>
      </c>
      <c r="S80" s="3">
        <f>'Data Tables (M)'!S80-'Data Tables (M) cb_zip'!S80</f>
        <v>0</v>
      </c>
      <c r="T80" s="3">
        <f>'Data Tables (M)'!T80-'Data Tables (M) cb_zip'!T80</f>
        <v>-1.6875389974302379E-14</v>
      </c>
      <c r="U80" s="3">
        <f>'Data Tables (M)'!U80-'Data Tables (M) cb_zip'!U80</f>
        <v>0</v>
      </c>
      <c r="V80" s="3">
        <f>'Data Tables (M)'!V80-'Data Tables (M) cb_zip'!V80</f>
        <v>-2.9817575982713507E-3</v>
      </c>
    </row>
    <row r="81" spans="1:22" x14ac:dyDescent="0.35">
      <c r="A81" t="str">
        <f>'Data Tables (M) no_cb_zip'!A81</f>
        <v>Recovery Impact</v>
      </c>
      <c r="B81" s="3">
        <f>'Data Tables (M)'!B81-'Data Tables (M) cb_zip'!B81</f>
        <v>6.4637845580550746E-3</v>
      </c>
      <c r="C81" s="3">
        <f>'Data Tables (M)'!C81-'Data Tables (M) cb_zip'!C81</f>
        <v>3.3343370176459608E-3</v>
      </c>
      <c r="D81" s="3">
        <f>'Data Tables (M)'!D81-'Data Tables (M) cb_zip'!D81</f>
        <v>4.2876678234400334E-3</v>
      </c>
      <c r="E81" s="3">
        <f>'Data Tables (M)'!E81-'Data Tables (M) cb_zip'!E81</f>
        <v>2.0681111974951705E-5</v>
      </c>
      <c r="F81" s="3">
        <f>'Data Tables (M)'!F81-'Data Tables (M) cb_zip'!F81</f>
        <v>-8.7294260126959955E-3</v>
      </c>
      <c r="G81" s="3">
        <f>'Data Tables (M)'!G81-'Data Tables (M) cb_zip'!G81</f>
        <v>1.2557529305630144E-2</v>
      </c>
      <c r="H81" s="3">
        <f>'Data Tables (M)'!H81-'Data Tables (M) cb_zip'!H81</f>
        <v>-1.2555335176323013E-4</v>
      </c>
      <c r="I81" s="3">
        <f>'Data Tables (M)'!I81-'Data Tables (M) cb_zip'!I81</f>
        <v>0</v>
      </c>
      <c r="J81" s="3">
        <f>'Data Tables (M)'!J81-'Data Tables (M) cb_zip'!J81</f>
        <v>-5.3290705182007514E-15</v>
      </c>
      <c r="K81" s="3">
        <f>'Data Tables (M)'!K81-'Data Tables (M) cb_zip'!K81</f>
        <v>0</v>
      </c>
      <c r="L81" s="3">
        <f>'Data Tables (M)'!L81-'Data Tables (M) cb_zip'!L81</f>
        <v>-8.0501569546997942E-4</v>
      </c>
      <c r="M81" s="3">
        <f>'Data Tables (M)'!M81-'Data Tables (M) cb_zip'!M81</f>
        <v>0</v>
      </c>
      <c r="N81" s="3">
        <f>'Data Tables (M)'!N81-'Data Tables (M) cb_zip'!N81</f>
        <v>-3.9968028886505635E-15</v>
      </c>
      <c r="O81" s="3">
        <f>'Data Tables (M)'!O81-'Data Tables (M) cb_zip'!O81</f>
        <v>0</v>
      </c>
      <c r="P81" s="3">
        <f>'Data Tables (M)'!P81-'Data Tables (M) cb_zip'!P81</f>
        <v>-1.6723792651727187E-3</v>
      </c>
      <c r="Q81" s="3">
        <f>'Data Tables (M)'!Q81-'Data Tables (M) cb_zip'!Q81</f>
        <v>-2.3632789062260073E-3</v>
      </c>
      <c r="R81" s="3">
        <f>'Data Tables (M)'!R81-'Data Tables (M) cb_zip'!R81</f>
        <v>-1.0518224556976818E-4</v>
      </c>
      <c r="S81" s="3">
        <f>'Data Tables (M)'!S81-'Data Tables (M) cb_zip'!S81</f>
        <v>0</v>
      </c>
      <c r="T81" s="3">
        <f>'Data Tables (M)'!T81-'Data Tables (M) cb_zip'!T81</f>
        <v>0</v>
      </c>
      <c r="U81" s="3">
        <f>'Data Tables (M)'!U81-'Data Tables (M) cb_zip'!U81</f>
        <v>-2.1547877205190247E-3</v>
      </c>
      <c r="V81" s="3">
        <f>'Data Tables (M)'!V81-'Data Tables (M) cb_zip'!V81</f>
        <v>1.9197948770822038E-2</v>
      </c>
    </row>
    <row r="82" spans="1:22" x14ac:dyDescent="0.35">
      <c r="A82" t="str">
        <f>'Data Tables (M) no_cb_zip'!A82</f>
        <v>LTV Impact</v>
      </c>
      <c r="B82" s="3">
        <f>'Data Tables (M)'!B82-'Data Tables (M) cb_zip'!B82</f>
        <v>-2.1775541862889547E-3</v>
      </c>
      <c r="C82" s="3">
        <f>'Data Tables (M)'!C82-'Data Tables (M) cb_zip'!C82</f>
        <v>-7.5951271414798072E-4</v>
      </c>
      <c r="D82" s="3">
        <f>'Data Tables (M)'!D82-'Data Tables (M) cb_zip'!D82</f>
        <v>9.2397184670778287E-4</v>
      </c>
      <c r="E82" s="3">
        <f>'Data Tables (M)'!E82-'Data Tables (M) cb_zip'!E82</f>
        <v>7.2173891167004456E-4</v>
      </c>
      <c r="F82" s="3">
        <f>'Data Tables (M)'!F82-'Data Tables (M) cb_zip'!F82</f>
        <v>8.7396224150371182E-4</v>
      </c>
      <c r="G82" s="3">
        <f>'Data Tables (M)'!G82-'Data Tables (M) cb_zip'!G82</f>
        <v>1.5649935260810821E-3</v>
      </c>
      <c r="H82" s="3">
        <f>'Data Tables (M)'!H82-'Data Tables (M) cb_zip'!H82</f>
        <v>1.148821105389608E-3</v>
      </c>
      <c r="I82" s="3">
        <f>'Data Tables (M)'!I82-'Data Tables (M) cb_zip'!I82</f>
        <v>0</v>
      </c>
      <c r="J82" s="3">
        <f>'Data Tables (M)'!J82-'Data Tables (M) cb_zip'!J82</f>
        <v>0</v>
      </c>
      <c r="K82" s="3">
        <f>'Data Tables (M)'!K82-'Data Tables (M) cb_zip'!K82</f>
        <v>4.9499858406321096E-4</v>
      </c>
      <c r="L82" s="3">
        <f>'Data Tables (M)'!L82-'Data Tables (M) cb_zip'!L82</f>
        <v>-1.1952206921446162E-3</v>
      </c>
      <c r="M82" s="3">
        <f>'Data Tables (M)'!M82-'Data Tables (M) cb_zip'!M82</f>
        <v>-6.4493359874795431E-5</v>
      </c>
      <c r="N82" s="3">
        <f>'Data Tables (M)'!N82-'Data Tables (M) cb_zip'!N82</f>
        <v>1.7548291556757079E-5</v>
      </c>
      <c r="O82" s="3">
        <f>'Data Tables (M)'!O82-'Data Tables (M) cb_zip'!O82</f>
        <v>1.7671642409591293E-3</v>
      </c>
      <c r="P82" s="3">
        <f>'Data Tables (M)'!P82-'Data Tables (M) cb_zip'!P82</f>
        <v>3.6844863608997969E-6</v>
      </c>
      <c r="Q82" s="3">
        <f>'Data Tables (M)'!Q82-'Data Tables (M) cb_zip'!Q82</f>
        <v>-1.0279262983123871E-3</v>
      </c>
      <c r="R82" s="3">
        <f>'Data Tables (M)'!R82-'Data Tables (M) cb_zip'!R82</f>
        <v>0</v>
      </c>
      <c r="S82" s="3">
        <f>'Data Tables (M)'!S82-'Data Tables (M) cb_zip'!S82</f>
        <v>0</v>
      </c>
      <c r="T82" s="3">
        <f>'Data Tables (M)'!T82-'Data Tables (M) cb_zip'!T82</f>
        <v>-3.9968028886505635E-15</v>
      </c>
      <c r="U82" s="3">
        <f>'Data Tables (M)'!U82-'Data Tables (M) cb_zip'!U82</f>
        <v>0</v>
      </c>
      <c r="V82" s="3">
        <f>'Data Tables (M)'!V82-'Data Tables (M) cb_zip'!V82</f>
        <v>-2.4387064759693544E-2</v>
      </c>
    </row>
    <row r="83" spans="1:22" x14ac:dyDescent="0.35">
      <c r="A83" t="str">
        <f>'Data Tables (M) no_cb_zip'!A83</f>
        <v>APR Impact</v>
      </c>
      <c r="B83" s="3">
        <f>'Data Tables (M)'!B83-'Data Tables (M) cb_zip'!B83</f>
        <v>-1.2692480744330992E-3</v>
      </c>
      <c r="C83" s="3">
        <f>'Data Tables (M)'!C83-'Data Tables (M) cb_zip'!C83</f>
        <v>-3.5740144615670211E-4</v>
      </c>
      <c r="D83" s="3">
        <f>'Data Tables (M)'!D83-'Data Tables (M) cb_zip'!D83</f>
        <v>1.0006391146100135E-4</v>
      </c>
      <c r="E83" s="3">
        <f>'Data Tables (M)'!E83-'Data Tables (M) cb_zip'!E83</f>
        <v>3.1530736923640612E-4</v>
      </c>
      <c r="F83" s="3">
        <f>'Data Tables (M)'!F83-'Data Tables (M) cb_zip'!F83</f>
        <v>-9.2464653057747204E-4</v>
      </c>
      <c r="G83" s="3">
        <f>'Data Tables (M)'!G83-'Data Tables (M) cb_zip'!G83</f>
        <v>1.0849413337036123E-3</v>
      </c>
      <c r="H83" s="3">
        <f>'Data Tables (M)'!H83-'Data Tables (M) cb_zip'!H83</f>
        <v>1.9596740416913394E-4</v>
      </c>
      <c r="I83" s="3">
        <f>'Data Tables (M)'!I83-'Data Tables (M) cb_zip'!I83</f>
        <v>8.0491169285323849E-16</v>
      </c>
      <c r="J83" s="3">
        <f>'Data Tables (M)'!J83-'Data Tables (M) cb_zip'!J83</f>
        <v>-3.0531133177191805E-16</v>
      </c>
      <c r="K83" s="3">
        <f>'Data Tables (M)'!K83-'Data Tables (M) cb_zip'!K83</f>
        <v>-4.9960036108132044E-16</v>
      </c>
      <c r="L83" s="3">
        <f>'Data Tables (M)'!L83-'Data Tables (M) cb_zip'!L83</f>
        <v>4.529978919613209E-4</v>
      </c>
      <c r="M83" s="3">
        <f>'Data Tables (M)'!M83-'Data Tables (M) cb_zip'!M83</f>
        <v>-4.9960036108132044E-16</v>
      </c>
      <c r="N83" s="3">
        <f>'Data Tables (M)'!N83-'Data Tables (M) cb_zip'!N83</f>
        <v>-1.672273430841642E-15</v>
      </c>
      <c r="O83" s="3">
        <f>'Data Tables (M)'!O83-'Data Tables (M) cb_zip'!O83</f>
        <v>4.3021142204224816E-16</v>
      </c>
      <c r="P83" s="3">
        <f>'Data Tables (M)'!P83-'Data Tables (M) cb_zip'!P83</f>
        <v>1.6306400674181987E-15</v>
      </c>
      <c r="Q83" s="3">
        <f>'Data Tables (M)'!Q83-'Data Tables (M) cb_zip'!Q83</f>
        <v>-1.1733381445472035E-3</v>
      </c>
      <c r="R83" s="3">
        <f>'Data Tables (M)'!R83-'Data Tables (M) cb_zip'!R83</f>
        <v>-1.9984014443252818E-15</v>
      </c>
      <c r="S83" s="3">
        <f>'Data Tables (M)'!S83-'Data Tables (M) cb_zip'!S83</f>
        <v>-2.4980018054066022E-15</v>
      </c>
      <c r="T83" s="3">
        <f>'Data Tables (M)'!T83-'Data Tables (M) cb_zip'!T83</f>
        <v>-2.3869795029440866E-15</v>
      </c>
      <c r="U83" s="3">
        <f>'Data Tables (M)'!U83-'Data Tables (M) cb_zip'!U83</f>
        <v>1.915134717478395E-15</v>
      </c>
      <c r="V83" s="3">
        <f>'Data Tables (M)'!V83-'Data Tables (M) cb_zip'!V83</f>
        <v>-2.6391620759483869E-3</v>
      </c>
    </row>
    <row r="84" spans="1:22" x14ac:dyDescent="0.35">
      <c r="A84" t="str">
        <f>'Data Tables (M) no_cb_zip'!A84</f>
        <v>RAGU Score</v>
      </c>
      <c r="B84" s="3">
        <f>'Data Tables (M)'!B84-'Data Tables (M) cb_zip'!B84</f>
        <v>4.1208086499011642E-3</v>
      </c>
      <c r="C84" s="3">
        <f>'Data Tables (M)'!C84-'Data Tables (M) cb_zip'!C84</f>
        <v>2.16820700899234E-3</v>
      </c>
      <c r="D84" s="3">
        <f>'Data Tables (M)'!D84-'Data Tables (M) cb_zip'!D84</f>
        <v>2.856270528496907E-3</v>
      </c>
      <c r="E84" s="3">
        <f>'Data Tables (M)'!E84-'Data Tables (M) cb_zip'!E84</f>
        <v>2.3456864250874787E-3</v>
      </c>
      <c r="F84" s="3">
        <f>'Data Tables (M)'!F84-'Data Tables (M) cb_zip'!F84</f>
        <v>-8.0197346605928033E-3</v>
      </c>
      <c r="G84" s="3">
        <f>'Data Tables (M)'!G84-'Data Tables (M) cb_zip'!G84</f>
        <v>1.7630389030586002E-2</v>
      </c>
      <c r="H84" s="3">
        <f>'Data Tables (M)'!H84-'Data Tables (M) cb_zip'!H84</f>
        <v>1.4325964307886352E-3</v>
      </c>
      <c r="I84" s="3">
        <f>'Data Tables (M)'!I84-'Data Tables (M) cb_zip'!I84</f>
        <v>0</v>
      </c>
      <c r="J84" s="3">
        <f>'Data Tables (M)'!J84-'Data Tables (M) cb_zip'!J84</f>
        <v>0</v>
      </c>
      <c r="K84" s="3">
        <f>'Data Tables (M)'!K84-'Data Tables (M) cb_zip'!K84</f>
        <v>4.9499858408807995E-4</v>
      </c>
      <c r="L84" s="3">
        <f>'Data Tables (M)'!L84-'Data Tables (M) cb_zip'!L84</f>
        <v>-2.9886402905106024E-3</v>
      </c>
      <c r="M84" s="3">
        <f>'Data Tables (M)'!M84-'Data Tables (M) cb_zip'!M84</f>
        <v>-6.4493359900552605E-5</v>
      </c>
      <c r="N84" s="3">
        <f>'Data Tables (M)'!N84-'Data Tables (M) cb_zip'!N84</f>
        <v>1.754829162337046E-5</v>
      </c>
      <c r="O84" s="3">
        <f>'Data Tables (M)'!O84-'Data Tables (M) cb_zip'!O84</f>
        <v>1.7671642410164168E-3</v>
      </c>
      <c r="P84" s="3">
        <f>'Data Tables (M)'!P84-'Data Tables (M) cb_zip'!P84</f>
        <v>-1.6686947786865858E-3</v>
      </c>
      <c r="Q84" s="3">
        <f>'Data Tables (M)'!Q84-'Data Tables (M) cb_zip'!Q84</f>
        <v>-5.7837521358123922E-3</v>
      </c>
      <c r="R84" s="3">
        <f>'Data Tables (M)'!R84-'Data Tables (M) cb_zip'!R84</f>
        <v>-1.0518224561906209E-4</v>
      </c>
      <c r="S84" s="3">
        <f>'Data Tables (M)'!S84-'Data Tables (M) cb_zip'!S84</f>
        <v>0</v>
      </c>
      <c r="T84" s="3">
        <f>'Data Tables (M)'!T84-'Data Tables (M) cb_zip'!T84</f>
        <v>0</v>
      </c>
      <c r="U84" s="3">
        <f>'Data Tables (M)'!U84-'Data Tables (M) cb_zip'!U84</f>
        <v>-2.1547877205136956E-3</v>
      </c>
      <c r="V84" s="3">
        <f>'Data Tables (M)'!V84-'Data Tables (M) cb_zip'!V84</f>
        <v>-2.561559680219716E-2</v>
      </c>
    </row>
    <row r="85" spans="1:22" x14ac:dyDescent="0.35">
      <c r="A85" t="str">
        <f>'Data Tables (M) no_cb_zip'!A85</f>
        <v>Amount Financed</v>
      </c>
      <c r="B85" s="3">
        <f>'Data Tables (M)'!B85-'Data Tables (M) cb_zip'!B85</f>
        <v>16163.030000001192</v>
      </c>
      <c r="C85" s="3">
        <f>'Data Tables (M)'!C85-'Data Tables (M) cb_zip'!C85</f>
        <v>-39536.420000016689</v>
      </c>
      <c r="D85" s="3">
        <f>'Data Tables (M)'!D85-'Data Tables (M) cb_zip'!D85</f>
        <v>-67308.420000016689</v>
      </c>
      <c r="E85" s="3">
        <f>'Data Tables (M)'!E85-'Data Tables (M) cb_zip'!E85</f>
        <v>-16831.789999991655</v>
      </c>
      <c r="F85" s="3">
        <f>'Data Tables (M)'!F85-'Data Tables (M) cb_zip'!F85</f>
        <v>-67758.839999973774</v>
      </c>
      <c r="G85" s="3">
        <f>'Data Tables (M)'!G85-'Data Tables (M) cb_zip'!G85</f>
        <v>101470.31000000238</v>
      </c>
      <c r="H85" s="3">
        <f>'Data Tables (M)'!H85-'Data Tables (M) cb_zip'!H85</f>
        <v>10782</v>
      </c>
      <c r="I85" s="3">
        <f>'Data Tables (M)'!I85-'Data Tables (M) cb_zip'!I85</f>
        <v>0</v>
      </c>
      <c r="J85" s="3">
        <f>'Data Tables (M)'!J85-'Data Tables (M) cb_zip'!J85</f>
        <v>0</v>
      </c>
      <c r="K85" s="3">
        <f>'Data Tables (M)'!K85-'Data Tables (M) cb_zip'!K85</f>
        <v>0</v>
      </c>
      <c r="L85" s="3">
        <f>'Data Tables (M)'!L85-'Data Tables (M) cb_zip'!L85</f>
        <v>-24121</v>
      </c>
      <c r="M85" s="3">
        <f>'Data Tables (M)'!M85-'Data Tables (M) cb_zip'!M85</f>
        <v>0</v>
      </c>
      <c r="N85" s="3">
        <f>'Data Tables (M)'!N85-'Data Tables (M) cb_zip'!N85</f>
        <v>0</v>
      </c>
      <c r="O85" s="3">
        <f>'Data Tables (M)'!O85-'Data Tables (M) cb_zip'!O85</f>
        <v>0</v>
      </c>
      <c r="P85" s="3">
        <f>'Data Tables (M)'!P85-'Data Tables (M) cb_zip'!P85</f>
        <v>0</v>
      </c>
      <c r="Q85" s="3">
        <f>'Data Tables (M)'!Q85-'Data Tables (M) cb_zip'!Q85</f>
        <v>-42434.140000015497</v>
      </c>
      <c r="R85" s="3">
        <f>'Data Tables (M)'!R85-'Data Tables (M) cb_zip'!R85</f>
        <v>0</v>
      </c>
      <c r="S85" s="3">
        <f>'Data Tables (M)'!S85-'Data Tables (M) cb_zip'!S85</f>
        <v>0</v>
      </c>
      <c r="T85" s="3">
        <f>'Data Tables (M)'!T85-'Data Tables (M) cb_zip'!T85</f>
        <v>0</v>
      </c>
      <c r="U85" s="3">
        <f>'Data Tables (M)'!U85-'Data Tables (M) cb_zip'!U85</f>
        <v>0</v>
      </c>
      <c r="V85" s="3">
        <f>'Data Tables (M)'!V85-'Data Tables (M) cb_zip'!V85</f>
        <v>5938006.3100000024</v>
      </c>
    </row>
    <row r="86" spans="1:22" x14ac:dyDescent="0.35">
      <c r="A86" t="str">
        <f>'Data Tables (M) no_cb_zip'!A86</f>
        <v>Weighted LTV</v>
      </c>
      <c r="B86" s="3">
        <f>'Data Tables (M)'!B86-'Data Tables (M) cb_zip'!B86</f>
        <v>2.475530636278922E-4</v>
      </c>
      <c r="C86" s="3">
        <f>'Data Tables (M)'!C86-'Data Tables (M) cb_zip'!C86</f>
        <v>6.2944715544022145E-5</v>
      </c>
      <c r="D86" s="3">
        <f>'Data Tables (M)'!D86-'Data Tables (M) cb_zip'!D86</f>
        <v>-8.9862965030995667E-5</v>
      </c>
      <c r="E86" s="3">
        <f>'Data Tables (M)'!E86-'Data Tables (M) cb_zip'!E86</f>
        <v>-1.8796923707098401E-5</v>
      </c>
      <c r="F86" s="3">
        <f>'Data Tables (M)'!F86-'Data Tables (M) cb_zip'!F86</f>
        <v>-1.7920192186826611E-5</v>
      </c>
      <c r="G86" s="3">
        <f>'Data Tables (M)'!G86-'Data Tables (M) cb_zip'!G86</f>
        <v>-1.6973445883028404E-5</v>
      </c>
      <c r="H86" s="3">
        <f>'Data Tables (M)'!H86-'Data Tables (M) cb_zip'!H86</f>
        <v>-6.3326641792871285E-5</v>
      </c>
      <c r="I86" s="3">
        <f>'Data Tables (M)'!I86-'Data Tables (M) cb_zip'!I86</f>
        <v>0</v>
      </c>
      <c r="J86" s="3">
        <f>'Data Tables (M)'!J86-'Data Tables (M) cb_zip'!J86</f>
        <v>0</v>
      </c>
      <c r="K86" s="3">
        <f>'Data Tables (M)'!K86-'Data Tables (M) cb_zip'!K86</f>
        <v>-3.4114834061016452E-5</v>
      </c>
      <c r="L86" s="3">
        <f>'Data Tables (M)'!L86-'Data Tables (M) cb_zip'!L86</f>
        <v>4.0009501500959388E-5</v>
      </c>
      <c r="M86" s="3">
        <f>'Data Tables (M)'!M86-'Data Tables (M) cb_zip'!M86</f>
        <v>4.7618440150998254E-6</v>
      </c>
      <c r="N86" s="3">
        <f>'Data Tables (M)'!N86-'Data Tables (M) cb_zip'!N86</f>
        <v>-1.582150079171285E-6</v>
      </c>
      <c r="O86" s="3">
        <f>'Data Tables (M)'!O86-'Data Tables (M) cb_zip'!O86</f>
        <v>-1.2333334900493931E-4</v>
      </c>
      <c r="P86" s="3">
        <f>'Data Tables (M)'!P86-'Data Tables (M) cb_zip'!P86</f>
        <v>-3.2303124486432466E-7</v>
      </c>
      <c r="Q86" s="3">
        <f>'Data Tables (M)'!Q86-'Data Tables (M) cb_zip'!Q86</f>
        <v>5.1135236095900538E-5</v>
      </c>
      <c r="R86" s="3">
        <f>'Data Tables (M)'!R86-'Data Tables (M) cb_zip'!R86</f>
        <v>0</v>
      </c>
      <c r="S86" s="3">
        <f>'Data Tables (M)'!S86-'Data Tables (M) cb_zip'!S86</f>
        <v>0</v>
      </c>
      <c r="T86" s="3">
        <f>'Data Tables (M)'!T86-'Data Tables (M) cb_zip'!T86</f>
        <v>0</v>
      </c>
      <c r="U86" s="3">
        <f>'Data Tables (M)'!U86-'Data Tables (M) cb_zip'!U86</f>
        <v>0</v>
      </c>
      <c r="V86" s="3">
        <f>'Data Tables (M)'!V86-'Data Tables (M) cb_zip'!V86</f>
        <v>2.4171815578259981E-3</v>
      </c>
    </row>
    <row r="87" spans="1:22" x14ac:dyDescent="0.35">
      <c r="A87" t="str">
        <f>'Data Tables (M) no_cb_zip'!A87</f>
        <v>Weighted APR</v>
      </c>
      <c r="B87" s="3">
        <f>'Data Tables (M)'!B87-'Data Tables (M) cb_zip'!B87</f>
        <v>2.1460467576089881E-5</v>
      </c>
      <c r="C87" s="3">
        <f>'Data Tables (M)'!C87-'Data Tables (M) cb_zip'!C87</f>
        <v>5.1713064476988091E-6</v>
      </c>
      <c r="D87" s="3">
        <f>'Data Tables (M)'!D87-'Data Tables (M) cb_zip'!D87</f>
        <v>-2.8895913466997492E-6</v>
      </c>
      <c r="E87" s="3">
        <f>'Data Tables (M)'!E87-'Data Tables (M) cb_zip'!E87</f>
        <v>-3.4528526036137208E-6</v>
      </c>
      <c r="F87" s="3">
        <f>'Data Tables (M)'!F87-'Data Tables (M) cb_zip'!F87</f>
        <v>1.4410361314304287E-5</v>
      </c>
      <c r="G87" s="3">
        <f>'Data Tables (M)'!G87-'Data Tables (M) cb_zip'!G87</f>
        <v>-1.2349275157891304E-5</v>
      </c>
      <c r="H87" s="3">
        <f>'Data Tables (M)'!H87-'Data Tables (M) cb_zip'!H87</f>
        <v>-2.4726675032227252E-6</v>
      </c>
      <c r="I87" s="3">
        <f>'Data Tables (M)'!I87-'Data Tables (M) cb_zip'!I87</f>
        <v>0</v>
      </c>
      <c r="J87" s="3">
        <f>'Data Tables (M)'!J87-'Data Tables (M) cb_zip'!J87</f>
        <v>0</v>
      </c>
      <c r="K87" s="3">
        <f>'Data Tables (M)'!K87-'Data Tables (M) cb_zip'!K87</f>
        <v>0</v>
      </c>
      <c r="L87" s="3">
        <f>'Data Tables (M)'!L87-'Data Tables (M) cb_zip'!L87</f>
        <v>-7.8184401587078067E-6</v>
      </c>
      <c r="M87" s="3">
        <f>'Data Tables (M)'!M87-'Data Tables (M) cb_zip'!M87</f>
        <v>0</v>
      </c>
      <c r="N87" s="3">
        <f>'Data Tables (M)'!N87-'Data Tables (M) cb_zip'!N87</f>
        <v>0</v>
      </c>
      <c r="O87" s="3">
        <f>'Data Tables (M)'!O87-'Data Tables (M) cb_zip'!O87</f>
        <v>0</v>
      </c>
      <c r="P87" s="3">
        <f>'Data Tables (M)'!P87-'Data Tables (M) cb_zip'!P87</f>
        <v>0</v>
      </c>
      <c r="Q87" s="3">
        <f>'Data Tables (M)'!Q87-'Data Tables (M) cb_zip'!Q87</f>
        <v>1.574116167982198E-5</v>
      </c>
      <c r="R87" s="3">
        <f>'Data Tables (M)'!R87-'Data Tables (M) cb_zip'!R87</f>
        <v>0</v>
      </c>
      <c r="S87" s="3">
        <f>'Data Tables (M)'!S87-'Data Tables (M) cb_zip'!S87</f>
        <v>0</v>
      </c>
      <c r="T87" s="3">
        <f>'Data Tables (M)'!T87-'Data Tables (M) cb_zip'!T87</f>
        <v>0</v>
      </c>
      <c r="U87" s="3">
        <f>'Data Tables (M)'!U87-'Data Tables (M) cb_zip'!U87</f>
        <v>0</v>
      </c>
      <c r="V87" s="3">
        <f>'Data Tables (M)'!V87-'Data Tables (M) cb_zip'!V87</f>
        <v>6.5572991946816206E-5</v>
      </c>
    </row>
    <row r="88" spans="1:22" x14ac:dyDescent="0.35">
      <c r="A88">
        <f>'Data Tables (M) no_cb_zip'!A88</f>
        <v>0</v>
      </c>
      <c r="B88" s="3">
        <f>'Data Tables (M)'!B88-'Data Tables (M) cb_zip'!B88</f>
        <v>0</v>
      </c>
      <c r="C88" s="3">
        <f>'Data Tables (M)'!C88-'Data Tables (M) cb_zip'!C88</f>
        <v>0</v>
      </c>
      <c r="D88" s="3">
        <f>'Data Tables (M)'!D88-'Data Tables (M) cb_zip'!D88</f>
        <v>0</v>
      </c>
      <c r="E88" s="3">
        <f>'Data Tables (M)'!E88-'Data Tables (M) cb_zip'!E88</f>
        <v>0</v>
      </c>
      <c r="F88" s="3">
        <f>'Data Tables (M)'!F88-'Data Tables (M) cb_zip'!F88</f>
        <v>0</v>
      </c>
      <c r="G88" s="3">
        <f>'Data Tables (M)'!G88-'Data Tables (M) cb_zip'!G88</f>
        <v>0</v>
      </c>
      <c r="H88" s="3">
        <f>'Data Tables (M)'!H88-'Data Tables (M) cb_zip'!H88</f>
        <v>0</v>
      </c>
      <c r="I88" s="3">
        <f>'Data Tables (M)'!I88-'Data Tables (M) cb_zip'!I88</f>
        <v>0</v>
      </c>
      <c r="J88" s="3">
        <f>'Data Tables (M)'!J88-'Data Tables (M) cb_zip'!J88</f>
        <v>0</v>
      </c>
      <c r="K88" s="3">
        <f>'Data Tables (M)'!K88-'Data Tables (M) cb_zip'!K88</f>
        <v>0</v>
      </c>
      <c r="L88" s="3">
        <f>'Data Tables (M)'!L88-'Data Tables (M) cb_zip'!L88</f>
        <v>0</v>
      </c>
      <c r="M88" s="3">
        <f>'Data Tables (M)'!M88-'Data Tables (M) cb_zip'!M88</f>
        <v>0</v>
      </c>
      <c r="N88" s="3">
        <f>'Data Tables (M)'!N88-'Data Tables (M) cb_zip'!N88</f>
        <v>0</v>
      </c>
      <c r="O88" s="3">
        <f>'Data Tables (M)'!O88-'Data Tables (M) cb_zip'!O88</f>
        <v>0</v>
      </c>
      <c r="P88" s="3">
        <f>'Data Tables (M)'!P88-'Data Tables (M) cb_zip'!P88</f>
        <v>0</v>
      </c>
      <c r="Q88" s="3">
        <f>'Data Tables (M)'!Q88-'Data Tables (M) cb_zip'!Q88</f>
        <v>0</v>
      </c>
      <c r="R88" s="3">
        <f>'Data Tables (M)'!R88-'Data Tables (M) cb_zip'!R88</f>
        <v>0</v>
      </c>
      <c r="S88" s="3">
        <f>'Data Tables (M)'!S88-'Data Tables (M) cb_zip'!S88</f>
        <v>0</v>
      </c>
      <c r="T88" s="3">
        <f>'Data Tables (M)'!T88-'Data Tables (M) cb_zip'!T88</f>
        <v>0</v>
      </c>
      <c r="U88" s="3">
        <f>'Data Tables (M)'!U88-'Data Tables (M) cb_zip'!U88</f>
        <v>0</v>
      </c>
      <c r="V88" s="3">
        <f>'Data Tables (M)'!V88-'Data Tables (M) cb_zip'!V88</f>
        <v>0</v>
      </c>
    </row>
    <row r="89" spans="1:22" x14ac:dyDescent="0.35">
      <c r="A89" t="str">
        <f>'Data Tables (M) no_cb_zip'!A89</f>
        <v>POS</v>
      </c>
      <c r="B89" s="3" t="e">
        <f>'Data Tables (M)'!B89-'Data Tables (M) cb_zip'!B89</f>
        <v>#VALUE!</v>
      </c>
      <c r="C89" s="3" t="e">
        <f>'Data Tables (M)'!C89-'Data Tables (M) cb_zip'!C89</f>
        <v>#VALUE!</v>
      </c>
      <c r="D89" s="3" t="e">
        <f>'Data Tables (M)'!D89-'Data Tables (M) cb_zip'!D89</f>
        <v>#VALUE!</v>
      </c>
      <c r="E89" s="3" t="e">
        <f>'Data Tables (M)'!E89-'Data Tables (M) cb_zip'!E89</f>
        <v>#VALUE!</v>
      </c>
      <c r="F89" s="3" t="e">
        <f>'Data Tables (M)'!F89-'Data Tables (M) cb_zip'!F89</f>
        <v>#VALUE!</v>
      </c>
      <c r="G89" s="3" t="e">
        <f>'Data Tables (M)'!G89-'Data Tables (M) cb_zip'!G89</f>
        <v>#VALUE!</v>
      </c>
      <c r="H89" s="3" t="e">
        <f>'Data Tables (M)'!H89-'Data Tables (M) cb_zip'!H89</f>
        <v>#VALUE!</v>
      </c>
      <c r="I89" s="3" t="e">
        <f>'Data Tables (M)'!I89-'Data Tables (M) cb_zip'!I89</f>
        <v>#VALUE!</v>
      </c>
      <c r="J89" s="3" t="e">
        <f>'Data Tables (M)'!J89-'Data Tables (M) cb_zip'!J89</f>
        <v>#VALUE!</v>
      </c>
      <c r="K89" s="3" t="e">
        <f>'Data Tables (M)'!K89-'Data Tables (M) cb_zip'!K89</f>
        <v>#VALUE!</v>
      </c>
      <c r="L89" s="3" t="e">
        <f>'Data Tables (M)'!L89-'Data Tables (M) cb_zip'!L89</f>
        <v>#VALUE!</v>
      </c>
      <c r="M89" s="3" t="e">
        <f>'Data Tables (M)'!M89-'Data Tables (M) cb_zip'!M89</f>
        <v>#VALUE!</v>
      </c>
      <c r="N89" s="3" t="e">
        <f>'Data Tables (M)'!N89-'Data Tables (M) cb_zip'!N89</f>
        <v>#VALUE!</v>
      </c>
      <c r="O89" s="3" t="e">
        <f>'Data Tables (M)'!O89-'Data Tables (M) cb_zip'!O89</f>
        <v>#VALUE!</v>
      </c>
      <c r="P89" s="3" t="e">
        <f>'Data Tables (M)'!P89-'Data Tables (M) cb_zip'!P89</f>
        <v>#VALUE!</v>
      </c>
      <c r="Q89" s="3" t="e">
        <f>'Data Tables (M)'!Q89-'Data Tables (M) cb_zip'!Q89</f>
        <v>#VALUE!</v>
      </c>
      <c r="R89" s="3" t="e">
        <f>'Data Tables (M)'!R89-'Data Tables (M) cb_zip'!R89</f>
        <v>#VALUE!</v>
      </c>
      <c r="S89" s="3" t="e">
        <f>'Data Tables (M)'!S89-'Data Tables (M) cb_zip'!S89</f>
        <v>#VALUE!</v>
      </c>
      <c r="T89" s="3" t="e">
        <f>'Data Tables (M)'!T89-'Data Tables (M) cb_zip'!T89</f>
        <v>#VALUE!</v>
      </c>
      <c r="U89" s="3" t="e">
        <f>'Data Tables (M)'!U89-'Data Tables (M) cb_zip'!U89</f>
        <v>#VALUE!</v>
      </c>
      <c r="V89" s="3" t="e">
        <f>'Data Tables (M)'!V89-'Data Tables (M) cb_zip'!V89</f>
        <v>#VALUE!</v>
      </c>
    </row>
    <row r="90" spans="1:22" x14ac:dyDescent="0.35">
      <c r="A90" t="str">
        <f>'Data Tables (M) no_cb_zip'!A90</f>
        <v>Model Score</v>
      </c>
      <c r="B90" s="3">
        <f>'Data Tables (M)'!B90-'Data Tables (M) cb_zip'!B90</f>
        <v>7.2464515289993869E-4</v>
      </c>
      <c r="C90" s="3">
        <f>'Data Tables (M)'!C90-'Data Tables (M) cb_zip'!C90</f>
        <v>2.0173692809066779E-4</v>
      </c>
      <c r="D90" s="3">
        <f>'Data Tables (M)'!D90-'Data Tables (M) cb_zip'!D90</f>
        <v>3.2379685620753662E-5</v>
      </c>
      <c r="E90" s="3">
        <f>'Data Tables (M)'!E90-'Data Tables (M) cb_zip'!E90</f>
        <v>2.039985980104575E-4</v>
      </c>
      <c r="F90" s="3">
        <f>'Data Tables (M)'!F90-'Data Tables (M) cb_zip'!F90</f>
        <v>7.0519464912877083E-5</v>
      </c>
      <c r="G90" s="3">
        <f>'Data Tables (M)'!G90-'Data Tables (M) cb_zip'!G90</f>
        <v>1.4786562161361871E-4</v>
      </c>
      <c r="H90" s="3">
        <f>'Data Tables (M)'!H90-'Data Tables (M) cb_zip'!H90</f>
        <v>5.3007144003913709E-5</v>
      </c>
      <c r="I90" s="3">
        <f>'Data Tables (M)'!I90-'Data Tables (M) cb_zip'!I90</f>
        <v>0</v>
      </c>
      <c r="J90" s="3">
        <f>'Data Tables (M)'!J90-'Data Tables (M) cb_zip'!J90</f>
        <v>0</v>
      </c>
      <c r="K90" s="3">
        <f>'Data Tables (M)'!K90-'Data Tables (M) cb_zip'!K90</f>
        <v>0</v>
      </c>
      <c r="L90" s="3">
        <f>'Data Tables (M)'!L90-'Data Tables (M) cb_zip'!L90</f>
        <v>-1.7184029297823145E-4</v>
      </c>
      <c r="M90" s="3">
        <f>'Data Tables (M)'!M90-'Data Tables (M) cb_zip'!M90</f>
        <v>0</v>
      </c>
      <c r="N90" s="3">
        <f>'Data Tables (M)'!N90-'Data Tables (M) cb_zip'!N90</f>
        <v>0</v>
      </c>
      <c r="O90" s="3">
        <f>'Data Tables (M)'!O90-'Data Tables (M) cb_zip'!O90</f>
        <v>0</v>
      </c>
      <c r="P90" s="3">
        <f>'Data Tables (M)'!P90-'Data Tables (M) cb_zip'!P90</f>
        <v>0</v>
      </c>
      <c r="Q90" s="3">
        <f>'Data Tables (M)'!Q90-'Data Tables (M) cb_zip'!Q90</f>
        <v>2.0053405981457217E-4</v>
      </c>
      <c r="R90" s="3">
        <f>'Data Tables (M)'!R90-'Data Tables (M) cb_zip'!R90</f>
        <v>0</v>
      </c>
      <c r="S90" s="3">
        <f>'Data Tables (M)'!S90-'Data Tables (M) cb_zip'!S90</f>
        <v>0</v>
      </c>
      <c r="T90" s="3">
        <f>'Data Tables (M)'!T90-'Data Tables (M) cb_zip'!T90</f>
        <v>0</v>
      </c>
      <c r="U90" s="3">
        <f>'Data Tables (M)'!U90-'Data Tables (M) cb_zip'!U90</f>
        <v>0</v>
      </c>
      <c r="V90" s="3">
        <f>'Data Tables (M)'!V90-'Data Tables (M) cb_zip'!V90</f>
        <v>5.5303246094808856E-3</v>
      </c>
    </row>
    <row r="91" spans="1:22" x14ac:dyDescent="0.35">
      <c r="A91" t="str">
        <f>'Data Tables (M) no_cb_zip'!A91</f>
        <v>Expected Gross Loss Impact</v>
      </c>
      <c r="B91" s="3">
        <f>'Data Tables (M)'!B91-'Data Tables (M) cb_zip'!B91</f>
        <v>-1.8178100948157416E-4</v>
      </c>
      <c r="C91" s="3">
        <f>'Data Tables (M)'!C91-'Data Tables (M) cb_zip'!C91</f>
        <v>-1.4223034680016511E-6</v>
      </c>
      <c r="D91" s="3">
        <f>'Data Tables (M)'!D91-'Data Tables (M) cb_zip'!D91</f>
        <v>-1.1823513584325318E-3</v>
      </c>
      <c r="E91" s="3">
        <f>'Data Tables (M)'!E91-'Data Tables (M) cb_zip'!E91</f>
        <v>6.1974397458597341E-4</v>
      </c>
      <c r="F91" s="3">
        <f>'Data Tables (M)'!F91-'Data Tables (M) cb_zip'!F91</f>
        <v>5.9947209670307977E-4</v>
      </c>
      <c r="G91" s="3">
        <f>'Data Tables (M)'!G91-'Data Tables (M) cb_zip'!G91</f>
        <v>8.6972474634094965E-4</v>
      </c>
      <c r="H91" s="3">
        <f>'Data Tables (M)'!H91-'Data Tables (M) cb_zip'!H91</f>
        <v>2.8758561022135254E-5</v>
      </c>
      <c r="I91" s="3">
        <f>'Data Tables (M)'!I91-'Data Tables (M) cb_zip'!I91</f>
        <v>0</v>
      </c>
      <c r="J91" s="3">
        <f>'Data Tables (M)'!J91-'Data Tables (M) cb_zip'!J91</f>
        <v>0</v>
      </c>
      <c r="K91" s="3">
        <f>'Data Tables (M)'!K91-'Data Tables (M) cb_zip'!K91</f>
        <v>0</v>
      </c>
      <c r="L91" s="3">
        <f>'Data Tables (M)'!L91-'Data Tables (M) cb_zip'!L91</f>
        <v>-4.442874454491097E-4</v>
      </c>
      <c r="M91" s="3">
        <f>'Data Tables (M)'!M91-'Data Tables (M) cb_zip'!M91</f>
        <v>0</v>
      </c>
      <c r="N91" s="3">
        <f>'Data Tables (M)'!N91-'Data Tables (M) cb_zip'!N91</f>
        <v>-3.1086244689504383E-15</v>
      </c>
      <c r="O91" s="3">
        <f>'Data Tables (M)'!O91-'Data Tables (M) cb_zip'!O91</f>
        <v>0</v>
      </c>
      <c r="P91" s="3">
        <f>'Data Tables (M)'!P91-'Data Tables (M) cb_zip'!P91</f>
        <v>0</v>
      </c>
      <c r="Q91" s="3">
        <f>'Data Tables (M)'!Q91-'Data Tables (M) cb_zip'!Q91</f>
        <v>-8.3502807699908921E-4</v>
      </c>
      <c r="R91" s="3">
        <f>'Data Tables (M)'!R91-'Data Tables (M) cb_zip'!R91</f>
        <v>0</v>
      </c>
      <c r="S91" s="3">
        <f>'Data Tables (M)'!S91-'Data Tables (M) cb_zip'!S91</f>
        <v>0</v>
      </c>
      <c r="T91" s="3">
        <f>'Data Tables (M)'!T91-'Data Tables (M) cb_zip'!T91</f>
        <v>-7.9936057773011271E-15</v>
      </c>
      <c r="U91" s="3">
        <f>'Data Tables (M)'!U91-'Data Tables (M) cb_zip'!U91</f>
        <v>-4.4469840314462661E-2</v>
      </c>
      <c r="V91" s="3">
        <f>'Data Tables (M)'!V91-'Data Tables (M) cb_zip'!V91</f>
        <v>-0.13771312099975597</v>
      </c>
    </row>
    <row r="92" spans="1:22" x14ac:dyDescent="0.35">
      <c r="A92" t="str">
        <f>'Data Tables (M) no_cb_zip'!A92</f>
        <v>Recovery Impact</v>
      </c>
      <c r="B92" s="3">
        <f>'Data Tables (M)'!B92-'Data Tables (M) cb_zip'!B92</f>
        <v>3.8869187606278555E-3</v>
      </c>
      <c r="C92" s="3">
        <f>'Data Tables (M)'!C92-'Data Tables (M) cb_zip'!C92</f>
        <v>1.4567870670376681E-3</v>
      </c>
      <c r="D92" s="3">
        <f>'Data Tables (M)'!D92-'Data Tables (M) cb_zip'!D92</f>
        <v>2.2205832250604685E-3</v>
      </c>
      <c r="E92" s="3">
        <f>'Data Tables (M)'!E92-'Data Tables (M) cb_zip'!E92</f>
        <v>-3.3526412615003665E-5</v>
      </c>
      <c r="F92" s="3">
        <f>'Data Tables (M)'!F92-'Data Tables (M) cb_zip'!F92</f>
        <v>-5.1166577107339961E-3</v>
      </c>
      <c r="G92" s="3">
        <f>'Data Tables (M)'!G92-'Data Tables (M) cb_zip'!G92</f>
        <v>7.4484663234040127E-3</v>
      </c>
      <c r="H92" s="3">
        <f>'Data Tables (M)'!H92-'Data Tables (M) cb_zip'!H92</f>
        <v>-3.5916215351150527E-5</v>
      </c>
      <c r="I92" s="3">
        <f>'Data Tables (M)'!I92-'Data Tables (M) cb_zip'!I92</f>
        <v>-1.9984014443252818E-15</v>
      </c>
      <c r="J92" s="3">
        <f>'Data Tables (M)'!J92-'Data Tables (M) cb_zip'!J92</f>
        <v>-6.8833827526759706E-15</v>
      </c>
      <c r="K92" s="3">
        <f>'Data Tables (M)'!K92-'Data Tables (M) cb_zip'!K92</f>
        <v>0</v>
      </c>
      <c r="L92" s="3">
        <f>'Data Tables (M)'!L92-'Data Tables (M) cb_zip'!L92</f>
        <v>-5.6652918790778273E-4</v>
      </c>
      <c r="M92" s="3">
        <f>'Data Tables (M)'!M92-'Data Tables (M) cb_zip'!M92</f>
        <v>0</v>
      </c>
      <c r="N92" s="3">
        <f>'Data Tables (M)'!N92-'Data Tables (M) cb_zip'!N92</f>
        <v>-5.773159728050814E-15</v>
      </c>
      <c r="O92" s="3">
        <f>'Data Tables (M)'!O92-'Data Tables (M) cb_zip'!O92</f>
        <v>5.9952043329758453E-15</v>
      </c>
      <c r="P92" s="3">
        <f>'Data Tables (M)'!P92-'Data Tables (M) cb_zip'!P92</f>
        <v>-7.8998297543697582E-4</v>
      </c>
      <c r="Q92" s="3">
        <f>'Data Tables (M)'!Q92-'Data Tables (M) cb_zip'!Q92</f>
        <v>-1.3129553688480122E-3</v>
      </c>
      <c r="R92" s="3">
        <f>'Data Tables (M)'!R92-'Data Tables (M) cb_zip'!R92</f>
        <v>-5.1743352440070112E-5</v>
      </c>
      <c r="S92" s="3">
        <f>'Data Tables (M)'!S92-'Data Tables (M) cb_zip'!S92</f>
        <v>0</v>
      </c>
      <c r="T92" s="3">
        <f>'Data Tables (M)'!T92-'Data Tables (M) cb_zip'!T92</f>
        <v>0</v>
      </c>
      <c r="U92" s="3">
        <f>'Data Tables (M)'!U92-'Data Tables (M) cb_zip'!U92</f>
        <v>-1.1576620157178752E-3</v>
      </c>
      <c r="V92" s="3">
        <f>'Data Tables (M)'!V92-'Data Tables (M) cb_zip'!V92</f>
        <v>8.7513599027559952E-3</v>
      </c>
    </row>
    <row r="93" spans="1:22" x14ac:dyDescent="0.35">
      <c r="A93" t="str">
        <f>'Data Tables (M) no_cb_zip'!A93</f>
        <v>LTV Impact</v>
      </c>
      <c r="B93" s="3">
        <f>'Data Tables (M)'!B93-'Data Tables (M) cb_zip'!B93</f>
        <v>-1.1357483121121614E-3</v>
      </c>
      <c r="C93" s="3">
        <f>'Data Tables (M)'!C93-'Data Tables (M) cb_zip'!C93</f>
        <v>-6.5103335635807724E-4</v>
      </c>
      <c r="D93" s="3">
        <f>'Data Tables (M)'!D93-'Data Tables (M) cb_zip'!D93</f>
        <v>2.3407453290302804E-4</v>
      </c>
      <c r="E93" s="3">
        <f>'Data Tables (M)'!E93-'Data Tables (M) cb_zip'!E93</f>
        <v>3.3746627495601089E-4</v>
      </c>
      <c r="F93" s="3">
        <f>'Data Tables (M)'!F93-'Data Tables (M) cb_zip'!F93</f>
        <v>9.245174733329975E-6</v>
      </c>
      <c r="G93" s="3">
        <f>'Data Tables (M)'!G93-'Data Tables (M) cb_zip'!G93</f>
        <v>1.6827025404082541E-3</v>
      </c>
      <c r="H93" s="3">
        <f>'Data Tables (M)'!H93-'Data Tables (M) cb_zip'!H93</f>
        <v>7.3249461033286778E-4</v>
      </c>
      <c r="I93" s="3">
        <f>'Data Tables (M)'!I93-'Data Tables (M) cb_zip'!I93</f>
        <v>0</v>
      </c>
      <c r="J93" s="3">
        <f>'Data Tables (M)'!J93-'Data Tables (M) cb_zip'!J93</f>
        <v>5.1070259132757201E-15</v>
      </c>
      <c r="K93" s="3">
        <f>'Data Tables (M)'!K93-'Data Tables (M) cb_zip'!K93</f>
        <v>2.6681604570821804E-4</v>
      </c>
      <c r="L93" s="3">
        <f>'Data Tables (M)'!L93-'Data Tables (M) cb_zip'!L93</f>
        <v>-8.6598518244995759E-4</v>
      </c>
      <c r="M93" s="3">
        <f>'Data Tables (M)'!M93-'Data Tables (M) cb_zip'!M93</f>
        <v>-3.2009009837796754E-5</v>
      </c>
      <c r="N93" s="3">
        <f>'Data Tables (M)'!N93-'Data Tables (M) cb_zip'!N93</f>
        <v>8.007519362918103E-6</v>
      </c>
      <c r="O93" s="3">
        <f>'Data Tables (M)'!O93-'Data Tables (M) cb_zip'!O93</f>
        <v>7.9304298627103087E-4</v>
      </c>
      <c r="P93" s="3">
        <f>'Data Tables (M)'!P93-'Data Tables (M) cb_zip'!P93</f>
        <v>1.7404434229373322E-6</v>
      </c>
      <c r="Q93" s="3">
        <f>'Data Tables (M)'!Q93-'Data Tables (M) cb_zip'!Q93</f>
        <v>-7.4060539704801087E-4</v>
      </c>
      <c r="R93" s="3">
        <f>'Data Tables (M)'!R93-'Data Tables (M) cb_zip'!R93</f>
        <v>-4.8849813083506888E-15</v>
      </c>
      <c r="S93" s="3">
        <f>'Data Tables (M)'!S93-'Data Tables (M) cb_zip'!S93</f>
        <v>0</v>
      </c>
      <c r="T93" s="3">
        <f>'Data Tables (M)'!T93-'Data Tables (M) cb_zip'!T93</f>
        <v>0</v>
      </c>
      <c r="U93" s="3">
        <f>'Data Tables (M)'!U93-'Data Tables (M) cb_zip'!U93</f>
        <v>0</v>
      </c>
      <c r="V93" s="3">
        <f>'Data Tables (M)'!V93-'Data Tables (M) cb_zip'!V93</f>
        <v>-2.6002191050129575E-3</v>
      </c>
    </row>
    <row r="94" spans="1:22" x14ac:dyDescent="0.35">
      <c r="A94" t="str">
        <f>'Data Tables (M) no_cb_zip'!A94</f>
        <v>APR Impact</v>
      </c>
      <c r="B94" s="3">
        <f>'Data Tables (M)'!B94-'Data Tables (M) cb_zip'!B94</f>
        <v>-7.4503177912299545E-4</v>
      </c>
      <c r="C94" s="3">
        <f>'Data Tables (M)'!C94-'Data Tables (M) cb_zip'!C94</f>
        <v>-1.5845061583349973E-4</v>
      </c>
      <c r="D94" s="3">
        <f>'Data Tables (M)'!D94-'Data Tables (M) cb_zip'!D94</f>
        <v>6.9207727110998096E-5</v>
      </c>
      <c r="E94" s="3">
        <f>'Data Tables (M)'!E94-'Data Tables (M) cb_zip'!E94</f>
        <v>1.8963258642946956E-4</v>
      </c>
      <c r="F94" s="3">
        <f>'Data Tables (M)'!F94-'Data Tables (M) cb_zip'!F94</f>
        <v>-5.2096766035095166E-4</v>
      </c>
      <c r="G94" s="3">
        <f>'Data Tables (M)'!G94-'Data Tables (M) cb_zip'!G94</f>
        <v>6.2386850298359886E-4</v>
      </c>
      <c r="H94" s="3">
        <f>'Data Tables (M)'!H94-'Data Tables (M) cb_zip'!H94</f>
        <v>1.1217782836334123E-4</v>
      </c>
      <c r="I94" s="3">
        <f>'Data Tables (M)'!I94-'Data Tables (M) cb_zip'!I94</f>
        <v>3.219646771412954E-15</v>
      </c>
      <c r="J94" s="3">
        <f>'Data Tables (M)'!J94-'Data Tables (M) cb_zip'!J94</f>
        <v>2.733924198139448E-15</v>
      </c>
      <c r="K94" s="3">
        <f>'Data Tables (M)'!K94-'Data Tables (M) cb_zip'!K94</f>
        <v>-1.6930901125533637E-15</v>
      </c>
      <c r="L94" s="3">
        <f>'Data Tables (M)'!L94-'Data Tables (M) cb_zip'!L94</f>
        <v>2.730592698060863E-4</v>
      </c>
      <c r="M94" s="3">
        <f>'Data Tables (M)'!M94-'Data Tables (M) cb_zip'!M94</f>
        <v>-1.7208456881689926E-15</v>
      </c>
      <c r="N94" s="3">
        <f>'Data Tables (M)'!N94-'Data Tables (M) cb_zip'!N94</f>
        <v>9.1593399531575415E-16</v>
      </c>
      <c r="O94" s="3">
        <f>'Data Tables (M)'!O94-'Data Tables (M) cb_zip'!O94</f>
        <v>0</v>
      </c>
      <c r="P94" s="3">
        <f>'Data Tables (M)'!P94-'Data Tables (M) cb_zip'!P94</f>
        <v>-2.3869795029440866E-15</v>
      </c>
      <c r="Q94" s="3">
        <f>'Data Tables (M)'!Q94-'Data Tables (M) cb_zip'!Q94</f>
        <v>-5.8140345050122777E-4</v>
      </c>
      <c r="R94" s="3">
        <f>'Data Tables (M)'!R94-'Data Tables (M) cb_zip'!R94</f>
        <v>2.1094237467877974E-15</v>
      </c>
      <c r="S94" s="3">
        <f>'Data Tables (M)'!S94-'Data Tables (M) cb_zip'!S94</f>
        <v>0</v>
      </c>
      <c r="T94" s="3">
        <f>'Data Tables (M)'!T94-'Data Tables (M) cb_zip'!T94</f>
        <v>-9.9920072216264089E-16</v>
      </c>
      <c r="U94" s="3">
        <f>'Data Tables (M)'!U94-'Data Tables (M) cb_zip'!U94</f>
        <v>-4.4408920985006262E-15</v>
      </c>
      <c r="V94" s="3">
        <f>'Data Tables (M)'!V94-'Data Tables (M) cb_zip'!V94</f>
        <v>-8.612879623218106E-3</v>
      </c>
    </row>
    <row r="95" spans="1:22" x14ac:dyDescent="0.35">
      <c r="A95" t="str">
        <f>'Data Tables (M) no_cb_zip'!A95</f>
        <v>RAGU Score</v>
      </c>
      <c r="B95" s="3">
        <f>'Data Tables (M)'!B95-'Data Tables (M) cb_zip'!B95</f>
        <v>2.5490028128842823E-3</v>
      </c>
      <c r="C95" s="3">
        <f>'Data Tables (M)'!C95-'Data Tables (M) cb_zip'!C95</f>
        <v>8.4761771938701713E-4</v>
      </c>
      <c r="D95" s="3">
        <f>'Data Tables (M)'!D95-'Data Tables (M) cb_zip'!D95</f>
        <v>1.3738938122003219E-3</v>
      </c>
      <c r="E95" s="3">
        <f>'Data Tables (M)'!E95-'Data Tables (M) cb_zip'!E95</f>
        <v>1.3173150213106055E-3</v>
      </c>
      <c r="F95" s="3">
        <f>'Data Tables (M)'!F95-'Data Tables (M) cb_zip'!F95</f>
        <v>-4.958388634804578E-3</v>
      </c>
      <c r="G95" s="3">
        <f>'Data Tables (M)'!G95-'Data Tables (M) cb_zip'!G95</f>
        <v>1.0772627734809248E-2</v>
      </c>
      <c r="H95" s="3">
        <f>'Data Tables (M)'!H95-'Data Tables (M) cb_zip'!H95</f>
        <v>8.9052192839744748E-4</v>
      </c>
      <c r="I95" s="3">
        <f>'Data Tables (M)'!I95-'Data Tables (M) cb_zip'!I95</f>
        <v>0</v>
      </c>
      <c r="J95" s="3">
        <f>'Data Tables (M)'!J95-'Data Tables (M) cb_zip'!J95</f>
        <v>0</v>
      </c>
      <c r="K95" s="3">
        <f>'Data Tables (M)'!K95-'Data Tables (M) cb_zip'!K95</f>
        <v>2.6681604569489537E-4</v>
      </c>
      <c r="L95" s="3">
        <f>'Data Tables (M)'!L95-'Data Tables (M) cb_zip'!L95</f>
        <v>-1.7755828390022543E-3</v>
      </c>
      <c r="M95" s="3">
        <f>'Data Tables (M)'!M95-'Data Tables (M) cb_zip'!M95</f>
        <v>-3.2009009800049171E-5</v>
      </c>
      <c r="N95" s="3">
        <f>'Data Tables (M)'!N95-'Data Tables (M) cb_zip'!N95</f>
        <v>8.0075192840922682E-6</v>
      </c>
      <c r="O95" s="3">
        <f>'Data Tables (M)'!O95-'Data Tables (M) cb_zip'!O95</f>
        <v>7.9304298620286318E-4</v>
      </c>
      <c r="P95" s="3">
        <f>'Data Tables (M)'!P95-'Data Tables (M) cb_zip'!P95</f>
        <v>-7.8824253202469663E-4</v>
      </c>
      <c r="Q95" s="3">
        <f>'Data Tables (M)'!Q95-'Data Tables (M) cb_zip'!Q95</f>
        <v>-3.2694582337171596E-3</v>
      </c>
      <c r="R95" s="3">
        <f>'Data Tables (M)'!R95-'Data Tables (M) cb_zip'!R95</f>
        <v>-5.1743352514677099E-5</v>
      </c>
      <c r="S95" s="3">
        <f>'Data Tables (M)'!S95-'Data Tables (M) cb_zip'!S95</f>
        <v>0</v>
      </c>
      <c r="T95" s="3">
        <f>'Data Tables (M)'!T95-'Data Tables (M) cb_zip'!T95</f>
        <v>0</v>
      </c>
      <c r="U95" s="3">
        <f>'Data Tables (M)'!U95-'Data Tables (M) cb_zip'!U95</f>
        <v>-4.5627502330177094E-2</v>
      </c>
      <c r="V95" s="3">
        <f>'Data Tables (M)'!V95-'Data Tables (M) cb_zip'!V95</f>
        <v>-0.13464453521569908</v>
      </c>
    </row>
    <row r="96" spans="1:22" x14ac:dyDescent="0.35">
      <c r="A96" t="str">
        <f>'Data Tables (M) no_cb_zip'!A96</f>
        <v>Amount Financed</v>
      </c>
      <c r="B96" s="3">
        <f>'Data Tables (M)'!B96-'Data Tables (M) cb_zip'!B96</f>
        <v>16163.030000001192</v>
      </c>
      <c r="C96" s="3">
        <f>'Data Tables (M)'!C96-'Data Tables (M) cb_zip'!C96</f>
        <v>-39536.420000016689</v>
      </c>
      <c r="D96" s="3">
        <f>'Data Tables (M)'!D96-'Data Tables (M) cb_zip'!D96</f>
        <v>-67308.419999957085</v>
      </c>
      <c r="E96" s="3">
        <f>'Data Tables (M)'!E96-'Data Tables (M) cb_zip'!E96</f>
        <v>-16831.789999961853</v>
      </c>
      <c r="F96" s="3">
        <f>'Data Tables (M)'!F96-'Data Tables (M) cb_zip'!F96</f>
        <v>-67758.839999973774</v>
      </c>
      <c r="G96" s="3">
        <f>'Data Tables (M)'!G96-'Data Tables (M) cb_zip'!G96</f>
        <v>101470.31000000238</v>
      </c>
      <c r="H96" s="3">
        <f>'Data Tables (M)'!H96-'Data Tables (M) cb_zip'!H96</f>
        <v>10782</v>
      </c>
      <c r="I96" s="3">
        <f>'Data Tables (M)'!I96-'Data Tables (M) cb_zip'!I96</f>
        <v>0</v>
      </c>
      <c r="J96" s="3">
        <f>'Data Tables (M)'!J96-'Data Tables (M) cb_zip'!J96</f>
        <v>0</v>
      </c>
      <c r="K96" s="3">
        <f>'Data Tables (M)'!K96-'Data Tables (M) cb_zip'!K96</f>
        <v>0</v>
      </c>
      <c r="L96" s="3">
        <f>'Data Tables (M)'!L96-'Data Tables (M) cb_zip'!L96</f>
        <v>-24121</v>
      </c>
      <c r="M96" s="3">
        <f>'Data Tables (M)'!M96-'Data Tables (M) cb_zip'!M96</f>
        <v>0</v>
      </c>
      <c r="N96" s="3">
        <f>'Data Tables (M)'!N96-'Data Tables (M) cb_zip'!N96</f>
        <v>0</v>
      </c>
      <c r="O96" s="3">
        <f>'Data Tables (M)'!O96-'Data Tables (M) cb_zip'!O96</f>
        <v>0</v>
      </c>
      <c r="P96" s="3">
        <f>'Data Tables (M)'!P96-'Data Tables (M) cb_zip'!P96</f>
        <v>0</v>
      </c>
      <c r="Q96" s="3">
        <f>'Data Tables (M)'!Q96-'Data Tables (M) cb_zip'!Q96</f>
        <v>-42434.139999985695</v>
      </c>
      <c r="R96" s="3">
        <f>'Data Tables (M)'!R96-'Data Tables (M) cb_zip'!R96</f>
        <v>0</v>
      </c>
      <c r="S96" s="3">
        <f>'Data Tables (M)'!S96-'Data Tables (M) cb_zip'!S96</f>
        <v>0</v>
      </c>
      <c r="T96" s="3">
        <f>'Data Tables (M)'!T96-'Data Tables (M) cb_zip'!T96</f>
        <v>0</v>
      </c>
      <c r="U96" s="3">
        <f>'Data Tables (M)'!U96-'Data Tables (M) cb_zip'!U96</f>
        <v>0</v>
      </c>
      <c r="V96" s="3">
        <f>'Data Tables (M)'!V96-'Data Tables (M) cb_zip'!V96</f>
        <v>10875310.909999996</v>
      </c>
    </row>
    <row r="97" spans="1:22" x14ac:dyDescent="0.35">
      <c r="A97" t="str">
        <f>'Data Tables (M) no_cb_zip'!A97</f>
        <v>Weighted LTV</v>
      </c>
      <c r="B97" s="3">
        <f>'Data Tables (M)'!B97-'Data Tables (M) cb_zip'!B97</f>
        <v>1.3887052512395748E-4</v>
      </c>
      <c r="C97" s="3">
        <f>'Data Tables (M)'!C97-'Data Tables (M) cb_zip'!C97</f>
        <v>4.2865189830987305E-5</v>
      </c>
      <c r="D97" s="3">
        <f>'Data Tables (M)'!D97-'Data Tables (M) cb_zip'!D97</f>
        <v>-3.7825384632039771E-5</v>
      </c>
      <c r="E97" s="3">
        <f>'Data Tables (M)'!E97-'Data Tables (M) cb_zip'!E97</f>
        <v>-7.4291108809187989E-6</v>
      </c>
      <c r="F97" s="3">
        <f>'Data Tables (M)'!F97-'Data Tables (M) cb_zip'!F97</f>
        <v>1.0238101082915563E-5</v>
      </c>
      <c r="G97" s="3">
        <f>'Data Tables (M)'!G97-'Data Tables (M) cb_zip'!G97</f>
        <v>-4.3499034622973554E-5</v>
      </c>
      <c r="H97" s="3">
        <f>'Data Tables (M)'!H97-'Data Tables (M) cb_zip'!H97</f>
        <v>-3.9304006534957026E-5</v>
      </c>
      <c r="I97" s="3">
        <f>'Data Tables (M)'!I97-'Data Tables (M) cb_zip'!I97</f>
        <v>0</v>
      </c>
      <c r="J97" s="3">
        <f>'Data Tables (M)'!J97-'Data Tables (M) cb_zip'!J97</f>
        <v>0</v>
      </c>
      <c r="K97" s="3">
        <f>'Data Tables (M)'!K97-'Data Tables (M) cb_zip'!K97</f>
        <v>-1.8388709416949922E-5</v>
      </c>
      <c r="L97" s="3">
        <f>'Data Tables (M)'!L97-'Data Tables (M) cb_zip'!L97</f>
        <v>3.2566012743151518E-5</v>
      </c>
      <c r="M97" s="3">
        <f>'Data Tables (M)'!M97-'Data Tables (M) cb_zip'!M97</f>
        <v>2.363373722058526E-6</v>
      </c>
      <c r="N97" s="3">
        <f>'Data Tables (M)'!N97-'Data Tables (M) cb_zip'!N97</f>
        <v>-7.2195617106807219E-7</v>
      </c>
      <c r="O97" s="3">
        <f>'Data Tables (M)'!O97-'Data Tables (M) cb_zip'!O97</f>
        <v>-5.5347796846128006E-5</v>
      </c>
      <c r="P97" s="3">
        <f>'Data Tables (M)'!P97-'Data Tables (M) cb_zip'!P97</f>
        <v>-1.5259049712668116E-7</v>
      </c>
      <c r="Q97" s="3">
        <f>'Data Tables (M)'!Q97-'Data Tables (M) cb_zip'!Q97</f>
        <v>3.2112976160014739E-5</v>
      </c>
      <c r="R97" s="3">
        <f>'Data Tables (M)'!R97-'Data Tables (M) cb_zip'!R97</f>
        <v>0</v>
      </c>
      <c r="S97" s="3">
        <f>'Data Tables (M)'!S97-'Data Tables (M) cb_zip'!S97</f>
        <v>0</v>
      </c>
      <c r="T97" s="3">
        <f>'Data Tables (M)'!T97-'Data Tables (M) cb_zip'!T97</f>
        <v>0</v>
      </c>
      <c r="U97" s="3">
        <f>'Data Tables (M)'!U97-'Data Tables (M) cb_zip'!U97</f>
        <v>0</v>
      </c>
      <c r="V97" s="3">
        <f>'Data Tables (M)'!V97-'Data Tables (M) cb_zip'!V97</f>
        <v>1.2487826327451934E-3</v>
      </c>
    </row>
    <row r="98" spans="1:22" x14ac:dyDescent="0.35">
      <c r="A98" t="str">
        <f>'Data Tables (M) no_cb_zip'!A98</f>
        <v>Weighted APR</v>
      </c>
      <c r="B98" s="3">
        <f>'Data Tables (M)'!B98-'Data Tables (M) cb_zip'!B98</f>
        <v>1.2484565595188846E-5</v>
      </c>
      <c r="C98" s="3">
        <f>'Data Tables (M)'!C98-'Data Tables (M) cb_zip'!C98</f>
        <v>2.6835111560097324E-6</v>
      </c>
      <c r="D98" s="3">
        <f>'Data Tables (M)'!D98-'Data Tables (M) cb_zip'!D98</f>
        <v>-1.4543833996016886E-6</v>
      </c>
      <c r="E98" s="3">
        <f>'Data Tables (M)'!E98-'Data Tables (M) cb_zip'!E98</f>
        <v>-1.977041645201405E-6</v>
      </c>
      <c r="F98" s="3">
        <f>'Data Tables (M)'!F98-'Data Tables (M) cb_zip'!F98</f>
        <v>8.5447909076163953E-6</v>
      </c>
      <c r="G98" s="3">
        <f>'Data Tables (M)'!G98-'Data Tables (M) cb_zip'!G98</f>
        <v>-7.7848550293080354E-6</v>
      </c>
      <c r="H98" s="3">
        <f>'Data Tables (M)'!H98-'Data Tables (M) cb_zip'!H98</f>
        <v>-1.4874164575018334E-6</v>
      </c>
      <c r="I98" s="3">
        <f>'Data Tables (M)'!I98-'Data Tables (M) cb_zip'!I98</f>
        <v>0</v>
      </c>
      <c r="J98" s="3">
        <f>'Data Tables (M)'!J98-'Data Tables (M) cb_zip'!J98</f>
        <v>0</v>
      </c>
      <c r="K98" s="3">
        <f>'Data Tables (M)'!K98-'Data Tables (M) cb_zip'!K98</f>
        <v>0</v>
      </c>
      <c r="L98" s="3">
        <f>'Data Tables (M)'!L98-'Data Tables (M) cb_zip'!L98</f>
        <v>-4.0466303391772929E-6</v>
      </c>
      <c r="M98" s="3">
        <f>'Data Tables (M)'!M98-'Data Tables (M) cb_zip'!M98</f>
        <v>0</v>
      </c>
      <c r="N98" s="3">
        <f>'Data Tables (M)'!N98-'Data Tables (M) cb_zip'!N98</f>
        <v>0</v>
      </c>
      <c r="O98" s="3">
        <f>'Data Tables (M)'!O98-'Data Tables (M) cb_zip'!O98</f>
        <v>0</v>
      </c>
      <c r="P98" s="3">
        <f>'Data Tables (M)'!P98-'Data Tables (M) cb_zip'!P98</f>
        <v>0</v>
      </c>
      <c r="Q98" s="3">
        <f>'Data Tables (M)'!Q98-'Data Tables (M) cb_zip'!Q98</f>
        <v>8.2282260473742763E-6</v>
      </c>
      <c r="R98" s="3">
        <f>'Data Tables (M)'!R98-'Data Tables (M) cb_zip'!R98</f>
        <v>0</v>
      </c>
      <c r="S98" s="3">
        <f>'Data Tables (M)'!S98-'Data Tables (M) cb_zip'!S98</f>
        <v>0</v>
      </c>
      <c r="T98" s="3">
        <f>'Data Tables (M)'!T98-'Data Tables (M) cb_zip'!T98</f>
        <v>0</v>
      </c>
      <c r="U98" s="3">
        <f>'Data Tables (M)'!U98-'Data Tables (M) cb_zip'!U98</f>
        <v>0</v>
      </c>
      <c r="V98" s="3">
        <f>'Data Tables (M)'!V98-'Data Tables (M) cb_zip'!V98</f>
        <v>7.4375052410202702E-5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98"/>
  <sheetViews>
    <sheetView workbookViewId="0">
      <selection activeCell="N23" sqref="A23:N29"/>
    </sheetView>
  </sheetViews>
  <sheetFormatPr defaultRowHeight="14.5" x14ac:dyDescent="0.35"/>
  <sheetData>
    <row r="1" spans="1:19" x14ac:dyDescent="0.35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</row>
    <row r="2" spans="1:19" x14ac:dyDescent="0.35">
      <c r="A2" t="s">
        <v>21</v>
      </c>
      <c r="B2">
        <v>140.81055832100711</v>
      </c>
      <c r="C2">
        <v>141.05537322829471</v>
      </c>
      <c r="D2">
        <v>142.18569838481429</v>
      </c>
      <c r="E2">
        <v>141.38209872817541</v>
      </c>
      <c r="F2">
        <v>141.13144602664721</v>
      </c>
      <c r="G2">
        <v>141.15729292874431</v>
      </c>
      <c r="H2">
        <v>140.7502065941498</v>
      </c>
      <c r="I2">
        <v>140.63681615147519</v>
      </c>
      <c r="J2">
        <v>140.97697257576499</v>
      </c>
      <c r="K2">
        <v>142.68916787016229</v>
      </c>
      <c r="L2">
        <v>142.47693820094841</v>
      </c>
      <c r="M2">
        <v>141.4456784134226</v>
      </c>
      <c r="N2">
        <v>141.60526892049651</v>
      </c>
      <c r="O2">
        <v>141.61843159755401</v>
      </c>
      <c r="P2">
        <v>141.5664731022126</v>
      </c>
      <c r="Q2">
        <v>143.40584518403591</v>
      </c>
      <c r="R2">
        <v>141.40550843993881</v>
      </c>
      <c r="S2">
        <v>144.22288684622839</v>
      </c>
    </row>
    <row r="3" spans="1:19" x14ac:dyDescent="0.35">
      <c r="A3" t="s">
        <v>22</v>
      </c>
      <c r="B3">
        <v>2.9882161069752158</v>
      </c>
      <c r="C3">
        <v>3.00350568014133</v>
      </c>
      <c r="D3">
        <v>2.8261244818872631</v>
      </c>
      <c r="E3">
        <v>2.3225238745493191</v>
      </c>
      <c r="F3">
        <v>3.239293373576857</v>
      </c>
      <c r="G3">
        <v>2.8252109397680272</v>
      </c>
      <c r="H3">
        <v>2.2042861005950272</v>
      </c>
      <c r="I3">
        <v>2.3496223952987241</v>
      </c>
      <c r="J3">
        <v>2.1967440536239171</v>
      </c>
      <c r="K3">
        <v>2.5141233546727619</v>
      </c>
      <c r="L3">
        <v>2.766966897074838</v>
      </c>
      <c r="M3">
        <v>2.8196028004383318</v>
      </c>
      <c r="N3">
        <v>2.3500393313496768</v>
      </c>
      <c r="O3">
        <v>2.894008845750847</v>
      </c>
      <c r="P3">
        <v>2.7829301494316212</v>
      </c>
      <c r="Q3">
        <v>3.3491685263216482</v>
      </c>
      <c r="R3">
        <v>2.6214804924168789</v>
      </c>
      <c r="S3">
        <v>2.769439940099033</v>
      </c>
    </row>
    <row r="4" spans="1:19" x14ac:dyDescent="0.35">
      <c r="A4" t="s">
        <v>23</v>
      </c>
      <c r="B4">
        <v>2.5353148823433931</v>
      </c>
      <c r="C4">
        <v>4.2870718277099664</v>
      </c>
      <c r="D4">
        <v>2.5855346694610031</v>
      </c>
      <c r="E4">
        <v>2.348781231342894</v>
      </c>
      <c r="F4">
        <v>3.6668322016165118</v>
      </c>
      <c r="G4">
        <v>4.8154045501866278</v>
      </c>
      <c r="H4">
        <v>2.4759134542446639</v>
      </c>
      <c r="I4">
        <v>2.7231617141809119</v>
      </c>
      <c r="J4">
        <v>4.203846607806808</v>
      </c>
      <c r="K4">
        <v>2.7466808763681692</v>
      </c>
      <c r="L4">
        <v>2.7791064788274582</v>
      </c>
      <c r="M4">
        <v>4.0483542374907193</v>
      </c>
      <c r="N4">
        <v>4.1136168865528964</v>
      </c>
      <c r="O4">
        <v>5.1083934158635316</v>
      </c>
      <c r="P4">
        <v>2.829009235812991</v>
      </c>
      <c r="Q4">
        <v>1.8093017755640051</v>
      </c>
      <c r="R4">
        <v>3.3654692786216871</v>
      </c>
      <c r="S4">
        <v>0.2499333325851083</v>
      </c>
    </row>
    <row r="5" spans="1:19" x14ac:dyDescent="0.35">
      <c r="A5" t="s">
        <v>24</v>
      </c>
      <c r="B5">
        <v>4.9520214973779737</v>
      </c>
      <c r="C5">
        <v>4.0103005809446088</v>
      </c>
      <c r="D5">
        <v>4.0124222642655241</v>
      </c>
      <c r="E5">
        <v>4.177202210564567</v>
      </c>
      <c r="F5">
        <v>4.3764110554066313</v>
      </c>
      <c r="G5">
        <v>4.6046255547845663</v>
      </c>
      <c r="H5">
        <v>4.0742077507331178</v>
      </c>
      <c r="I5">
        <v>4.0929156516228957</v>
      </c>
      <c r="J5">
        <v>3.4561030453591099</v>
      </c>
      <c r="K5">
        <v>4.1062914855263211</v>
      </c>
      <c r="L5">
        <v>3.7168350541020332</v>
      </c>
      <c r="M5">
        <v>3.9905785354042829</v>
      </c>
      <c r="N5">
        <v>4.6330040890289101</v>
      </c>
      <c r="O5">
        <v>4.4006663460057656</v>
      </c>
      <c r="P5">
        <v>4.0570824081667736</v>
      </c>
      <c r="Q5">
        <v>3.8395368936837269</v>
      </c>
      <c r="R5">
        <v>3.3106869435217332</v>
      </c>
      <c r="S5">
        <v>3.200091026357168</v>
      </c>
    </row>
    <row r="6" spans="1:19" x14ac:dyDescent="0.35">
      <c r="A6" t="s">
        <v>25</v>
      </c>
      <c r="B6">
        <v>1.462752840003184</v>
      </c>
      <c r="C6">
        <v>1.8012694690834219</v>
      </c>
      <c r="D6">
        <v>1.943157421969766</v>
      </c>
      <c r="E6">
        <v>1.7028213446379341</v>
      </c>
      <c r="F6">
        <v>1.762562693037671</v>
      </c>
      <c r="G6">
        <v>1.958681122262661</v>
      </c>
      <c r="H6">
        <v>1.2840725314428949</v>
      </c>
      <c r="I6">
        <v>1.392494719369878</v>
      </c>
      <c r="J6">
        <v>1.177879865440276</v>
      </c>
      <c r="K6">
        <v>1.295210919666228</v>
      </c>
      <c r="L6">
        <v>0.76031000020300177</v>
      </c>
      <c r="M6">
        <v>1.479378807887713</v>
      </c>
      <c r="N6">
        <v>1.261123264526568</v>
      </c>
      <c r="O6">
        <v>1.498206862697353</v>
      </c>
      <c r="P6">
        <v>0.71015471096358473</v>
      </c>
      <c r="Q6">
        <v>1.4204687293664919</v>
      </c>
      <c r="R6">
        <v>1.3996924268458479</v>
      </c>
      <c r="S6">
        <v>1.054610940012829</v>
      </c>
    </row>
    <row r="7" spans="1:19" x14ac:dyDescent="0.35">
      <c r="A7" t="s">
        <v>26</v>
      </c>
      <c r="B7">
        <v>152.74886364770691</v>
      </c>
      <c r="C7">
        <v>154.15752078617399</v>
      </c>
      <c r="D7">
        <v>153.55293722239779</v>
      </c>
      <c r="E7">
        <v>151.93342738927009</v>
      </c>
      <c r="F7">
        <v>154.1765453502849</v>
      </c>
      <c r="G7">
        <v>155.36121509574619</v>
      </c>
      <c r="H7">
        <v>150.7886864311655</v>
      </c>
      <c r="I7">
        <v>151.19501063194761</v>
      </c>
      <c r="J7">
        <v>152.01154614799509</v>
      </c>
      <c r="K7">
        <v>153.3514745063957</v>
      </c>
      <c r="L7">
        <v>152.50015663115579</v>
      </c>
      <c r="M7">
        <v>153.78359279464371</v>
      </c>
      <c r="N7">
        <v>153.9630524919545</v>
      </c>
      <c r="O7">
        <v>155.51970706787151</v>
      </c>
      <c r="P7">
        <v>151.94564960658761</v>
      </c>
      <c r="Q7">
        <v>153.82432110897179</v>
      </c>
      <c r="R7">
        <v>152.102837581345</v>
      </c>
      <c r="S7">
        <v>151.49696208528249</v>
      </c>
    </row>
    <row r="8" spans="1:19" x14ac:dyDescent="0.35">
      <c r="A8" t="s">
        <v>27</v>
      </c>
      <c r="B8">
        <v>4958280.5299999993</v>
      </c>
      <c r="C8">
        <v>5247689.3900000006</v>
      </c>
      <c r="D8">
        <v>5299439.4700000007</v>
      </c>
      <c r="E8">
        <v>4975160.92</v>
      </c>
      <c r="F8">
        <v>5642143.419999999</v>
      </c>
      <c r="G8">
        <v>5845718.1600000001</v>
      </c>
      <c r="H8">
        <v>6315728.21</v>
      </c>
      <c r="I8">
        <v>5719500.1900000004</v>
      </c>
      <c r="J8">
        <v>5370998</v>
      </c>
      <c r="K8">
        <v>4318566.43</v>
      </c>
      <c r="L8">
        <v>4334952</v>
      </c>
      <c r="M8">
        <v>4321109.8900000006</v>
      </c>
      <c r="N8">
        <v>3904103.99</v>
      </c>
      <c r="O8">
        <v>3502109.560000001</v>
      </c>
      <c r="P8">
        <v>3331131.99</v>
      </c>
      <c r="Q8">
        <v>3143399.7</v>
      </c>
      <c r="R8">
        <v>3769209.29</v>
      </c>
      <c r="S8">
        <v>826279.47000000009</v>
      </c>
    </row>
    <row r="9" spans="1:19" x14ac:dyDescent="0.35">
      <c r="A9" t="s">
        <v>28</v>
      </c>
      <c r="B9">
        <v>1.50236733341115</v>
      </c>
      <c r="C9">
        <v>1.569706243513306</v>
      </c>
      <c r="D9">
        <v>1.5695477458630249</v>
      </c>
      <c r="E9">
        <v>1.5573350847803411</v>
      </c>
      <c r="F9">
        <v>1.542822128303831</v>
      </c>
      <c r="G9">
        <v>1.5265249525556459</v>
      </c>
      <c r="H9">
        <v>1.564946136532829</v>
      </c>
      <c r="I9">
        <v>1.563558141733834</v>
      </c>
      <c r="J9">
        <v>1.6122327858278069</v>
      </c>
      <c r="K9">
        <v>1.562567257379919</v>
      </c>
      <c r="L9">
        <v>1.591942008220498</v>
      </c>
      <c r="M9">
        <v>1.571181086999268</v>
      </c>
      <c r="N9">
        <v>1.524522431756284</v>
      </c>
      <c r="O9">
        <v>1.541073509898228</v>
      </c>
      <c r="P9">
        <v>1.566218878794388</v>
      </c>
      <c r="Q9">
        <v>1.582568757081926</v>
      </c>
      <c r="R9">
        <v>1.623775704470658</v>
      </c>
      <c r="S9">
        <v>1.6326659101173131</v>
      </c>
    </row>
    <row r="10" spans="1:19" x14ac:dyDescent="0.35">
      <c r="A10" t="s">
        <v>29</v>
      </c>
      <c r="B10">
        <v>0.22910353085709739</v>
      </c>
      <c r="C10">
        <v>0.22426757901309399</v>
      </c>
      <c r="D10">
        <v>0.2222406082575748</v>
      </c>
      <c r="E10">
        <v>0.22567398079088671</v>
      </c>
      <c r="F10">
        <v>0.2248205329566047</v>
      </c>
      <c r="G10">
        <v>0.22201884111053341</v>
      </c>
      <c r="H10">
        <v>0.2316561066936729</v>
      </c>
      <c r="I10">
        <v>0.230107218294716</v>
      </c>
      <c r="J10">
        <v>0.23317314477942461</v>
      </c>
      <c r="K10">
        <v>0.231496986861911</v>
      </c>
      <c r="L10">
        <v>0.23913842856852849</v>
      </c>
      <c r="M10">
        <v>0.22886601703017551</v>
      </c>
      <c r="N10">
        <v>0.2319839533639062</v>
      </c>
      <c r="O10">
        <v>0.22859704481860921</v>
      </c>
      <c r="P10">
        <v>0.23985493270052019</v>
      </c>
      <c r="Q10">
        <v>0.22970758958047871</v>
      </c>
      <c r="R10">
        <v>0.2300043939022022</v>
      </c>
      <c r="S10">
        <v>0.23493412942838809</v>
      </c>
    </row>
    <row r="12" spans="1:19" x14ac:dyDescent="0.35">
      <c r="A12" t="s">
        <v>32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  <c r="P12" t="s">
        <v>86</v>
      </c>
      <c r="Q12" t="s">
        <v>87</v>
      </c>
      <c r="R12" t="s">
        <v>88</v>
      </c>
      <c r="S12" t="s">
        <v>89</v>
      </c>
    </row>
    <row r="13" spans="1:19" x14ac:dyDescent="0.35">
      <c r="A13" t="s">
        <v>21</v>
      </c>
    </row>
    <row r="14" spans="1:19" x14ac:dyDescent="0.35">
      <c r="A14" t="s">
        <v>22</v>
      </c>
    </row>
    <row r="15" spans="1:19" x14ac:dyDescent="0.35">
      <c r="A15" t="s">
        <v>23</v>
      </c>
    </row>
    <row r="16" spans="1:19" x14ac:dyDescent="0.35">
      <c r="A16" t="s">
        <v>24</v>
      </c>
    </row>
    <row r="17" spans="1:19" x14ac:dyDescent="0.35">
      <c r="A17" t="s">
        <v>25</v>
      </c>
    </row>
    <row r="18" spans="1:19" x14ac:dyDescent="0.35">
      <c r="A18" t="s">
        <v>26</v>
      </c>
    </row>
    <row r="19" spans="1:19" x14ac:dyDescent="0.35">
      <c r="A19" t="s">
        <v>27</v>
      </c>
    </row>
    <row r="20" spans="1:19" x14ac:dyDescent="0.35">
      <c r="A20" t="s">
        <v>28</v>
      </c>
    </row>
    <row r="21" spans="1:19" x14ac:dyDescent="0.35">
      <c r="A21" t="s">
        <v>29</v>
      </c>
    </row>
    <row r="23" spans="1:19" x14ac:dyDescent="0.35">
      <c r="A23" t="s">
        <v>33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  <c r="N23" t="s">
        <v>84</v>
      </c>
      <c r="O23" t="s">
        <v>85</v>
      </c>
      <c r="P23" t="s">
        <v>86</v>
      </c>
      <c r="Q23" t="s">
        <v>87</v>
      </c>
      <c r="R23" t="s">
        <v>88</v>
      </c>
      <c r="S23" t="s">
        <v>89</v>
      </c>
    </row>
    <row r="24" spans="1:19" x14ac:dyDescent="0.35">
      <c r="A24" t="s">
        <v>21</v>
      </c>
      <c r="B24">
        <v>141.58569027713091</v>
      </c>
      <c r="C24">
        <v>141.55485848038549</v>
      </c>
      <c r="D24">
        <v>140.6327945848079</v>
      </c>
      <c r="E24">
        <v>141.29539290152101</v>
      </c>
      <c r="F24">
        <v>141.73603374765901</v>
      </c>
      <c r="G24">
        <v>140.5836073108988</v>
      </c>
      <c r="H24">
        <v>141.53579051467659</v>
      </c>
      <c r="I24">
        <v>141.46100665785309</v>
      </c>
      <c r="J24">
        <v>141.0067908691486</v>
      </c>
      <c r="K24">
        <v>141.46975299900211</v>
      </c>
      <c r="L24">
        <v>141.54757841426161</v>
      </c>
      <c r="M24">
        <v>141.5653727941355</v>
      </c>
      <c r="N24">
        <v>141.89197270541169</v>
      </c>
      <c r="O24">
        <v>141.58694456032151</v>
      </c>
      <c r="P24">
        <v>141.1739967216057</v>
      </c>
      <c r="Q24">
        <v>141.1224259305659</v>
      </c>
      <c r="R24">
        <v>141.9103192871093</v>
      </c>
      <c r="S24">
        <v>141.38311363236471</v>
      </c>
    </row>
    <row r="25" spans="1:19" x14ac:dyDescent="0.35">
      <c r="A25" t="s">
        <v>22</v>
      </c>
      <c r="B25">
        <v>1.8081470182384289</v>
      </c>
      <c r="C25">
        <v>2.303718175007532</v>
      </c>
      <c r="D25">
        <v>1.91822246247466</v>
      </c>
      <c r="E25">
        <v>2.1988349544433849</v>
      </c>
      <c r="F25">
        <v>2.2083583390806329</v>
      </c>
      <c r="G25">
        <v>1.893317556204124</v>
      </c>
      <c r="H25">
        <v>1.927500339911177</v>
      </c>
      <c r="I25">
        <v>2.200550013896077</v>
      </c>
      <c r="J25">
        <v>1.8239652854200019</v>
      </c>
      <c r="K25">
        <v>1.514252830222802</v>
      </c>
      <c r="L25">
        <v>2.5150931047364788</v>
      </c>
      <c r="M25">
        <v>2.1243745594886718</v>
      </c>
      <c r="N25">
        <v>2.1880548547147778</v>
      </c>
      <c r="O25">
        <v>2.1242049295539691</v>
      </c>
      <c r="P25">
        <v>1.8932178205397749</v>
      </c>
      <c r="Q25">
        <v>1.900019100769242</v>
      </c>
      <c r="R25">
        <v>2.6490807354292372</v>
      </c>
      <c r="S25">
        <v>1.43212124953692</v>
      </c>
    </row>
    <row r="26" spans="1:19" x14ac:dyDescent="0.35">
      <c r="A26" t="s">
        <v>23</v>
      </c>
      <c r="B26">
        <v>3.834526796895986</v>
      </c>
      <c r="C26">
        <v>4.7065718332174624</v>
      </c>
      <c r="D26">
        <v>4.722121327315806</v>
      </c>
      <c r="E26">
        <v>3.3802227883995881</v>
      </c>
      <c r="F26">
        <v>4.052206473281367</v>
      </c>
      <c r="G26">
        <v>4.4313824422424428</v>
      </c>
      <c r="H26">
        <v>4.397884026925607</v>
      </c>
      <c r="I26">
        <v>4.2780626847335013</v>
      </c>
      <c r="J26">
        <v>3.4000411112717939</v>
      </c>
      <c r="K26">
        <v>3.2450906202743939</v>
      </c>
      <c r="L26">
        <v>4.7450402085774153</v>
      </c>
      <c r="M26">
        <v>3.5790181581845411</v>
      </c>
      <c r="N26">
        <v>4.6340860772469474</v>
      </c>
      <c r="O26">
        <v>5.1256431920345902</v>
      </c>
      <c r="P26">
        <v>3.0223675751387149</v>
      </c>
      <c r="Q26">
        <v>4.6190526080005618</v>
      </c>
      <c r="R26">
        <v>3.8925973966258272</v>
      </c>
      <c r="S26">
        <v>5.2122712396642266</v>
      </c>
    </row>
    <row r="27" spans="1:19" x14ac:dyDescent="0.35">
      <c r="A27" t="s">
        <v>24</v>
      </c>
      <c r="B27">
        <v>5.273183205077153</v>
      </c>
      <c r="C27">
        <v>5.3491704579926784</v>
      </c>
      <c r="D27">
        <v>4.846614118299005</v>
      </c>
      <c r="E27">
        <v>4.7198144016065697</v>
      </c>
      <c r="F27">
        <v>5.4186290685862346</v>
      </c>
      <c r="G27">
        <v>5.2158839304840594</v>
      </c>
      <c r="H27">
        <v>5.2593956762841767</v>
      </c>
      <c r="I27">
        <v>5.1264892012565282</v>
      </c>
      <c r="J27">
        <v>5.0840799463480586</v>
      </c>
      <c r="K27">
        <v>4.8713146388617119</v>
      </c>
      <c r="L27">
        <v>5.2543873980349476</v>
      </c>
      <c r="M27">
        <v>5.2415180753210802</v>
      </c>
      <c r="N27">
        <v>4.5680144566398209</v>
      </c>
      <c r="O27">
        <v>5.3870048566027204</v>
      </c>
      <c r="P27">
        <v>4.740555704133711</v>
      </c>
      <c r="Q27">
        <v>4.9939468043496777</v>
      </c>
      <c r="R27">
        <v>5.6078609281002523</v>
      </c>
      <c r="S27">
        <v>4.48123097945225</v>
      </c>
    </row>
    <row r="28" spans="1:19" x14ac:dyDescent="0.35">
      <c r="A28" t="s">
        <v>25</v>
      </c>
      <c r="B28">
        <v>1.018081729261215</v>
      </c>
      <c r="C28">
        <v>1.2265004783085429</v>
      </c>
      <c r="D28">
        <v>0.82243563677131426</v>
      </c>
      <c r="E28">
        <v>0.9804031383281937</v>
      </c>
      <c r="F28">
        <v>1.0708619469119709</v>
      </c>
      <c r="G28">
        <v>0.98776463862167052</v>
      </c>
      <c r="H28">
        <v>0.91829589340332762</v>
      </c>
      <c r="I28">
        <v>1.069153225387496</v>
      </c>
      <c r="J28">
        <v>1.063596184543113</v>
      </c>
      <c r="K28">
        <v>0.60314825975754827</v>
      </c>
      <c r="L28">
        <v>0.78429026371848964</v>
      </c>
      <c r="M28">
        <v>0.74773394878958621</v>
      </c>
      <c r="N28">
        <v>0.75873845472628709</v>
      </c>
      <c r="O28">
        <v>1.05686315449252</v>
      </c>
      <c r="P28">
        <v>0.86188399431760876</v>
      </c>
      <c r="Q28">
        <v>1.164429564459083</v>
      </c>
      <c r="R28">
        <v>1.199001614589041</v>
      </c>
      <c r="S28">
        <v>0.64406831807352705</v>
      </c>
    </row>
    <row r="29" spans="1:19" x14ac:dyDescent="0.35">
      <c r="A29" t="s">
        <v>26</v>
      </c>
      <c r="B29">
        <v>153.51962902660361</v>
      </c>
      <c r="C29">
        <v>155.14081942491171</v>
      </c>
      <c r="D29">
        <v>152.94218812966869</v>
      </c>
      <c r="E29">
        <v>152.5746681842987</v>
      </c>
      <c r="F29">
        <v>154.4860895755192</v>
      </c>
      <c r="G29">
        <v>153.11195587845111</v>
      </c>
      <c r="H29">
        <v>154.0388664512009</v>
      </c>
      <c r="I29">
        <v>154.13526178312671</v>
      </c>
      <c r="J29">
        <v>152.37847339673161</v>
      </c>
      <c r="K29">
        <v>151.7035593481186</v>
      </c>
      <c r="L29">
        <v>154.84638938932889</v>
      </c>
      <c r="M29">
        <v>153.25801753591941</v>
      </c>
      <c r="N29">
        <v>154.04086654873959</v>
      </c>
      <c r="O29">
        <v>155.2806606930053</v>
      </c>
      <c r="P29">
        <v>151.6920218157355</v>
      </c>
      <c r="Q29">
        <v>153.79987400814451</v>
      </c>
      <c r="R29">
        <v>155.2588599618536</v>
      </c>
      <c r="S29">
        <v>153.15280541909161</v>
      </c>
    </row>
    <row r="30" spans="1:19" x14ac:dyDescent="0.35">
      <c r="A30" t="s">
        <v>27</v>
      </c>
      <c r="B30">
        <v>8560512.3499999996</v>
      </c>
      <c r="C30">
        <v>8917287.9299999997</v>
      </c>
      <c r="D30">
        <v>8263841.3399999999</v>
      </c>
      <c r="E30">
        <v>9118608.4600000009</v>
      </c>
      <c r="F30">
        <v>8884209.8899999987</v>
      </c>
      <c r="G30">
        <v>8646568.6699999999</v>
      </c>
      <c r="H30">
        <v>8972399.5199999996</v>
      </c>
      <c r="I30">
        <v>8849992.7599999998</v>
      </c>
      <c r="J30">
        <v>8830943.4400000013</v>
      </c>
      <c r="K30">
        <v>7392162.5</v>
      </c>
      <c r="L30">
        <v>7814462.7300000004</v>
      </c>
      <c r="M30">
        <v>7737314.6200000001</v>
      </c>
      <c r="N30">
        <v>7074662.5</v>
      </c>
      <c r="O30">
        <v>7155462.0099999998</v>
      </c>
      <c r="P30">
        <v>6658204.5299999993</v>
      </c>
      <c r="Q30">
        <v>5446329.5800000001</v>
      </c>
      <c r="R30">
        <v>4844446.3600000003</v>
      </c>
      <c r="S30">
        <v>2311312.1</v>
      </c>
    </row>
    <row r="31" spans="1:19" x14ac:dyDescent="0.35">
      <c r="A31" t="s">
        <v>28</v>
      </c>
      <c r="B31">
        <v>1.48070438321911</v>
      </c>
      <c r="C31">
        <v>1.4756699834559379</v>
      </c>
      <c r="D31">
        <v>1.509616081531624</v>
      </c>
      <c r="E31">
        <v>1.5184291813083139</v>
      </c>
      <c r="F31">
        <v>1.471097982802736</v>
      </c>
      <c r="G31">
        <v>1.484523420413882</v>
      </c>
      <c r="H31">
        <v>1.4816215354461699</v>
      </c>
      <c r="I31">
        <v>1.490521144137368</v>
      </c>
      <c r="J31">
        <v>1.4933834726247559</v>
      </c>
      <c r="K31">
        <v>1.507911186161621</v>
      </c>
      <c r="L31">
        <v>1.481954969603527</v>
      </c>
      <c r="M31">
        <v>1.4828124540920711</v>
      </c>
      <c r="N31">
        <v>1.529116185743604</v>
      </c>
      <c r="O31">
        <v>1.4731760774274829</v>
      </c>
      <c r="P31">
        <v>1.51698054312978</v>
      </c>
      <c r="Q31">
        <v>1.4995034903638871</v>
      </c>
      <c r="R31">
        <v>1.4587846282709469</v>
      </c>
      <c r="S31">
        <v>1.535293765592243</v>
      </c>
    </row>
    <row r="32" spans="1:19" x14ac:dyDescent="0.35">
      <c r="A32" t="s">
        <v>29</v>
      </c>
      <c r="B32">
        <v>0.23545597529626841</v>
      </c>
      <c r="C32">
        <v>0.23247856459559221</v>
      </c>
      <c r="D32">
        <v>0.23825091947469551</v>
      </c>
      <c r="E32">
        <v>0.2359942408810258</v>
      </c>
      <c r="F32">
        <v>0.23470197218697181</v>
      </c>
      <c r="G32">
        <v>0.23588907659111899</v>
      </c>
      <c r="H32">
        <v>0.23688148723709529</v>
      </c>
      <c r="I32">
        <v>0.23472638249446429</v>
      </c>
      <c r="J32">
        <v>0.23480576879224119</v>
      </c>
      <c r="K32">
        <v>0.24138359628917791</v>
      </c>
      <c r="L32">
        <v>0.23879585337545009</v>
      </c>
      <c r="M32">
        <v>0.23931808644586311</v>
      </c>
      <c r="N32">
        <v>0.2391608792181959</v>
      </c>
      <c r="O32">
        <v>0.23490195493582111</v>
      </c>
      <c r="P32">
        <v>0.23768737150974839</v>
      </c>
      <c r="Q32">
        <v>0.23336529193629879</v>
      </c>
      <c r="R32">
        <v>0.23287140550587079</v>
      </c>
      <c r="S32">
        <v>0.24079902402752101</v>
      </c>
    </row>
    <row r="34" spans="1:19" x14ac:dyDescent="0.35">
      <c r="A34" t="s">
        <v>34</v>
      </c>
      <c r="B34" t="s">
        <v>72</v>
      </c>
      <c r="C34" t="s">
        <v>73</v>
      </c>
      <c r="D34" t="s">
        <v>74</v>
      </c>
      <c r="E34" t="s">
        <v>75</v>
      </c>
      <c r="F34" t="s">
        <v>76</v>
      </c>
      <c r="G34" t="s">
        <v>77</v>
      </c>
      <c r="H34" t="s">
        <v>78</v>
      </c>
      <c r="I34" t="s">
        <v>79</v>
      </c>
      <c r="J34" t="s">
        <v>80</v>
      </c>
      <c r="K34" t="s">
        <v>81</v>
      </c>
      <c r="L34" t="s">
        <v>82</v>
      </c>
      <c r="M34" t="s">
        <v>83</v>
      </c>
      <c r="N34" t="s">
        <v>84</v>
      </c>
      <c r="O34" t="s">
        <v>85</v>
      </c>
      <c r="P34" t="s">
        <v>86</v>
      </c>
      <c r="Q34" t="s">
        <v>87</v>
      </c>
      <c r="R34" t="s">
        <v>88</v>
      </c>
      <c r="S34" t="s">
        <v>89</v>
      </c>
    </row>
    <row r="35" spans="1:19" x14ac:dyDescent="0.35">
      <c r="A35" t="s">
        <v>21</v>
      </c>
      <c r="B35">
        <v>142.36344024327241</v>
      </c>
      <c r="C35">
        <v>142.0960083156271</v>
      </c>
      <c r="D35">
        <v>142.91137325697929</v>
      </c>
      <c r="E35">
        <v>141.94351119905539</v>
      </c>
      <c r="F35">
        <v>142.98549060453951</v>
      </c>
      <c r="G35">
        <v>141.55385274557409</v>
      </c>
      <c r="H35">
        <v>141.26404248640361</v>
      </c>
      <c r="I35">
        <v>142.37761349355929</v>
      </c>
      <c r="J35">
        <v>143.0688139110533</v>
      </c>
      <c r="K35">
        <v>143.20403629093431</v>
      </c>
      <c r="L35">
        <v>142.58914486883381</v>
      </c>
      <c r="M35">
        <v>142.8560028222372</v>
      </c>
      <c r="N35">
        <v>143.19846568162541</v>
      </c>
      <c r="O35">
        <v>143.16978573519171</v>
      </c>
      <c r="P35">
        <v>143.28776367334819</v>
      </c>
      <c r="Q35">
        <v>144.30186786879091</v>
      </c>
      <c r="R35">
        <v>145.040172256956</v>
      </c>
      <c r="S35">
        <v>143.30389677483109</v>
      </c>
    </row>
    <row r="36" spans="1:19" x14ac:dyDescent="0.35">
      <c r="A36" t="s">
        <v>22</v>
      </c>
      <c r="B36">
        <v>1.8091609697752631</v>
      </c>
      <c r="C36">
        <v>2.4560619062998801</v>
      </c>
      <c r="D36">
        <v>1.873939124685478</v>
      </c>
      <c r="E36">
        <v>2.1844700664972829</v>
      </c>
      <c r="F36">
        <v>1.610317627264493</v>
      </c>
      <c r="G36">
        <v>2.191981205713915</v>
      </c>
      <c r="H36">
        <v>1.427911423291192</v>
      </c>
      <c r="I36">
        <v>1.7370231181425591</v>
      </c>
      <c r="J36">
        <v>2.5822026534765712</v>
      </c>
      <c r="K36">
        <v>3.34355243132751</v>
      </c>
      <c r="L36">
        <v>0.99837706968330053</v>
      </c>
      <c r="M36">
        <v>2.6065594851910698</v>
      </c>
      <c r="N36">
        <v>2.948242438977843</v>
      </c>
      <c r="O36">
        <v>2.9277952788256978</v>
      </c>
      <c r="P36">
        <v>2.7608924718620358</v>
      </c>
      <c r="Q36">
        <v>3.0640216183618918</v>
      </c>
      <c r="R36">
        <v>2.5655467833588261</v>
      </c>
      <c r="S36">
        <v>1.4325376934808389</v>
      </c>
    </row>
    <row r="37" spans="1:19" x14ac:dyDescent="0.35">
      <c r="A37" t="s">
        <v>23</v>
      </c>
      <c r="B37">
        <v>0.16321923324730001</v>
      </c>
      <c r="C37">
        <v>-0.32447171028934368</v>
      </c>
      <c r="D37">
        <v>-0.2399345865248225</v>
      </c>
      <c r="E37">
        <v>-0.28103949480597862</v>
      </c>
      <c r="F37">
        <v>-1.623377624502172</v>
      </c>
      <c r="G37">
        <v>0.27733757575601758</v>
      </c>
      <c r="H37">
        <v>-0.27959089601723341</v>
      </c>
      <c r="I37">
        <v>1.3086183553496109</v>
      </c>
      <c r="J37">
        <v>-4.0910881640436207E-2</v>
      </c>
      <c r="K37">
        <v>0.62204715715387238</v>
      </c>
      <c r="L37">
        <v>-0.58970690355659516</v>
      </c>
      <c r="M37">
        <v>0.883688764542643</v>
      </c>
      <c r="N37">
        <v>-1.9717456413298651</v>
      </c>
      <c r="O37">
        <v>1.666424178482891</v>
      </c>
      <c r="P37">
        <v>-1.8241564976717941</v>
      </c>
      <c r="Q37">
        <v>1.744392382428678</v>
      </c>
      <c r="R37">
        <v>-0.51641502500490166</v>
      </c>
      <c r="S37">
        <v>-1.2336699839557039</v>
      </c>
    </row>
    <row r="38" spans="1:19" x14ac:dyDescent="0.35">
      <c r="A38" t="s">
        <v>24</v>
      </c>
      <c r="B38">
        <v>5.3421837889909403E-2</v>
      </c>
      <c r="C38">
        <v>-0.51182564653875162</v>
      </c>
      <c r="D38">
        <v>-1.108590073301986</v>
      </c>
      <c r="E38">
        <v>1.444071663252444E-3</v>
      </c>
      <c r="F38">
        <v>-0.70378868601642885</v>
      </c>
      <c r="G38">
        <v>-0.23052362178196739</v>
      </c>
      <c r="H38">
        <v>-1.6461374150905079</v>
      </c>
      <c r="I38">
        <v>-1.0224332714712749</v>
      </c>
      <c r="J38">
        <v>7.7271021296881459E-2</v>
      </c>
      <c r="K38">
        <v>-0.98698770155788618</v>
      </c>
      <c r="L38">
        <v>-0.26102303922012821</v>
      </c>
      <c r="M38">
        <v>-0.81155071294796299</v>
      </c>
      <c r="N38">
        <v>-1.3828054958322911</v>
      </c>
      <c r="O38">
        <v>0.1024075962424138</v>
      </c>
      <c r="P38">
        <v>-1.982956025306275</v>
      </c>
      <c r="Q38">
        <v>-0.22995442718351389</v>
      </c>
      <c r="R38">
        <v>-4.8054842196183389E-2</v>
      </c>
      <c r="S38">
        <v>-0.47842300578357422</v>
      </c>
    </row>
    <row r="39" spans="1:19" x14ac:dyDescent="0.35">
      <c r="A39" t="s">
        <v>25</v>
      </c>
      <c r="B39">
        <v>-0.43126950159568628</v>
      </c>
      <c r="C39">
        <v>-0.13779383016922531</v>
      </c>
      <c r="D39">
        <v>-0.23534778942270321</v>
      </c>
      <c r="E39">
        <v>-0.51724064896947419</v>
      </c>
      <c r="F39">
        <v>-0.41898762626699171</v>
      </c>
      <c r="G39">
        <v>-0.4902532310446136</v>
      </c>
      <c r="H39">
        <v>-0.88530604213432185</v>
      </c>
      <c r="I39">
        <v>-0.25526288948236692</v>
      </c>
      <c r="J39">
        <v>-0.46139233330780649</v>
      </c>
      <c r="K39">
        <v>-0.50474847574651116</v>
      </c>
      <c r="L39">
        <v>-1.122673561327123</v>
      </c>
      <c r="M39">
        <v>-0.77508119953035637</v>
      </c>
      <c r="N39">
        <v>-0.64481394032014361</v>
      </c>
      <c r="O39">
        <v>-0.94133739337145206</v>
      </c>
      <c r="P39">
        <v>-0.9357445685867295</v>
      </c>
      <c r="Q39">
        <v>-0.34549937514973261</v>
      </c>
      <c r="R39">
        <v>0.12800210485752389</v>
      </c>
      <c r="S39">
        <v>-0.53271179543237368</v>
      </c>
    </row>
    <row r="40" spans="1:19" x14ac:dyDescent="0.35">
      <c r="A40" t="s">
        <v>26</v>
      </c>
      <c r="B40">
        <v>143.95797278258911</v>
      </c>
      <c r="C40">
        <v>143.57797903492971</v>
      </c>
      <c r="D40">
        <v>143.20143993241521</v>
      </c>
      <c r="E40">
        <v>143.33114519344051</v>
      </c>
      <c r="F40">
        <v>141.84965429501841</v>
      </c>
      <c r="G40">
        <v>143.30239467421751</v>
      </c>
      <c r="H40">
        <v>139.88091955645271</v>
      </c>
      <c r="I40">
        <v>144.14555880609791</v>
      </c>
      <c r="J40">
        <v>145.22598437087859</v>
      </c>
      <c r="K40">
        <v>145.6778997021112</v>
      </c>
      <c r="L40">
        <v>141.61411843441331</v>
      </c>
      <c r="M40">
        <v>144.75961915949259</v>
      </c>
      <c r="N40">
        <v>142.14734304312091</v>
      </c>
      <c r="O40">
        <v>146.92507539537121</v>
      </c>
      <c r="P40">
        <v>141.3057990536455</v>
      </c>
      <c r="Q40">
        <v>148.53482806724821</v>
      </c>
      <c r="R40">
        <v>147.1692512779712</v>
      </c>
      <c r="S40">
        <v>142.4916296831403</v>
      </c>
    </row>
    <row r="41" spans="1:19" x14ac:dyDescent="0.35">
      <c r="A41" t="s">
        <v>27</v>
      </c>
      <c r="B41">
        <v>3119614.85</v>
      </c>
      <c r="C41">
        <v>3082216.14</v>
      </c>
      <c r="D41">
        <v>3255072.11</v>
      </c>
      <c r="E41">
        <v>3754735.63</v>
      </c>
      <c r="F41">
        <v>3090961.31</v>
      </c>
      <c r="G41">
        <v>3235010.27</v>
      </c>
      <c r="H41">
        <v>2773875.44</v>
      </c>
      <c r="I41">
        <v>3684093.64</v>
      </c>
      <c r="J41">
        <v>2493803</v>
      </c>
      <c r="K41">
        <v>2005785.14</v>
      </c>
      <c r="L41">
        <v>2182549.83</v>
      </c>
      <c r="M41">
        <v>1860084.65</v>
      </c>
      <c r="N41">
        <v>2347864.2999999998</v>
      </c>
      <c r="O41">
        <v>2279845.59</v>
      </c>
      <c r="P41">
        <v>1896498.57</v>
      </c>
      <c r="Q41">
        <v>2205624.41</v>
      </c>
      <c r="R41">
        <v>1443190.32</v>
      </c>
      <c r="S41">
        <v>605859.68999999994</v>
      </c>
    </row>
    <row r="42" spans="1:19" x14ac:dyDescent="0.35">
      <c r="A42" t="s">
        <v>28</v>
      </c>
      <c r="B42">
        <v>1.4454577054577831</v>
      </c>
      <c r="C42">
        <v>1.495010876981987</v>
      </c>
      <c r="D42">
        <v>1.5511524851289189</v>
      </c>
      <c r="E42">
        <v>1.4498768396435679</v>
      </c>
      <c r="F42">
        <v>1.512621524418265</v>
      </c>
      <c r="G42">
        <v>1.469932599208525</v>
      </c>
      <c r="H42">
        <v>1.605459203746372</v>
      </c>
      <c r="I42">
        <v>1.542788111533042</v>
      </c>
      <c r="J42">
        <v>1.443439058223017</v>
      </c>
      <c r="K42">
        <v>1.539373076132476</v>
      </c>
      <c r="L42">
        <v>1.472610904343556</v>
      </c>
      <c r="M42">
        <v>1.522690627305219</v>
      </c>
      <c r="N42">
        <v>1.578388486704301</v>
      </c>
      <c r="O42">
        <v>1.4413175373867171</v>
      </c>
      <c r="P42">
        <v>1.6414681905133559</v>
      </c>
      <c r="Q42">
        <v>1.4698827080086521</v>
      </c>
      <c r="R42">
        <v>1.454110414500273</v>
      </c>
      <c r="S42">
        <v>1.4919883258498281</v>
      </c>
    </row>
    <row r="43" spans="1:19" x14ac:dyDescent="0.35">
      <c r="A43" t="s">
        <v>29</v>
      </c>
      <c r="B43">
        <v>0.24116099287993839</v>
      </c>
      <c r="C43">
        <v>0.2369684832881318</v>
      </c>
      <c r="D43">
        <v>0.2383621112774672</v>
      </c>
      <c r="E43">
        <v>0.2423891521281353</v>
      </c>
      <c r="F43">
        <v>0.2409855375180999</v>
      </c>
      <c r="G43">
        <v>0.24200361758635161</v>
      </c>
      <c r="H43">
        <v>0.24764722917334739</v>
      </c>
      <c r="I43">
        <v>0.23864661270689089</v>
      </c>
      <c r="J43">
        <v>0.24159131904725439</v>
      </c>
      <c r="K43">
        <v>0.2422106925106644</v>
      </c>
      <c r="L43">
        <v>0.2510381937332446</v>
      </c>
      <c r="M43">
        <v>0.24607258856471939</v>
      </c>
      <c r="N43">
        <v>0.24421162771885921</v>
      </c>
      <c r="O43">
        <v>0.24844767704816359</v>
      </c>
      <c r="P43">
        <v>0.24836777955123901</v>
      </c>
      <c r="Q43">
        <v>0.23993570535928191</v>
      </c>
      <c r="R43">
        <v>0.23317139850203539</v>
      </c>
      <c r="S43">
        <v>0.24261016850617681</v>
      </c>
    </row>
    <row r="45" spans="1:19" x14ac:dyDescent="0.35">
      <c r="A45" t="s">
        <v>35</v>
      </c>
      <c r="B45" t="s">
        <v>72</v>
      </c>
      <c r="C45" t="s">
        <v>73</v>
      </c>
      <c r="D45" t="s">
        <v>74</v>
      </c>
      <c r="E45" t="s">
        <v>75</v>
      </c>
      <c r="F45" t="s">
        <v>76</v>
      </c>
      <c r="G45" t="s">
        <v>77</v>
      </c>
      <c r="H45" t="s">
        <v>78</v>
      </c>
      <c r="I45" t="s">
        <v>79</v>
      </c>
      <c r="J45" t="s">
        <v>80</v>
      </c>
      <c r="K45" t="s">
        <v>81</v>
      </c>
      <c r="L45" t="s">
        <v>82</v>
      </c>
      <c r="M45" t="s">
        <v>83</v>
      </c>
      <c r="N45" t="s">
        <v>84</v>
      </c>
      <c r="O45" t="s">
        <v>85</v>
      </c>
      <c r="P45" t="s">
        <v>86</v>
      </c>
      <c r="Q45" t="s">
        <v>87</v>
      </c>
      <c r="R45" t="s">
        <v>88</v>
      </c>
      <c r="S45" t="s">
        <v>89</v>
      </c>
    </row>
    <row r="46" spans="1:19" x14ac:dyDescent="0.35">
      <c r="A46" t="s">
        <v>21</v>
      </c>
      <c r="B46">
        <v>143.67618373871801</v>
      </c>
      <c r="C46">
        <v>143.41470914737371</v>
      </c>
      <c r="D46">
        <v>144.37062867536079</v>
      </c>
      <c r="E46">
        <v>144.17676605074871</v>
      </c>
      <c r="F46">
        <v>144.9570945509146</v>
      </c>
      <c r="G46">
        <v>145.31827926850781</v>
      </c>
      <c r="H46">
        <v>144.93361719713519</v>
      </c>
      <c r="I46">
        <v>145.1098218578729</v>
      </c>
      <c r="J46">
        <v>145.38399446757219</v>
      </c>
      <c r="K46">
        <v>145.2998641335686</v>
      </c>
      <c r="L46">
        <v>145.9794557420667</v>
      </c>
      <c r="M46">
        <v>145.73216684922929</v>
      </c>
      <c r="N46">
        <v>145.57117664040641</v>
      </c>
      <c r="O46">
        <v>145.49931714042361</v>
      </c>
      <c r="P46">
        <v>146.04469818981701</v>
      </c>
      <c r="Q46">
        <v>146.17372392825041</v>
      </c>
      <c r="R46">
        <v>146.5499302896431</v>
      </c>
      <c r="S46">
        <v>146.50793317606181</v>
      </c>
    </row>
    <row r="47" spans="1:19" x14ac:dyDescent="0.35">
      <c r="A47" t="s">
        <v>22</v>
      </c>
      <c r="B47">
        <v>-0.67375177431577526</v>
      </c>
      <c r="C47">
        <v>-0.67703219102222079</v>
      </c>
      <c r="D47">
        <v>-0.81671205670662061</v>
      </c>
      <c r="E47">
        <v>-0.6564200112189269</v>
      </c>
      <c r="F47">
        <v>-0.2386890102851851</v>
      </c>
      <c r="G47">
        <v>-0.30158357379553991</v>
      </c>
      <c r="H47">
        <v>-1.7340569196989009E-2</v>
      </c>
      <c r="I47">
        <v>-0.84040231051605474</v>
      </c>
      <c r="J47">
        <v>-0.47191640378673583</v>
      </c>
      <c r="K47">
        <v>-0.39847325706327302</v>
      </c>
      <c r="L47">
        <v>-0.22702181232432389</v>
      </c>
      <c r="M47">
        <v>-0.4251994404000925</v>
      </c>
      <c r="N47">
        <v>-0.52653795686464377</v>
      </c>
      <c r="O47">
        <v>0.40475817322737839</v>
      </c>
      <c r="P47">
        <v>-0.71176482196338497</v>
      </c>
      <c r="Q47">
        <v>0.65469001407385008</v>
      </c>
      <c r="R47">
        <v>-0.17674930506089481</v>
      </c>
      <c r="S47">
        <v>6.807750813874236E-2</v>
      </c>
    </row>
    <row r="48" spans="1:19" x14ac:dyDescent="0.35">
      <c r="A48" t="s">
        <v>23</v>
      </c>
      <c r="B48">
        <v>0.2442791600652324</v>
      </c>
      <c r="C48">
        <v>0.38983160692124369</v>
      </c>
      <c r="D48">
        <v>0.32564152727555218</v>
      </c>
      <c r="E48">
        <v>0.25026179094604323</v>
      </c>
      <c r="F48">
        <v>0.4649511096283836</v>
      </c>
      <c r="G48">
        <v>-1.343012267386577</v>
      </c>
      <c r="H48">
        <v>-0.66322416290523845</v>
      </c>
      <c r="I48">
        <v>-4.8888057866012712E-2</v>
      </c>
      <c r="J48">
        <v>-0.88562026344658418</v>
      </c>
      <c r="K48">
        <v>-1.61175172191942</v>
      </c>
      <c r="L48">
        <v>-1.85074803878022</v>
      </c>
      <c r="M48">
        <v>-1.3239998625552669</v>
      </c>
      <c r="N48">
        <v>-0.77848423898035524</v>
      </c>
      <c r="O48">
        <v>-1.9546510905295309</v>
      </c>
      <c r="P48">
        <v>-1.4886276198293691</v>
      </c>
      <c r="Q48">
        <v>-0.61786378883495752</v>
      </c>
      <c r="R48">
        <v>-0.54338792797262903</v>
      </c>
      <c r="S48">
        <v>0.58505435177852494</v>
      </c>
    </row>
    <row r="49" spans="1:19" x14ac:dyDescent="0.35">
      <c r="A49" t="s">
        <v>24</v>
      </c>
      <c r="B49">
        <v>1.3077940103676791</v>
      </c>
      <c r="C49">
        <v>1.3189298793073361</v>
      </c>
      <c r="D49">
        <v>1.1263841403169681</v>
      </c>
      <c r="E49">
        <v>1.322489617008249</v>
      </c>
      <c r="F49">
        <v>1.396576741199854</v>
      </c>
      <c r="G49">
        <v>1.3040285965553069</v>
      </c>
      <c r="H49">
        <v>1.342614691306343</v>
      </c>
      <c r="I49">
        <v>1.536936686518362</v>
      </c>
      <c r="J49">
        <v>1.433781795871593</v>
      </c>
      <c r="K49">
        <v>1.84874785940576</v>
      </c>
      <c r="L49">
        <v>1.6396262835593549</v>
      </c>
      <c r="M49">
        <v>1.799069522346364</v>
      </c>
      <c r="N49">
        <v>1.9400575078056419</v>
      </c>
      <c r="O49">
        <v>2.1857293280697978</v>
      </c>
      <c r="P49">
        <v>2.0691240535927018</v>
      </c>
      <c r="Q49">
        <v>2.141109247919053</v>
      </c>
      <c r="R49">
        <v>2.8366660714775458</v>
      </c>
      <c r="S49">
        <v>2.989577801337497</v>
      </c>
    </row>
    <row r="50" spans="1:19" x14ac:dyDescent="0.35">
      <c r="A50" t="s">
        <v>25</v>
      </c>
      <c r="B50">
        <v>-0.22339581538812819</v>
      </c>
      <c r="C50">
        <v>-0.35619662450507572</v>
      </c>
      <c r="D50">
        <v>-0.14629724500773569</v>
      </c>
      <c r="E50">
        <v>-0.46610189756412168</v>
      </c>
      <c r="F50">
        <v>-0.19486022523449359</v>
      </c>
      <c r="G50">
        <v>-0.43996716630299992</v>
      </c>
      <c r="H50">
        <v>-0.46041752022750948</v>
      </c>
      <c r="I50">
        <v>-0.3841392779367736</v>
      </c>
      <c r="J50">
        <v>-0.28917009238500052</v>
      </c>
      <c r="K50">
        <v>-0.45780299443087169</v>
      </c>
      <c r="L50">
        <v>-0.31350427341904069</v>
      </c>
      <c r="M50">
        <v>-0.37663609004721821</v>
      </c>
      <c r="N50">
        <v>-0.26432617196876651</v>
      </c>
      <c r="O50">
        <v>-0.21073472433092991</v>
      </c>
      <c r="P50">
        <v>-0.45427329491947221</v>
      </c>
      <c r="Q50">
        <v>0.24790592446622459</v>
      </c>
      <c r="R50">
        <v>0.51064366473912626</v>
      </c>
      <c r="S50">
        <v>-0.33566780951459008</v>
      </c>
    </row>
    <row r="51" spans="1:19" x14ac:dyDescent="0.35">
      <c r="A51" t="s">
        <v>26</v>
      </c>
      <c r="B51">
        <v>144.33110931944699</v>
      </c>
      <c r="C51">
        <v>144.09024181807499</v>
      </c>
      <c r="D51">
        <v>144.85964504123899</v>
      </c>
      <c r="E51">
        <v>144.62699554991991</v>
      </c>
      <c r="F51">
        <v>146.38507316622321</v>
      </c>
      <c r="G51">
        <v>144.53774485757799</v>
      </c>
      <c r="H51">
        <v>145.13524963611181</v>
      </c>
      <c r="I51">
        <v>145.37332889807249</v>
      </c>
      <c r="J51">
        <v>145.17106950382549</v>
      </c>
      <c r="K51">
        <v>144.6805840195608</v>
      </c>
      <c r="L51">
        <v>145.22780790110249</v>
      </c>
      <c r="M51">
        <v>145.40540097857311</v>
      </c>
      <c r="N51">
        <v>145.94188578039831</v>
      </c>
      <c r="O51">
        <v>145.9244188268604</v>
      </c>
      <c r="P51">
        <v>145.4591565066975</v>
      </c>
      <c r="Q51">
        <v>148.59956532587461</v>
      </c>
      <c r="R51">
        <v>149.17710279282619</v>
      </c>
      <c r="S51">
        <v>149.81497502780201</v>
      </c>
    </row>
    <row r="52" spans="1:19" x14ac:dyDescent="0.35">
      <c r="A52" t="s">
        <v>27</v>
      </c>
      <c r="B52">
        <v>3243960.59</v>
      </c>
      <c r="C52">
        <v>3727649.51</v>
      </c>
      <c r="D52">
        <v>4023499.5</v>
      </c>
      <c r="E52">
        <v>3853838.15</v>
      </c>
      <c r="F52">
        <v>3792944.8</v>
      </c>
      <c r="G52">
        <v>3260649.57</v>
      </c>
      <c r="H52">
        <v>3267858.25</v>
      </c>
      <c r="I52">
        <v>3406842.11</v>
      </c>
      <c r="J52">
        <v>3046532.330000001</v>
      </c>
      <c r="K52">
        <v>2816339.52</v>
      </c>
      <c r="L52">
        <v>3755384.12</v>
      </c>
      <c r="M52">
        <v>3178644.83</v>
      </c>
      <c r="N52">
        <v>3265360.92</v>
      </c>
      <c r="O52">
        <v>3229338.91</v>
      </c>
      <c r="P52">
        <v>2816582.07</v>
      </c>
      <c r="Q52">
        <v>2417608.1800000002</v>
      </c>
      <c r="R52">
        <v>2335112.129999999</v>
      </c>
      <c r="S52">
        <v>819834.95</v>
      </c>
    </row>
    <row r="53" spans="1:19" x14ac:dyDescent="0.35">
      <c r="A53" t="s">
        <v>28</v>
      </c>
      <c r="B53">
        <v>1.3464210918060771</v>
      </c>
      <c r="C53">
        <v>1.345602617751384</v>
      </c>
      <c r="D53">
        <v>1.3598961496779221</v>
      </c>
      <c r="E53">
        <v>1.3453411908127431</v>
      </c>
      <c r="F53">
        <v>1.339923201298389</v>
      </c>
      <c r="G53">
        <v>1.3466980708628791</v>
      </c>
      <c r="H53">
        <v>1.3438651149164189</v>
      </c>
      <c r="I53">
        <v>1.3297774285396129</v>
      </c>
      <c r="J53">
        <v>1.337218823189096</v>
      </c>
      <c r="K53">
        <v>1.307779178960121</v>
      </c>
      <c r="L53">
        <v>1.322451406750679</v>
      </c>
      <c r="M53">
        <v>1.3112351103706841</v>
      </c>
      <c r="N53">
        <v>1.3014744010064989</v>
      </c>
      <c r="O53">
        <v>1.284809119241334</v>
      </c>
      <c r="P53">
        <v>1.2926655640145059</v>
      </c>
      <c r="Q53">
        <v>1.287804153914426</v>
      </c>
      <c r="R53">
        <v>1.2426483316893351</v>
      </c>
      <c r="S53">
        <v>1.23314260285931</v>
      </c>
    </row>
    <row r="54" spans="1:19" x14ac:dyDescent="0.35">
      <c r="A54" t="s">
        <v>29</v>
      </c>
      <c r="B54">
        <v>0.23819136879125899</v>
      </c>
      <c r="C54">
        <v>0.24008852320721541</v>
      </c>
      <c r="D54">
        <v>0.23708996064296761</v>
      </c>
      <c r="E54">
        <v>0.2416585985366303</v>
      </c>
      <c r="F54">
        <v>0.2377837175033499</v>
      </c>
      <c r="G54">
        <v>0.24128524523289999</v>
      </c>
      <c r="H54">
        <v>0.24157739314610729</v>
      </c>
      <c r="I54">
        <v>0.2404877039705253</v>
      </c>
      <c r="J54">
        <v>0.23913100131978571</v>
      </c>
      <c r="K54">
        <v>0.2415400427775839</v>
      </c>
      <c r="L54">
        <v>0.23947863247741491</v>
      </c>
      <c r="M54">
        <v>0.2403805155721031</v>
      </c>
      <c r="N54">
        <v>0.23877608817098239</v>
      </c>
      <c r="O54">
        <v>0.23801049606187041</v>
      </c>
      <c r="P54">
        <v>0.24148961849884959</v>
      </c>
      <c r="Q54">
        <v>0.23145848679333961</v>
      </c>
      <c r="R54">
        <v>0.22770509050372681</v>
      </c>
      <c r="S54">
        <v>0.23979525442163699</v>
      </c>
    </row>
    <row r="56" spans="1:19" x14ac:dyDescent="0.35">
      <c r="A56" t="s">
        <v>36</v>
      </c>
      <c r="B56" t="s">
        <v>72</v>
      </c>
      <c r="C56" t="s">
        <v>73</v>
      </c>
      <c r="D56" t="s">
        <v>74</v>
      </c>
      <c r="E56" t="s">
        <v>75</v>
      </c>
      <c r="F56" t="s">
        <v>76</v>
      </c>
      <c r="G56" t="s">
        <v>77</v>
      </c>
      <c r="H56" t="s">
        <v>78</v>
      </c>
      <c r="I56" t="s">
        <v>79</v>
      </c>
      <c r="J56" t="s">
        <v>80</v>
      </c>
      <c r="K56" t="s">
        <v>81</v>
      </c>
      <c r="L56" t="s">
        <v>82</v>
      </c>
      <c r="M56" t="s">
        <v>83</v>
      </c>
      <c r="N56" t="s">
        <v>84</v>
      </c>
      <c r="O56" t="s">
        <v>85</v>
      </c>
      <c r="P56" t="s">
        <v>86</v>
      </c>
      <c r="Q56" t="s">
        <v>87</v>
      </c>
      <c r="R56" t="s">
        <v>88</v>
      </c>
      <c r="S56" t="s">
        <v>89</v>
      </c>
    </row>
    <row r="57" spans="1:19" x14ac:dyDescent="0.35">
      <c r="A57" t="s">
        <v>21</v>
      </c>
      <c r="B57">
        <v>143.29396671560889</v>
      </c>
      <c r="C57">
        <v>142.9831834457751</v>
      </c>
      <c r="D57">
        <v>142.78622423850831</v>
      </c>
      <c r="E57">
        <v>142.72940505602341</v>
      </c>
      <c r="F57">
        <v>142.5963108269751</v>
      </c>
      <c r="G57">
        <v>143.01324958254631</v>
      </c>
      <c r="H57">
        <v>143.67644352546901</v>
      </c>
      <c r="I57">
        <v>143.66837794255599</v>
      </c>
      <c r="J57">
        <v>143.85034465229171</v>
      </c>
      <c r="K57">
        <v>144.40280157767569</v>
      </c>
      <c r="L57">
        <v>143.58908080911311</v>
      </c>
      <c r="M57">
        <v>143.85122704305419</v>
      </c>
      <c r="N57">
        <v>144.08890744661929</v>
      </c>
      <c r="O57">
        <v>144.12414176531209</v>
      </c>
      <c r="P57">
        <v>143.94177163596311</v>
      </c>
      <c r="Q57">
        <v>143.7038020956206</v>
      </c>
      <c r="R57">
        <v>143.65126958383939</v>
      </c>
      <c r="S57">
        <v>144.0175368856689</v>
      </c>
    </row>
    <row r="58" spans="1:19" x14ac:dyDescent="0.35">
      <c r="A58" t="s">
        <v>22</v>
      </c>
      <c r="B58">
        <v>0.27077027945929899</v>
      </c>
      <c r="C58">
        <v>0.29282498271396662</v>
      </c>
      <c r="D58">
        <v>0.17465669486244911</v>
      </c>
      <c r="E58">
        <v>3.2678113687438781E-2</v>
      </c>
      <c r="F58">
        <v>0.19547701999647421</v>
      </c>
      <c r="G58">
        <v>0.35421109208067492</v>
      </c>
      <c r="H58">
        <v>5.394232363289575E-2</v>
      </c>
      <c r="I58">
        <v>0.33855150457847571</v>
      </c>
      <c r="J58">
        <v>0.40789805647762017</v>
      </c>
      <c r="K58">
        <v>0.3051008541395106</v>
      </c>
      <c r="L58">
        <v>0.47167914856146348</v>
      </c>
      <c r="M58">
        <v>0.38631111865447559</v>
      </c>
      <c r="N58">
        <v>0.16143354150477759</v>
      </c>
      <c r="O58">
        <v>0.33659547216760188</v>
      </c>
      <c r="P58">
        <v>0.16937364839515109</v>
      </c>
      <c r="Q58">
        <v>-0.1385670528994751</v>
      </c>
      <c r="R58">
        <v>0.4684292206439693</v>
      </c>
      <c r="S58">
        <v>2.4308143006649061</v>
      </c>
    </row>
    <row r="59" spans="1:19" x14ac:dyDescent="0.35">
      <c r="A59" t="s">
        <v>23</v>
      </c>
      <c r="B59">
        <v>0.56817915017918663</v>
      </c>
      <c r="C59">
        <v>0.62174109110268327</v>
      </c>
      <c r="D59">
        <v>0.50057592796089734</v>
      </c>
      <c r="E59">
        <v>0.52405004192986004</v>
      </c>
      <c r="F59">
        <v>0.45199155822694731</v>
      </c>
      <c r="G59">
        <v>0.95154688509387408</v>
      </c>
      <c r="H59">
        <v>0.69278166738275027</v>
      </c>
      <c r="I59">
        <v>0.75241061249966101</v>
      </c>
      <c r="J59">
        <v>1.125166073632262</v>
      </c>
      <c r="K59">
        <v>0.60687544568925322</v>
      </c>
      <c r="L59">
        <v>1.0986837017352979</v>
      </c>
      <c r="M59">
        <v>0.87289932522257707</v>
      </c>
      <c r="N59">
        <v>0.72094190127167557</v>
      </c>
      <c r="O59">
        <v>0.70448614212227845</v>
      </c>
      <c r="P59">
        <v>0.41685210601108508</v>
      </c>
      <c r="Q59">
        <v>0.5494971934009657</v>
      </c>
      <c r="R59">
        <v>0.72173144837230541</v>
      </c>
      <c r="S59">
        <v>1.5941333190994731</v>
      </c>
    </row>
    <row r="60" spans="1:19" x14ac:dyDescent="0.35">
      <c r="A60" t="s">
        <v>24</v>
      </c>
      <c r="B60">
        <v>1.345906902796552</v>
      </c>
      <c r="C60">
        <v>1.378293372196254</v>
      </c>
      <c r="D60">
        <v>1.373295917771798</v>
      </c>
      <c r="E60">
        <v>2.1322544786121971</v>
      </c>
      <c r="F60">
        <v>1.7124389866484391</v>
      </c>
      <c r="G60">
        <v>1.506415818241315</v>
      </c>
      <c r="H60">
        <v>1.276071567092347</v>
      </c>
      <c r="I60">
        <v>1.723943816631474</v>
      </c>
      <c r="J60">
        <v>1.0888024303535899</v>
      </c>
      <c r="K60">
        <v>0.45131273233780927</v>
      </c>
      <c r="L60">
        <v>1.5573609724308599</v>
      </c>
      <c r="M60">
        <v>1.183728968610978</v>
      </c>
      <c r="N60">
        <v>0.99600458206710352</v>
      </c>
      <c r="O60">
        <v>0.66852164432506123</v>
      </c>
      <c r="P60">
        <v>0.63214917223192935</v>
      </c>
      <c r="Q60">
        <v>0.54816104056443116</v>
      </c>
      <c r="R60">
        <v>5.1324173608178723E-2</v>
      </c>
      <c r="S60">
        <v>5.7896707319349601E-2</v>
      </c>
    </row>
    <row r="61" spans="1:19" x14ac:dyDescent="0.35">
      <c r="A61" t="s">
        <v>25</v>
      </c>
      <c r="B61">
        <v>0.86328540983108948</v>
      </c>
      <c r="C61">
        <v>0.75309512166521142</v>
      </c>
      <c r="D61">
        <v>0.67897306891877218</v>
      </c>
      <c r="E61">
        <v>0.6441477912760234</v>
      </c>
      <c r="F61">
        <v>0.70132713416162484</v>
      </c>
      <c r="G61">
        <v>0.92401025497609945</v>
      </c>
      <c r="H61">
        <v>1.036088421951038</v>
      </c>
      <c r="I61">
        <v>1.005293244388237</v>
      </c>
      <c r="J61">
        <v>0.99846270114034574</v>
      </c>
      <c r="K61">
        <v>1.0532047487142511</v>
      </c>
      <c r="L61">
        <v>1.1642633421641559</v>
      </c>
      <c r="M61">
        <v>1.1403742266222721</v>
      </c>
      <c r="N61">
        <v>0.96592407027242166</v>
      </c>
      <c r="O61">
        <v>0.99970950668884118</v>
      </c>
      <c r="P61">
        <v>0.90717950916672863</v>
      </c>
      <c r="Q61">
        <v>1.124103389280803</v>
      </c>
      <c r="R61">
        <v>1.1260616427471559</v>
      </c>
      <c r="S61">
        <v>0.76557822186800228</v>
      </c>
    </row>
    <row r="62" spans="1:19" x14ac:dyDescent="0.35">
      <c r="A62" t="s">
        <v>26</v>
      </c>
      <c r="B62">
        <v>146.34210845787501</v>
      </c>
      <c r="C62">
        <v>146.02913801345321</v>
      </c>
      <c r="D62">
        <v>145.5137258480222</v>
      </c>
      <c r="E62">
        <v>146.06253548152901</v>
      </c>
      <c r="F62">
        <v>145.65754552600859</v>
      </c>
      <c r="G62">
        <v>146.74943363293829</v>
      </c>
      <c r="H62">
        <v>146.73532750552801</v>
      </c>
      <c r="I62">
        <v>147.48857712065379</v>
      </c>
      <c r="J62">
        <v>147.47067391389561</v>
      </c>
      <c r="K62">
        <v>146.8192953585565</v>
      </c>
      <c r="L62">
        <v>147.88106797400491</v>
      </c>
      <c r="M62">
        <v>147.43454068216451</v>
      </c>
      <c r="N62">
        <v>146.93321154173529</v>
      </c>
      <c r="O62">
        <v>146.83345453061591</v>
      </c>
      <c r="P62">
        <v>146.06732607176801</v>
      </c>
      <c r="Q62">
        <v>145.78699666596731</v>
      </c>
      <c r="R62">
        <v>146.018816069211</v>
      </c>
      <c r="S62">
        <v>148.86595943462061</v>
      </c>
    </row>
    <row r="63" spans="1:19" x14ac:dyDescent="0.35">
      <c r="A63" t="s">
        <v>27</v>
      </c>
      <c r="B63">
        <v>35548297.240000002</v>
      </c>
      <c r="C63">
        <v>38274707.209999993</v>
      </c>
      <c r="D63">
        <v>40258177.939999998</v>
      </c>
      <c r="E63">
        <v>38057732.900000013</v>
      </c>
      <c r="F63">
        <v>38605527.079999998</v>
      </c>
      <c r="G63">
        <v>36904430.460000001</v>
      </c>
      <c r="H63">
        <v>36386863.520000003</v>
      </c>
      <c r="I63">
        <v>36238429.130000003</v>
      </c>
      <c r="J63">
        <v>36478835.630000003</v>
      </c>
      <c r="K63">
        <v>36026638.829999998</v>
      </c>
      <c r="L63">
        <v>38409077.740000002</v>
      </c>
      <c r="M63">
        <v>36985481.829999998</v>
      </c>
      <c r="N63">
        <v>37293225.270000003</v>
      </c>
      <c r="O63">
        <v>34969003.450000003</v>
      </c>
      <c r="P63">
        <v>34894130.869999997</v>
      </c>
      <c r="Q63">
        <v>34432219.280000001</v>
      </c>
      <c r="R63">
        <v>31407511.309999999</v>
      </c>
      <c r="S63">
        <v>20451376.539999999</v>
      </c>
    </row>
    <row r="64" spans="1:19" x14ac:dyDescent="0.35">
      <c r="A64" t="s">
        <v>28</v>
      </c>
      <c r="B64">
        <v>1.512181411191633</v>
      </c>
      <c r="C64">
        <v>1.5104026094768579</v>
      </c>
      <c r="D64">
        <v>1.5106768176813929</v>
      </c>
      <c r="E64">
        <v>1.470143089885531</v>
      </c>
      <c r="F64">
        <v>1.4922913181630251</v>
      </c>
      <c r="G64">
        <v>1.503406418441708</v>
      </c>
      <c r="H64">
        <v>1.5160313569906181</v>
      </c>
      <c r="I64">
        <v>1.491675467411627</v>
      </c>
      <c r="J64">
        <v>1.5264527329671509</v>
      </c>
      <c r="K64">
        <v>1.563028266905417</v>
      </c>
      <c r="L64">
        <v>1.5006425088275199</v>
      </c>
      <c r="M64">
        <v>1.521152304048162</v>
      </c>
      <c r="N64">
        <v>1.5316701292065711</v>
      </c>
      <c r="O64">
        <v>1.550370783725167</v>
      </c>
      <c r="P64">
        <v>1.5524760188444371</v>
      </c>
      <c r="Q64">
        <v>1.5573591558809901</v>
      </c>
      <c r="R64">
        <v>1.586885903239045</v>
      </c>
      <c r="S64">
        <v>1.5864879952803841</v>
      </c>
    </row>
    <row r="65" spans="1:19" x14ac:dyDescent="0.35">
      <c r="A65" t="s">
        <v>29</v>
      </c>
      <c r="B65">
        <v>0.24198377833728271</v>
      </c>
      <c r="C65">
        <v>0.24300697387025161</v>
      </c>
      <c r="D65">
        <v>0.24369525007432569</v>
      </c>
      <c r="E65">
        <v>0.2440186276524369</v>
      </c>
      <c r="F65">
        <v>0.24348767661135631</v>
      </c>
      <c r="G65">
        <v>0.24141990477522191</v>
      </c>
      <c r="H65">
        <v>0.24037917893902611</v>
      </c>
      <c r="I65">
        <v>0.24066513415925209</v>
      </c>
      <c r="J65">
        <v>0.24072856063226819</v>
      </c>
      <c r="K65">
        <v>0.24022024161908201</v>
      </c>
      <c r="L65">
        <v>0.23918898325133281</v>
      </c>
      <c r="M65">
        <v>0.23941081075279319</v>
      </c>
      <c r="N65">
        <v>0.24103070506175611</v>
      </c>
      <c r="O65">
        <v>0.24071698315217499</v>
      </c>
      <c r="P65">
        <v>0.24157619027202321</v>
      </c>
      <c r="Q65">
        <v>0.2395618970995354</v>
      </c>
      <c r="R65">
        <v>0.23954371331734781</v>
      </c>
      <c r="S65">
        <v>0.24289105936836861</v>
      </c>
    </row>
    <row r="67" spans="1:19" x14ac:dyDescent="0.35">
      <c r="A67" t="s">
        <v>37</v>
      </c>
      <c r="B67" t="s">
        <v>72</v>
      </c>
      <c r="C67" t="s">
        <v>73</v>
      </c>
      <c r="D67" t="s">
        <v>74</v>
      </c>
      <c r="E67" t="s">
        <v>75</v>
      </c>
      <c r="F67" t="s">
        <v>76</v>
      </c>
      <c r="G67" t="s">
        <v>77</v>
      </c>
      <c r="H67" t="s">
        <v>78</v>
      </c>
      <c r="I67" t="s">
        <v>79</v>
      </c>
      <c r="J67" t="s">
        <v>80</v>
      </c>
      <c r="K67" t="s">
        <v>81</v>
      </c>
      <c r="L67" t="s">
        <v>82</v>
      </c>
      <c r="M67" t="s">
        <v>83</v>
      </c>
      <c r="N67" t="s">
        <v>84</v>
      </c>
      <c r="O67" t="s">
        <v>85</v>
      </c>
      <c r="P67" t="s">
        <v>86</v>
      </c>
      <c r="Q67" t="s">
        <v>87</v>
      </c>
      <c r="R67" t="s">
        <v>88</v>
      </c>
      <c r="S67" t="s">
        <v>89</v>
      </c>
    </row>
    <row r="68" spans="1:19" x14ac:dyDescent="0.35">
      <c r="A68" t="s">
        <v>21</v>
      </c>
      <c r="B68">
        <v>141.50052339305989</v>
      </c>
      <c r="C68">
        <v>141.49959136091309</v>
      </c>
      <c r="D68">
        <v>141.56311503006901</v>
      </c>
      <c r="E68">
        <v>141.45590428905231</v>
      </c>
      <c r="F68">
        <v>141.76162517183101</v>
      </c>
      <c r="G68">
        <v>140.94984240829359</v>
      </c>
      <c r="H68">
        <v>141.21936217304159</v>
      </c>
      <c r="I68">
        <v>141.38775571961</v>
      </c>
      <c r="J68">
        <v>141.30519776389639</v>
      </c>
      <c r="K68">
        <v>142.10728551912459</v>
      </c>
      <c r="L68">
        <v>141.9872948765788</v>
      </c>
      <c r="M68">
        <v>141.70069393450859</v>
      </c>
      <c r="N68">
        <v>142.03815720298769</v>
      </c>
      <c r="O68">
        <v>141.87439795850091</v>
      </c>
      <c r="P68">
        <v>141.62126412753869</v>
      </c>
      <c r="Q68">
        <v>142.4369131213472</v>
      </c>
      <c r="R68">
        <v>142.17026517690979</v>
      </c>
      <c r="S68">
        <v>142.32079684005879</v>
      </c>
    </row>
    <row r="69" spans="1:19" x14ac:dyDescent="0.35">
      <c r="A69" t="s">
        <v>22</v>
      </c>
      <c r="B69">
        <v>2.1600002015484132</v>
      </c>
      <c r="C69">
        <v>2.543862972070781</v>
      </c>
      <c r="D69">
        <v>2.1957303944935211</v>
      </c>
      <c r="E69">
        <v>2.2302905819394301</v>
      </c>
      <c r="F69">
        <v>2.4336005343239959</v>
      </c>
      <c r="G69">
        <v>2.25511924614834</v>
      </c>
      <c r="H69">
        <v>1.947559367005729</v>
      </c>
      <c r="I69">
        <v>2.1537067828059899</v>
      </c>
      <c r="J69">
        <v>2.0571437852244272</v>
      </c>
      <c r="K69">
        <v>2.096557430136345</v>
      </c>
      <c r="L69">
        <v>2.360302914226907</v>
      </c>
      <c r="M69">
        <v>2.4046533136059911</v>
      </c>
      <c r="N69">
        <v>2.3694376490634208</v>
      </c>
      <c r="O69">
        <v>2.4741974753761702</v>
      </c>
      <c r="P69">
        <v>2.281014967414623</v>
      </c>
      <c r="Q69">
        <v>2.559803711831893</v>
      </c>
      <c r="R69">
        <v>2.6267490338144621</v>
      </c>
      <c r="S69">
        <v>1.727370528529141</v>
      </c>
    </row>
    <row r="70" spans="1:19" x14ac:dyDescent="0.35">
      <c r="A70" t="s">
        <v>23</v>
      </c>
      <c r="B70">
        <v>2.7590078515055358</v>
      </c>
      <c r="C70">
        <v>3.6798442453397469</v>
      </c>
      <c r="D70">
        <v>3.0885153725708441</v>
      </c>
      <c r="E70">
        <v>2.3225062087262569</v>
      </c>
      <c r="F70">
        <v>2.9330036779457331</v>
      </c>
      <c r="G70">
        <v>3.7999555116883448</v>
      </c>
      <c r="H70">
        <v>3.0074858336427122</v>
      </c>
      <c r="I70">
        <v>3.1915382766706379</v>
      </c>
      <c r="J70">
        <v>3.1446575490817432</v>
      </c>
      <c r="K70">
        <v>2.704597813539015</v>
      </c>
      <c r="L70">
        <v>3.3380049293659719</v>
      </c>
      <c r="M70">
        <v>3.3645204685639269</v>
      </c>
      <c r="N70">
        <v>3.317807222948856</v>
      </c>
      <c r="O70">
        <v>4.5113864419703811</v>
      </c>
      <c r="P70">
        <v>2.19486760994974</v>
      </c>
      <c r="Q70">
        <v>3.2135784453718719</v>
      </c>
      <c r="R70">
        <v>3.0623271238219321</v>
      </c>
      <c r="S70">
        <v>3.0737062280490259</v>
      </c>
    </row>
    <row r="71" spans="1:19" x14ac:dyDescent="0.35">
      <c r="A71" t="s">
        <v>24</v>
      </c>
      <c r="B71">
        <v>4.1987982514876059</v>
      </c>
      <c r="C71">
        <v>3.8943928968531938</v>
      </c>
      <c r="D71">
        <v>3.431174186488311</v>
      </c>
      <c r="E71">
        <v>3.5759753994311829</v>
      </c>
      <c r="F71">
        <v>4.0106676145606892</v>
      </c>
      <c r="G71">
        <v>4.0204152454432478</v>
      </c>
      <c r="H71">
        <v>3.784453323152825</v>
      </c>
      <c r="I71">
        <v>3.5616060399501941</v>
      </c>
      <c r="J71">
        <v>3.812507069003678</v>
      </c>
      <c r="K71">
        <v>3.7737836618670721</v>
      </c>
      <c r="L71">
        <v>3.9494111233344769</v>
      </c>
      <c r="M71">
        <v>4.0442154501180889</v>
      </c>
      <c r="N71">
        <v>3.5386476455391671</v>
      </c>
      <c r="O71">
        <v>4.1887493551687474</v>
      </c>
      <c r="P71">
        <v>3.4762044804312322</v>
      </c>
      <c r="Q71">
        <v>3.5904971098206739</v>
      </c>
      <c r="R71">
        <v>3.9352597503527891</v>
      </c>
      <c r="S71">
        <v>3.3957529579108479</v>
      </c>
    </row>
    <row r="72" spans="1:19" x14ac:dyDescent="0.35">
      <c r="A72" t="s">
        <v>25</v>
      </c>
      <c r="B72">
        <v>0.87884884414417341</v>
      </c>
      <c r="C72">
        <v>1.157570956211678</v>
      </c>
      <c r="D72">
        <v>0.97084707433705353</v>
      </c>
      <c r="E72">
        <v>0.86671800558743317</v>
      </c>
      <c r="F72">
        <v>1.030992500846871</v>
      </c>
      <c r="G72">
        <v>1.038212325463312</v>
      </c>
      <c r="H72">
        <v>0.76920826144168986</v>
      </c>
      <c r="I72">
        <v>0.90316276459233602</v>
      </c>
      <c r="J72">
        <v>0.872577237726335</v>
      </c>
      <c r="K72">
        <v>0.65903095399733747</v>
      </c>
      <c r="L72">
        <v>0.48663415065757082</v>
      </c>
      <c r="M72">
        <v>0.77136814341903259</v>
      </c>
      <c r="N72">
        <v>0.65863903409452929</v>
      </c>
      <c r="O72">
        <v>0.82420816238640948</v>
      </c>
      <c r="P72">
        <v>0.53253142978193535</v>
      </c>
      <c r="Q72">
        <v>0.93048607683182194</v>
      </c>
      <c r="R72">
        <v>1.1205266679161461</v>
      </c>
      <c r="S72">
        <v>0.5442297817228674</v>
      </c>
    </row>
    <row r="73" spans="1:19" x14ac:dyDescent="0.35">
      <c r="A73" t="s">
        <v>26</v>
      </c>
      <c r="B73">
        <v>151.49717854174551</v>
      </c>
      <c r="C73">
        <v>152.77526243138851</v>
      </c>
      <c r="D73">
        <v>151.24938205795871</v>
      </c>
      <c r="E73">
        <v>150.4513944847366</v>
      </c>
      <c r="F73">
        <v>152.16988949950829</v>
      </c>
      <c r="G73">
        <v>152.06354473703681</v>
      </c>
      <c r="H73">
        <v>150.72806895828461</v>
      </c>
      <c r="I73">
        <v>151.19776958362911</v>
      </c>
      <c r="J73">
        <v>151.19208340493259</v>
      </c>
      <c r="K73">
        <v>151.34125537866441</v>
      </c>
      <c r="L73">
        <v>152.12164799416371</v>
      </c>
      <c r="M73">
        <v>152.28545131021559</v>
      </c>
      <c r="N73">
        <v>151.9226887546337</v>
      </c>
      <c r="O73">
        <v>153.87293939340259</v>
      </c>
      <c r="P73">
        <v>150.1058826151162</v>
      </c>
      <c r="Q73">
        <v>152.73127846520339</v>
      </c>
      <c r="R73">
        <v>152.9151277528151</v>
      </c>
      <c r="S73">
        <v>151.06185633627069</v>
      </c>
    </row>
    <row r="74" spans="1:19" x14ac:dyDescent="0.35">
      <c r="A74" t="s">
        <v>27</v>
      </c>
      <c r="B74">
        <v>16638407.73</v>
      </c>
      <c r="C74">
        <v>17247193.460000001</v>
      </c>
      <c r="D74">
        <v>16818352.920000002</v>
      </c>
      <c r="E74">
        <v>17848505.010000002</v>
      </c>
      <c r="F74">
        <v>17617314.620000001</v>
      </c>
      <c r="G74">
        <v>17727297.100000001</v>
      </c>
      <c r="H74">
        <v>18062003.170000002</v>
      </c>
      <c r="I74">
        <v>18253586.59</v>
      </c>
      <c r="J74">
        <v>16695744.439999999</v>
      </c>
      <c r="K74">
        <v>13716514.07</v>
      </c>
      <c r="L74">
        <v>14331964.560000001</v>
      </c>
      <c r="M74">
        <v>13918509.16</v>
      </c>
      <c r="N74">
        <v>13326630.789999999</v>
      </c>
      <c r="O74">
        <v>12937417.16</v>
      </c>
      <c r="P74">
        <v>11885835.09</v>
      </c>
      <c r="Q74">
        <v>10795353.689999999</v>
      </c>
      <c r="R74">
        <v>10056845.970000001</v>
      </c>
      <c r="S74">
        <v>3743451.26</v>
      </c>
    </row>
    <row r="75" spans="1:19" x14ac:dyDescent="0.35">
      <c r="A75" t="s">
        <v>28</v>
      </c>
      <c r="B75">
        <v>1.4805514193514639</v>
      </c>
      <c r="C75">
        <v>1.5077381515117481</v>
      </c>
      <c r="D75">
        <v>1.536539539406111</v>
      </c>
      <c r="E75">
        <v>1.514852815152075</v>
      </c>
      <c r="F75">
        <v>1.5013537617156461</v>
      </c>
      <c r="G75">
        <v>1.495711119340746</v>
      </c>
      <c r="H75">
        <v>1.5297759838829541</v>
      </c>
      <c r="I75">
        <v>1.5239552049333349</v>
      </c>
      <c r="J75">
        <v>1.524157056569639</v>
      </c>
      <c r="K75">
        <v>1.529720055690152</v>
      </c>
      <c r="L75">
        <v>1.5137994974818501</v>
      </c>
      <c r="M75">
        <v>1.5155765487406161</v>
      </c>
      <c r="N75">
        <v>1.53645113669061</v>
      </c>
      <c r="O75">
        <v>1.48594150759774</v>
      </c>
      <c r="P75">
        <v>1.550643305340655</v>
      </c>
      <c r="Q75">
        <v>1.517638608443181</v>
      </c>
      <c r="R75">
        <v>1.519950934183018</v>
      </c>
      <c r="S75">
        <v>1.5497776148285449</v>
      </c>
    </row>
    <row r="76" spans="1:19" x14ac:dyDescent="0.35">
      <c r="A76" t="s">
        <v>29</v>
      </c>
      <c r="B76">
        <v>0.23463259458403721</v>
      </c>
      <c r="C76">
        <v>0.2307826479741939</v>
      </c>
      <c r="D76">
        <v>0.233227613193944</v>
      </c>
      <c r="E76">
        <v>0.23446280989791701</v>
      </c>
      <c r="F76">
        <v>0.23263978275628941</v>
      </c>
      <c r="G76">
        <v>0.23243108273167029</v>
      </c>
      <c r="H76">
        <v>0.23670768280764279</v>
      </c>
      <c r="I76">
        <v>0.2340702475882577</v>
      </c>
      <c r="J76">
        <v>0.23529409713868379</v>
      </c>
      <c r="K76">
        <v>0.23839180099342841</v>
      </c>
      <c r="L76">
        <v>0.24076380164709249</v>
      </c>
      <c r="M76">
        <v>0.23697583883596049</v>
      </c>
      <c r="N76">
        <v>0.23794819515533369</v>
      </c>
      <c r="O76">
        <v>0.23558228152001551</v>
      </c>
      <c r="P76">
        <v>0.23999901480553021</v>
      </c>
      <c r="Q76">
        <v>0.2336426560530783</v>
      </c>
      <c r="R76">
        <v>0.23183992706681569</v>
      </c>
      <c r="S76">
        <v>0.2397976105434855</v>
      </c>
    </row>
    <row r="78" spans="1:19" x14ac:dyDescent="0.35">
      <c r="A78" t="s">
        <v>38</v>
      </c>
      <c r="B78" t="s">
        <v>72</v>
      </c>
      <c r="C78" t="s">
        <v>73</v>
      </c>
      <c r="D78" t="s">
        <v>74</v>
      </c>
      <c r="E78" t="s">
        <v>75</v>
      </c>
      <c r="F78" t="s">
        <v>76</v>
      </c>
      <c r="G78" t="s">
        <v>77</v>
      </c>
      <c r="H78" t="s">
        <v>78</v>
      </c>
      <c r="I78" t="s">
        <v>79</v>
      </c>
      <c r="J78" t="s">
        <v>80</v>
      </c>
      <c r="K78" t="s">
        <v>81</v>
      </c>
      <c r="L78" t="s">
        <v>82</v>
      </c>
      <c r="M78" t="s">
        <v>83</v>
      </c>
      <c r="N78" t="s">
        <v>84</v>
      </c>
      <c r="O78" t="s">
        <v>85</v>
      </c>
      <c r="P78" t="s">
        <v>86</v>
      </c>
      <c r="Q78" t="s">
        <v>87</v>
      </c>
      <c r="R78" t="s">
        <v>88</v>
      </c>
      <c r="S78" t="s">
        <v>89</v>
      </c>
    </row>
    <row r="79" spans="1:19" x14ac:dyDescent="0.35">
      <c r="A79" t="s">
        <v>21</v>
      </c>
      <c r="B79">
        <v>141.85549903303129</v>
      </c>
      <c r="C79">
        <v>141.8399461320312</v>
      </c>
      <c r="D79">
        <v>142.10510283040651</v>
      </c>
      <c r="E79">
        <v>141.9390669033744</v>
      </c>
      <c r="F79">
        <v>142.32772008582501</v>
      </c>
      <c r="G79">
        <v>141.62851488606341</v>
      </c>
      <c r="H79">
        <v>141.78840754488391</v>
      </c>
      <c r="I79">
        <v>141.9731777272566</v>
      </c>
      <c r="J79">
        <v>141.93461787435339</v>
      </c>
      <c r="K79">
        <v>142.65113508953419</v>
      </c>
      <c r="L79">
        <v>142.81616691216439</v>
      </c>
      <c r="M79">
        <v>142.45021169314589</v>
      </c>
      <c r="N79">
        <v>142.73346755524611</v>
      </c>
      <c r="O79">
        <v>142.59848215381521</v>
      </c>
      <c r="P79">
        <v>142.46867342983609</v>
      </c>
      <c r="Q79">
        <v>143.12064659933401</v>
      </c>
      <c r="R79">
        <v>142.99555921418391</v>
      </c>
      <c r="S79">
        <v>143.07305312000631</v>
      </c>
    </row>
    <row r="80" spans="1:19" x14ac:dyDescent="0.35">
      <c r="A80" t="s">
        <v>22</v>
      </c>
      <c r="B80">
        <v>1.6976518744484119</v>
      </c>
      <c r="C80">
        <v>1.9714454195943441</v>
      </c>
      <c r="D80">
        <v>1.6141812859050939</v>
      </c>
      <c r="E80">
        <v>1.7176770208181891</v>
      </c>
      <c r="F80">
        <v>1.960189795411998</v>
      </c>
      <c r="G80">
        <v>1.8579145037528431</v>
      </c>
      <c r="H80">
        <v>1.6465253217997979</v>
      </c>
      <c r="I80">
        <v>1.6827808799837869</v>
      </c>
      <c r="J80">
        <v>1.6668714919068399</v>
      </c>
      <c r="K80">
        <v>1.671533795243499</v>
      </c>
      <c r="L80">
        <v>1.8231098538577171</v>
      </c>
      <c r="M80">
        <v>1.8785366961008869</v>
      </c>
      <c r="N80">
        <v>1.799499709474683</v>
      </c>
      <c r="O80">
        <v>2.0608232133178981</v>
      </c>
      <c r="P80">
        <v>1.7076799978999591</v>
      </c>
      <c r="Q80">
        <v>2.211220365808062</v>
      </c>
      <c r="R80">
        <v>2.098464244218321</v>
      </c>
      <c r="S80">
        <v>1.4292637809343831</v>
      </c>
    </row>
    <row r="81" spans="1:19" x14ac:dyDescent="0.35">
      <c r="A81" t="s">
        <v>23</v>
      </c>
      <c r="B81">
        <v>2.3487106153674908</v>
      </c>
      <c r="C81">
        <v>3.095143133773115</v>
      </c>
      <c r="D81">
        <v>2.555145242551053</v>
      </c>
      <c r="E81">
        <v>1.9545231511140619</v>
      </c>
      <c r="F81">
        <v>2.495774638750563</v>
      </c>
      <c r="G81">
        <v>3.0009533062303642</v>
      </c>
      <c r="H81">
        <v>2.4451118121064441</v>
      </c>
      <c r="I81">
        <v>2.681870576010013</v>
      </c>
      <c r="J81">
        <v>2.522724638415268</v>
      </c>
      <c r="K81">
        <v>1.969316047891611</v>
      </c>
      <c r="L81">
        <v>2.2606905676029698</v>
      </c>
      <c r="M81">
        <v>2.4928466847529691</v>
      </c>
      <c r="N81">
        <v>2.5116430028539489</v>
      </c>
      <c r="O81">
        <v>3.219783692055052</v>
      </c>
      <c r="P81">
        <v>1.4892104036399729</v>
      </c>
      <c r="Q81">
        <v>2.512530022031807</v>
      </c>
      <c r="R81">
        <v>2.382874458890063</v>
      </c>
      <c r="S81">
        <v>2.626597786312773</v>
      </c>
    </row>
    <row r="82" spans="1:19" x14ac:dyDescent="0.35">
      <c r="A82" t="s">
        <v>24</v>
      </c>
      <c r="B82">
        <v>3.72710877904774</v>
      </c>
      <c r="C82">
        <v>3.436681558126641</v>
      </c>
      <c r="D82">
        <v>2.986236691898021</v>
      </c>
      <c r="E82">
        <v>3.1758080343334458</v>
      </c>
      <c r="F82">
        <v>3.547567089231257</v>
      </c>
      <c r="G82">
        <v>3.598402311166518</v>
      </c>
      <c r="H82">
        <v>3.4103495087339391</v>
      </c>
      <c r="I82">
        <v>3.2431576422923012</v>
      </c>
      <c r="J82">
        <v>3.4454337302387592</v>
      </c>
      <c r="K82">
        <v>3.4458575492711212</v>
      </c>
      <c r="L82">
        <v>3.4698422566437159</v>
      </c>
      <c r="M82">
        <v>3.6268055408383781</v>
      </c>
      <c r="N82">
        <v>3.2240396193245449</v>
      </c>
      <c r="O82">
        <v>3.7886424640266769</v>
      </c>
      <c r="P82">
        <v>3.2066462534980662</v>
      </c>
      <c r="Q82">
        <v>3.325299042543874</v>
      </c>
      <c r="R82">
        <v>3.728243280091895</v>
      </c>
      <c r="S82">
        <v>3.3227799788216061</v>
      </c>
    </row>
    <row r="83" spans="1:19" x14ac:dyDescent="0.35">
      <c r="A83" t="s">
        <v>25</v>
      </c>
      <c r="B83">
        <v>0.6990091903105824</v>
      </c>
      <c r="C83">
        <v>0.88854415164472611</v>
      </c>
      <c r="D83">
        <v>0.75518344138673443</v>
      </c>
      <c r="E83">
        <v>0.63003977448693638</v>
      </c>
      <c r="F83">
        <v>0.81382597185970718</v>
      </c>
      <c r="G83">
        <v>0.80856502360981186</v>
      </c>
      <c r="H83">
        <v>0.58082247327746506</v>
      </c>
      <c r="I83">
        <v>0.70069055743896691</v>
      </c>
      <c r="J83">
        <v>0.6933020284022704</v>
      </c>
      <c r="K83">
        <v>0.46878045857539091</v>
      </c>
      <c r="L83">
        <v>0.32050548333654399</v>
      </c>
      <c r="M83">
        <v>0.55793509347048897</v>
      </c>
      <c r="N83">
        <v>0.47699631349321608</v>
      </c>
      <c r="O83">
        <v>0.61747643963183796</v>
      </c>
      <c r="P83">
        <v>0.3434865629455443</v>
      </c>
      <c r="Q83">
        <v>0.80559270499734204</v>
      </c>
      <c r="R83">
        <v>1.0056017152083501</v>
      </c>
      <c r="S83">
        <v>0.38614835432160832</v>
      </c>
    </row>
    <row r="84" spans="1:19" x14ac:dyDescent="0.35">
      <c r="A84" t="s">
        <v>26</v>
      </c>
      <c r="B84">
        <v>150.32797949220549</v>
      </c>
      <c r="C84">
        <v>151.23176039517</v>
      </c>
      <c r="D84">
        <v>150.0158494921474</v>
      </c>
      <c r="E84">
        <v>149.4171148841271</v>
      </c>
      <c r="F84">
        <v>151.1450775810786</v>
      </c>
      <c r="G84">
        <v>150.89435003082289</v>
      </c>
      <c r="H84">
        <v>149.87121666080151</v>
      </c>
      <c r="I84">
        <v>150.2816773829816</v>
      </c>
      <c r="J84">
        <v>150.26294976331661</v>
      </c>
      <c r="K84">
        <v>150.20662294051581</v>
      </c>
      <c r="L84">
        <v>150.69031507360529</v>
      </c>
      <c r="M84">
        <v>151.00633570830871</v>
      </c>
      <c r="N84">
        <v>150.74564620039251</v>
      </c>
      <c r="O84">
        <v>152.2852079628467</v>
      </c>
      <c r="P84">
        <v>149.21569664781961</v>
      </c>
      <c r="Q84">
        <v>151.97528873471501</v>
      </c>
      <c r="R84">
        <v>152.21074291259259</v>
      </c>
      <c r="S84">
        <v>150.8378430203966</v>
      </c>
    </row>
    <row r="85" spans="1:19" x14ac:dyDescent="0.35">
      <c r="A85" t="s">
        <v>27</v>
      </c>
      <c r="B85">
        <v>19882368.32</v>
      </c>
      <c r="C85">
        <v>20974842.969999999</v>
      </c>
      <c r="D85">
        <v>20841852.420000002</v>
      </c>
      <c r="E85">
        <v>21702343.16</v>
      </c>
      <c r="F85">
        <v>21410259.420000002</v>
      </c>
      <c r="G85">
        <v>20987946.670000002</v>
      </c>
      <c r="H85">
        <v>21329861.420000002</v>
      </c>
      <c r="I85">
        <v>21660428.699999999</v>
      </c>
      <c r="J85">
        <v>19742276.77</v>
      </c>
      <c r="K85">
        <v>16532853.59</v>
      </c>
      <c r="L85">
        <v>18087348.68</v>
      </c>
      <c r="M85">
        <v>17097153.989999998</v>
      </c>
      <c r="N85">
        <v>16591991.710000001</v>
      </c>
      <c r="O85">
        <v>16166756.07</v>
      </c>
      <c r="P85">
        <v>14702417.16</v>
      </c>
      <c r="Q85">
        <v>13212961.869999999</v>
      </c>
      <c r="R85">
        <v>12391958.1</v>
      </c>
      <c r="S85">
        <v>4563286.21</v>
      </c>
    </row>
    <row r="86" spans="1:19" x14ac:dyDescent="0.35">
      <c r="A86" t="s">
        <v>28</v>
      </c>
      <c r="B86">
        <v>1.4586670296511011</v>
      </c>
      <c r="C86">
        <v>1.4789234212255731</v>
      </c>
      <c r="D86">
        <v>1.5024387034570159</v>
      </c>
      <c r="E86">
        <v>1.4847514403866331</v>
      </c>
      <c r="F86">
        <v>1.472755453181199</v>
      </c>
      <c r="G86">
        <v>1.472560720681773</v>
      </c>
      <c r="H86">
        <v>1.5012933625028031</v>
      </c>
      <c r="I86">
        <v>1.4934141184845571</v>
      </c>
      <c r="J86">
        <v>1.495309655718065</v>
      </c>
      <c r="K86">
        <v>1.4919128581101579</v>
      </c>
      <c r="L86">
        <v>1.4740708675959939</v>
      </c>
      <c r="M86">
        <v>1.4775860821980999</v>
      </c>
      <c r="N86">
        <v>1.490206908557973</v>
      </c>
      <c r="O86">
        <v>1.445764947441317</v>
      </c>
      <c r="P86">
        <v>1.5012218073127539</v>
      </c>
      <c r="Q86">
        <v>1.4755852321615051</v>
      </c>
      <c r="R86">
        <v>1.467696668510222</v>
      </c>
      <c r="S86">
        <v>1.492891319018919</v>
      </c>
    </row>
    <row r="87" spans="1:19" x14ac:dyDescent="0.35">
      <c r="A87" t="s">
        <v>29</v>
      </c>
      <c r="B87">
        <v>0.23521323583819409</v>
      </c>
      <c r="C87">
        <v>0.23243648830578109</v>
      </c>
      <c r="D87">
        <v>0.23397323564231429</v>
      </c>
      <c r="E87">
        <v>0.23574061684119321</v>
      </c>
      <c r="F87">
        <v>0.2335510589892236</v>
      </c>
      <c r="G87">
        <v>0.23380664946081639</v>
      </c>
      <c r="H87">
        <v>0.23745375062267979</v>
      </c>
      <c r="I87">
        <v>0.23507961175851519</v>
      </c>
      <c r="J87">
        <v>0.23588618956910709</v>
      </c>
      <c r="K87">
        <v>0.23892809787085281</v>
      </c>
      <c r="L87">
        <v>0.2404969685154541</v>
      </c>
      <c r="M87">
        <v>0.23760882477686571</v>
      </c>
      <c r="N87">
        <v>0.23811112734252929</v>
      </c>
      <c r="O87">
        <v>0.2360673217883221</v>
      </c>
      <c r="P87">
        <v>0.24028457381194321</v>
      </c>
      <c r="Q87">
        <v>0.23324301322349911</v>
      </c>
      <c r="R87">
        <v>0.2310607679592622</v>
      </c>
      <c r="S87">
        <v>0.23979718724524179</v>
      </c>
    </row>
    <row r="89" spans="1:19" x14ac:dyDescent="0.35">
      <c r="A89" t="s">
        <v>39</v>
      </c>
      <c r="B89" t="s">
        <v>72</v>
      </c>
      <c r="C89" t="s">
        <v>73</v>
      </c>
      <c r="D89" t="s">
        <v>74</v>
      </c>
      <c r="E89" t="s">
        <v>75</v>
      </c>
      <c r="F89" t="s">
        <v>76</v>
      </c>
      <c r="G89" t="s">
        <v>77</v>
      </c>
      <c r="H89" t="s">
        <v>78</v>
      </c>
      <c r="I89" t="s">
        <v>79</v>
      </c>
      <c r="J89" t="s">
        <v>80</v>
      </c>
      <c r="K89" t="s">
        <v>81</v>
      </c>
      <c r="L89" t="s">
        <v>82</v>
      </c>
      <c r="M89" t="s">
        <v>83</v>
      </c>
      <c r="N89" t="s">
        <v>84</v>
      </c>
      <c r="O89" t="s">
        <v>85</v>
      </c>
      <c r="P89" t="s">
        <v>86</v>
      </c>
      <c r="Q89" t="s">
        <v>87</v>
      </c>
      <c r="R89" t="s">
        <v>88</v>
      </c>
      <c r="S89" t="s">
        <v>89</v>
      </c>
    </row>
    <row r="90" spans="1:19" x14ac:dyDescent="0.35">
      <c r="A90" t="s">
        <v>21</v>
      </c>
      <c r="B90">
        <v>142.77800422458549</v>
      </c>
      <c r="C90">
        <v>142.5784677464934</v>
      </c>
      <c r="D90">
        <v>142.55388668017781</v>
      </c>
      <c r="E90">
        <v>142.44238751970019</v>
      </c>
      <c r="F90">
        <v>142.5004927467466</v>
      </c>
      <c r="G90">
        <v>142.5112363745445</v>
      </c>
      <c r="H90">
        <v>142.97869870603029</v>
      </c>
      <c r="I90">
        <v>143.03418989857889</v>
      </c>
      <c r="J90">
        <v>143.1776292496389</v>
      </c>
      <c r="K90">
        <v>143.8518060437855</v>
      </c>
      <c r="L90">
        <v>143.34163218201229</v>
      </c>
      <c r="M90">
        <v>143.40832379293411</v>
      </c>
      <c r="N90">
        <v>143.67154905592349</v>
      </c>
      <c r="O90">
        <v>143.64179893875701</v>
      </c>
      <c r="P90">
        <v>143.50508591479101</v>
      </c>
      <c r="Q90">
        <v>143.54208141053269</v>
      </c>
      <c r="R90">
        <v>143.46575282904851</v>
      </c>
      <c r="S90">
        <v>143.84523994980799</v>
      </c>
    </row>
    <row r="91" spans="1:19" x14ac:dyDescent="0.35">
      <c r="A91" t="s">
        <v>22</v>
      </c>
      <c r="B91">
        <v>0.78257696866266435</v>
      </c>
      <c r="C91">
        <v>0.88707084555738869</v>
      </c>
      <c r="D91">
        <v>0.66569342438121437</v>
      </c>
      <c r="E91">
        <v>0.64459876235028979</v>
      </c>
      <c r="F91">
        <v>0.8250273521150836</v>
      </c>
      <c r="G91">
        <v>0.89935448705310572</v>
      </c>
      <c r="H91">
        <v>0.64249918797441119</v>
      </c>
      <c r="I91">
        <v>0.84143853264219115</v>
      </c>
      <c r="J91">
        <v>0.84999179933144153</v>
      </c>
      <c r="K91">
        <v>0.73491923167066364</v>
      </c>
      <c r="L91">
        <v>0.90434011373179213</v>
      </c>
      <c r="M91">
        <v>0.85804867542465091</v>
      </c>
      <c r="N91">
        <v>0.66581640943450671</v>
      </c>
      <c r="O91">
        <v>0.88171633400600913</v>
      </c>
      <c r="P91">
        <v>0.62538969323391602</v>
      </c>
      <c r="Q91">
        <v>0.51307600557147404</v>
      </c>
      <c r="R91">
        <v>0.92960662726008936</v>
      </c>
      <c r="S91">
        <v>2.2481069933155542</v>
      </c>
    </row>
    <row r="92" spans="1:19" x14ac:dyDescent="0.35">
      <c r="A92" t="s">
        <v>23</v>
      </c>
      <c r="B92">
        <v>1.2068361469620179</v>
      </c>
      <c r="C92">
        <v>1.4973463790598169</v>
      </c>
      <c r="D92">
        <v>1.20141077516225</v>
      </c>
      <c r="E92">
        <v>1.04353763872439</v>
      </c>
      <c r="F92">
        <v>1.1810984899875989</v>
      </c>
      <c r="G92">
        <v>1.6945260959039761</v>
      </c>
      <c r="H92">
        <v>1.340374876940301</v>
      </c>
      <c r="I92">
        <v>1.474237113668839</v>
      </c>
      <c r="J92">
        <v>1.615924559375602</v>
      </c>
      <c r="K92">
        <v>1.035438012870967</v>
      </c>
      <c r="L92">
        <v>1.4707005651605261</v>
      </c>
      <c r="M92">
        <v>1.385013593354137</v>
      </c>
      <c r="N92">
        <v>1.2723231426902371</v>
      </c>
      <c r="O92">
        <v>1.4997065967500689</v>
      </c>
      <c r="P92">
        <v>0.73474235569520918</v>
      </c>
      <c r="Q92">
        <v>1.093885467056581</v>
      </c>
      <c r="R92">
        <v>1.191710077376978</v>
      </c>
      <c r="S92">
        <v>1.782480086458927</v>
      </c>
    </row>
    <row r="93" spans="1:19" x14ac:dyDescent="0.35">
      <c r="A93" t="s">
        <v>24</v>
      </c>
      <c r="B93">
        <v>2.2000177504582048</v>
      </c>
      <c r="C93">
        <v>2.1069802371602808</v>
      </c>
      <c r="D93">
        <v>1.9234867012864809</v>
      </c>
      <c r="E93">
        <v>2.511229186565417</v>
      </c>
      <c r="F93">
        <v>2.3671095497881969</v>
      </c>
      <c r="G93">
        <v>2.2648317466334151</v>
      </c>
      <c r="H93">
        <v>2.0648178581250201</v>
      </c>
      <c r="I93">
        <v>2.2922939358583521</v>
      </c>
      <c r="J93">
        <v>1.9163432843331689</v>
      </c>
      <c r="K93">
        <v>1.3932619169196001</v>
      </c>
      <c r="L93">
        <v>2.1696424568273041</v>
      </c>
      <c r="M93">
        <v>1.956059231946379</v>
      </c>
      <c r="N93">
        <v>1.6820468945901439</v>
      </c>
      <c r="O93">
        <v>1.654959172085174</v>
      </c>
      <c r="P93">
        <v>1.3953339415243731</v>
      </c>
      <c r="Q93">
        <v>1.3183169648825479</v>
      </c>
      <c r="R93">
        <v>1.091615942399166</v>
      </c>
      <c r="S93">
        <v>0.6534912575639229</v>
      </c>
    </row>
    <row r="94" spans="1:19" x14ac:dyDescent="0.35">
      <c r="A94" t="s">
        <v>25</v>
      </c>
      <c r="B94">
        <v>0.80436134190359099</v>
      </c>
      <c r="C94">
        <v>0.80104522636015207</v>
      </c>
      <c r="D94">
        <v>0.70496921534442669</v>
      </c>
      <c r="E94">
        <v>0.63902435365930421</v>
      </c>
      <c r="F94">
        <v>0.74146039642528638</v>
      </c>
      <c r="G94">
        <v>0.88215745017969949</v>
      </c>
      <c r="H94">
        <v>0.86783979723182414</v>
      </c>
      <c r="I94">
        <v>0.89133892767502443</v>
      </c>
      <c r="J94">
        <v>0.89130426539736185</v>
      </c>
      <c r="K94">
        <v>0.86937113886704509</v>
      </c>
      <c r="L94">
        <v>0.89413399839556218</v>
      </c>
      <c r="M94">
        <v>0.95624763222992493</v>
      </c>
      <c r="N94">
        <v>0.81537655943507237</v>
      </c>
      <c r="O94">
        <v>0.87886513447253256</v>
      </c>
      <c r="P94">
        <v>0.74007818508908796</v>
      </c>
      <c r="Q94">
        <v>1.035774004754473</v>
      </c>
      <c r="R94">
        <v>1.091980536402769</v>
      </c>
      <c r="S94">
        <v>0.69636093520933695</v>
      </c>
    </row>
    <row r="95" spans="1:19" x14ac:dyDescent="0.35">
      <c r="A95" t="s">
        <v>26</v>
      </c>
      <c r="B95">
        <v>147.77179643257199</v>
      </c>
      <c r="C95">
        <v>147.87091043463101</v>
      </c>
      <c r="D95">
        <v>147.04944679635221</v>
      </c>
      <c r="E95">
        <v>147.28077746099959</v>
      </c>
      <c r="F95">
        <v>147.6151885350628</v>
      </c>
      <c r="G95">
        <v>148.2521061543147</v>
      </c>
      <c r="H95">
        <v>147.89423042630179</v>
      </c>
      <c r="I95">
        <v>148.5334984084233</v>
      </c>
      <c r="J95">
        <v>148.45119315807639</v>
      </c>
      <c r="K95">
        <v>147.88479634411379</v>
      </c>
      <c r="L95">
        <v>148.78044931612749</v>
      </c>
      <c r="M95">
        <v>148.56369292588931</v>
      </c>
      <c r="N95">
        <v>148.10711206207341</v>
      </c>
      <c r="O95">
        <v>148.5570461760708</v>
      </c>
      <c r="P95">
        <v>147.0006300903336</v>
      </c>
      <c r="Q95">
        <v>147.50313385279779</v>
      </c>
      <c r="R95">
        <v>147.77066601248751</v>
      </c>
      <c r="S95">
        <v>149.22567922235581</v>
      </c>
    </row>
    <row r="96" spans="1:19" x14ac:dyDescent="0.35">
      <c r="A96" t="s">
        <v>27</v>
      </c>
      <c r="B96">
        <v>55430665.560000002</v>
      </c>
      <c r="C96">
        <v>59249550.179999992</v>
      </c>
      <c r="D96">
        <v>61100030.359999999</v>
      </c>
      <c r="E96">
        <v>59760076.060000002</v>
      </c>
      <c r="F96">
        <v>60015786.5</v>
      </c>
      <c r="G96">
        <v>57892377.130000003</v>
      </c>
      <c r="H96">
        <v>57716724.939999998</v>
      </c>
      <c r="I96">
        <v>57898857.829999998</v>
      </c>
      <c r="J96">
        <v>56221112.399999999</v>
      </c>
      <c r="K96">
        <v>52559492.420000002</v>
      </c>
      <c r="L96">
        <v>56496426.420000002</v>
      </c>
      <c r="M96">
        <v>54082635.82</v>
      </c>
      <c r="N96">
        <v>53885216.979999997</v>
      </c>
      <c r="O96">
        <v>51135759.520000003</v>
      </c>
      <c r="P96">
        <v>49596548.030000001</v>
      </c>
      <c r="Q96">
        <v>47645181.150000013</v>
      </c>
      <c r="R96">
        <v>43799469.409999996</v>
      </c>
      <c r="S96">
        <v>25014662.75</v>
      </c>
    </row>
    <row r="97" spans="1:19" x14ac:dyDescent="0.35">
      <c r="A97" t="s">
        <v>28</v>
      </c>
      <c r="B97">
        <v>1.492986392812246</v>
      </c>
      <c r="C97">
        <v>1.4992587100145349</v>
      </c>
      <c r="D97">
        <v>1.50786671169827</v>
      </c>
      <c r="E97">
        <v>1.4754482276376679</v>
      </c>
      <c r="F97">
        <v>1.485322019555982</v>
      </c>
      <c r="G97">
        <v>1.4922238087152031</v>
      </c>
      <c r="H97">
        <v>1.5105847662431251</v>
      </c>
      <c r="I97">
        <v>1.492325910771148</v>
      </c>
      <c r="J97">
        <v>1.515516712239803</v>
      </c>
      <c r="K97">
        <v>1.54065855617439</v>
      </c>
      <c r="L97">
        <v>1.492135589533518</v>
      </c>
      <c r="M97">
        <v>1.50737970601481</v>
      </c>
      <c r="N97">
        <v>1.5189030392359251</v>
      </c>
      <c r="O97">
        <v>1.517299268711531</v>
      </c>
      <c r="P97">
        <v>1.5372822033657889</v>
      </c>
      <c r="Q97">
        <v>1.5346816109543751</v>
      </c>
      <c r="R97">
        <v>1.5531643074611421</v>
      </c>
      <c r="S97">
        <v>1.569413672657914</v>
      </c>
    </row>
    <row r="98" spans="1:19" x14ac:dyDescent="0.35">
      <c r="A98" t="s">
        <v>29</v>
      </c>
      <c r="B98">
        <v>0.2395552594239137</v>
      </c>
      <c r="C98">
        <v>0.23926493238372801</v>
      </c>
      <c r="D98">
        <v>0.2403789703798111</v>
      </c>
      <c r="E98">
        <v>0.241012402708422</v>
      </c>
      <c r="F98">
        <v>0.23994284993400861</v>
      </c>
      <c r="G98">
        <v>0.23865984197515711</v>
      </c>
      <c r="H98">
        <v>0.23929805417585431</v>
      </c>
      <c r="I98">
        <v>0.23857554527532901</v>
      </c>
      <c r="J98">
        <v>0.2390281419519725</v>
      </c>
      <c r="K98">
        <v>0.239813791282081</v>
      </c>
      <c r="L98">
        <v>0.2396077351448524</v>
      </c>
      <c r="M98">
        <v>0.2388411485820959</v>
      </c>
      <c r="N98">
        <v>0.24013172734525001</v>
      </c>
      <c r="O98">
        <v>0.2392469758269076</v>
      </c>
      <c r="P98">
        <v>0.24119330305988629</v>
      </c>
      <c r="Q98">
        <v>0.23780954419206771</v>
      </c>
      <c r="R98">
        <v>0.2371436773155878</v>
      </c>
      <c r="S98">
        <v>0.2423266614336026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20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</row>
    <row r="2" spans="1:20" x14ac:dyDescent="0.35">
      <c r="A2" t="s">
        <v>21</v>
      </c>
      <c r="B2">
        <v>140.81055832100711</v>
      </c>
      <c r="C2">
        <v>141.05537322829471</v>
      </c>
      <c r="D2">
        <v>142.18569838481429</v>
      </c>
      <c r="E2">
        <v>141.38209872817541</v>
      </c>
      <c r="F2">
        <v>141.13144602664721</v>
      </c>
      <c r="G2">
        <v>141.15729292874431</v>
      </c>
      <c r="H2">
        <v>140.7502065941498</v>
      </c>
      <c r="I2">
        <v>140.63681615147519</v>
      </c>
      <c r="J2">
        <v>140.96144004661701</v>
      </c>
      <c r="K2">
        <v>142.68916787016221</v>
      </c>
      <c r="L2">
        <v>142.47693820094841</v>
      </c>
      <c r="M2">
        <v>141.4456784134226</v>
      </c>
      <c r="N2">
        <v>141.6052689204964</v>
      </c>
      <c r="O2">
        <v>141.61444460318799</v>
      </c>
      <c r="P2">
        <v>141.6553271789891</v>
      </c>
      <c r="Q2">
        <v>143.4845841536623</v>
      </c>
      <c r="R2">
        <v>141.29948848518029</v>
      </c>
      <c r="S2">
        <v>142.54013290043679</v>
      </c>
      <c r="T2">
        <v>143.06768076327421</v>
      </c>
    </row>
    <row r="3" spans="1:20" x14ac:dyDescent="0.35">
      <c r="A3" t="s">
        <v>22</v>
      </c>
      <c r="B3">
        <v>2.9882161069752442</v>
      </c>
      <c r="C3">
        <v>3.00350568014133</v>
      </c>
      <c r="D3">
        <v>2.8261244818872342</v>
      </c>
      <c r="E3">
        <v>2.3225238745493191</v>
      </c>
      <c r="F3">
        <v>3.2507098864506641</v>
      </c>
      <c r="G3">
        <v>2.8252109397680272</v>
      </c>
      <c r="H3">
        <v>2.2042861005950272</v>
      </c>
      <c r="I3">
        <v>2.344944136264786</v>
      </c>
      <c r="J3">
        <v>2.2250954504679328</v>
      </c>
      <c r="K3">
        <v>2.5141233546727619</v>
      </c>
      <c r="L3">
        <v>2.766966897074838</v>
      </c>
      <c r="M3">
        <v>2.8468874965964228</v>
      </c>
      <c r="N3">
        <v>2.3500393313496768</v>
      </c>
      <c r="O3">
        <v>2.905417486924478</v>
      </c>
      <c r="P3">
        <v>2.8739293613156178</v>
      </c>
      <c r="Q3">
        <v>3.208731717536097</v>
      </c>
      <c r="R3">
        <v>2.6515211929824152</v>
      </c>
      <c r="S3">
        <v>2.7751966626375411</v>
      </c>
      <c r="T3">
        <v>0.77285968186953369</v>
      </c>
    </row>
    <row r="4" spans="1:20" x14ac:dyDescent="0.35">
      <c r="A4" t="s">
        <v>23</v>
      </c>
      <c r="B4">
        <v>2.5353148823433931</v>
      </c>
      <c r="C4">
        <v>4.2870718277099646</v>
      </c>
      <c r="D4">
        <v>2.5855346694610128</v>
      </c>
      <c r="E4">
        <v>2.3487812313429042</v>
      </c>
      <c r="F4">
        <v>3.6671221664474039</v>
      </c>
      <c r="G4">
        <v>4.81540455018665</v>
      </c>
      <c r="H4">
        <v>2.4759134542446839</v>
      </c>
      <c r="I4">
        <v>2.7230726172286341</v>
      </c>
      <c r="J4">
        <v>4.2198852525524631</v>
      </c>
      <c r="K4">
        <v>2.7589057767345651</v>
      </c>
      <c r="L4">
        <v>2.7791064788274582</v>
      </c>
      <c r="M4">
        <v>4.089366402411831</v>
      </c>
      <c r="N4">
        <v>4.1136168865528733</v>
      </c>
      <c r="O4">
        <v>5.1086557648458557</v>
      </c>
      <c r="P4">
        <v>2.5370460339396739</v>
      </c>
      <c r="Q4">
        <v>2.107819114624875</v>
      </c>
      <c r="R4">
        <v>3.8268980203330289</v>
      </c>
      <c r="S4">
        <v>0.85543745599013421</v>
      </c>
      <c r="T4">
        <v>-0.29006761955554872</v>
      </c>
    </row>
    <row r="5" spans="1:20" x14ac:dyDescent="0.35">
      <c r="A5" t="s">
        <v>24</v>
      </c>
      <c r="B5">
        <v>4.9520214973779844</v>
      </c>
      <c r="C5">
        <v>4.0103005809446088</v>
      </c>
      <c r="D5">
        <v>4.012422264265517</v>
      </c>
      <c r="E5">
        <v>4.177202210564567</v>
      </c>
      <c r="F5">
        <v>4.3764110554066233</v>
      </c>
      <c r="G5">
        <v>4.6046255547845627</v>
      </c>
      <c r="H5">
        <v>4.0742077507331214</v>
      </c>
      <c r="I5">
        <v>4.0929156516228922</v>
      </c>
      <c r="J5">
        <v>3.5114000619429979</v>
      </c>
      <c r="K5">
        <v>4.1062914855263211</v>
      </c>
      <c r="L5">
        <v>3.7168350541020292</v>
      </c>
      <c r="M5">
        <v>3.9905785354042829</v>
      </c>
      <c r="N5">
        <v>4.6330040890289101</v>
      </c>
      <c r="O5">
        <v>4.3123199981521498</v>
      </c>
      <c r="P5">
        <v>4.0668433601930314</v>
      </c>
      <c r="Q5">
        <v>3.954112529326189</v>
      </c>
      <c r="R5">
        <v>3.2197509774018691</v>
      </c>
      <c r="S5">
        <v>2.8426182849113859</v>
      </c>
      <c r="T5">
        <v>3.041516803014197</v>
      </c>
    </row>
    <row r="6" spans="1:20" x14ac:dyDescent="0.35">
      <c r="A6" t="s">
        <v>25</v>
      </c>
      <c r="B6">
        <v>1.4627528400031899</v>
      </c>
      <c r="C6">
        <v>1.8012694690834219</v>
      </c>
      <c r="D6">
        <v>1.94315742196976</v>
      </c>
      <c r="E6">
        <v>1.7028213446379341</v>
      </c>
      <c r="F6">
        <v>1.762562693037673</v>
      </c>
      <c r="G6">
        <v>1.958681122262661</v>
      </c>
      <c r="H6">
        <v>1.2840725314428969</v>
      </c>
      <c r="I6">
        <v>1.392494719369878</v>
      </c>
      <c r="J6">
        <v>1.2079545393155009</v>
      </c>
      <c r="K6">
        <v>1.295210919666228</v>
      </c>
      <c r="L6">
        <v>0.76031000020299999</v>
      </c>
      <c r="M6">
        <v>1.479378807887715</v>
      </c>
      <c r="N6">
        <v>1.26112326452657</v>
      </c>
      <c r="O6">
        <v>1.492609580986874</v>
      </c>
      <c r="P6">
        <v>0.83751951218637</v>
      </c>
      <c r="Q6">
        <v>1.394174896595554</v>
      </c>
      <c r="R6">
        <v>1.4192824809255731</v>
      </c>
      <c r="S6">
        <v>0.82166651672107749</v>
      </c>
      <c r="T6">
        <v>1.3287523855558161</v>
      </c>
    </row>
    <row r="7" spans="1:20" x14ac:dyDescent="0.35">
      <c r="A7" t="s">
        <v>26</v>
      </c>
      <c r="B7">
        <v>152.74886364770691</v>
      </c>
      <c r="C7">
        <v>154.15752078617399</v>
      </c>
      <c r="D7">
        <v>153.55293722239779</v>
      </c>
      <c r="E7">
        <v>151.93342738927021</v>
      </c>
      <c r="F7">
        <v>154.18825182798949</v>
      </c>
      <c r="G7">
        <v>155.36121509574619</v>
      </c>
      <c r="H7">
        <v>150.7886864311655</v>
      </c>
      <c r="I7">
        <v>151.19024327596139</v>
      </c>
      <c r="J7">
        <v>152.12577535089591</v>
      </c>
      <c r="K7">
        <v>153.36369940676209</v>
      </c>
      <c r="L7">
        <v>152.50015663115579</v>
      </c>
      <c r="M7">
        <v>153.85188965572291</v>
      </c>
      <c r="N7">
        <v>153.96305249195439</v>
      </c>
      <c r="O7">
        <v>155.4334474340973</v>
      </c>
      <c r="P7">
        <v>151.9706654466238</v>
      </c>
      <c r="Q7">
        <v>154.14942241174501</v>
      </c>
      <c r="R7">
        <v>152.41694115682321</v>
      </c>
      <c r="S7">
        <v>149.835051820697</v>
      </c>
      <c r="T7">
        <v>147.92074201415821</v>
      </c>
    </row>
    <row r="8" spans="1:20" x14ac:dyDescent="0.35">
      <c r="A8" t="s">
        <v>27</v>
      </c>
      <c r="B8">
        <v>4958280.5300000012</v>
      </c>
      <c r="C8">
        <v>5247689.3900000006</v>
      </c>
      <c r="D8">
        <v>5299439.47</v>
      </c>
      <c r="E8">
        <v>4975160.92</v>
      </c>
      <c r="F8">
        <v>5642143.419999999</v>
      </c>
      <c r="G8">
        <v>5845718.1600000001</v>
      </c>
      <c r="H8">
        <v>6315728.2100000009</v>
      </c>
      <c r="I8">
        <v>5719500.1900000004</v>
      </c>
      <c r="J8">
        <v>5414749.0899999999</v>
      </c>
      <c r="K8">
        <v>4318566.43</v>
      </c>
      <c r="L8">
        <v>4334952</v>
      </c>
      <c r="M8">
        <v>4321109.8900000006</v>
      </c>
      <c r="N8">
        <v>3904103.99</v>
      </c>
      <c r="O8">
        <v>3524833.97</v>
      </c>
      <c r="P8">
        <v>3440777.15</v>
      </c>
      <c r="Q8">
        <v>3348260.2</v>
      </c>
      <c r="R8">
        <v>3978399.560000001</v>
      </c>
      <c r="S8">
        <v>1698860.68</v>
      </c>
      <c r="T8">
        <v>463070.28</v>
      </c>
    </row>
    <row r="9" spans="1:20" x14ac:dyDescent="0.35">
      <c r="A9" t="s">
        <v>28</v>
      </c>
      <c r="B9">
        <v>1.50236733341115</v>
      </c>
      <c r="C9">
        <v>1.569706243513306</v>
      </c>
      <c r="D9">
        <v>1.569547745863026</v>
      </c>
      <c r="E9">
        <v>1.5573350847803411</v>
      </c>
      <c r="F9">
        <v>1.542822128303831</v>
      </c>
      <c r="G9">
        <v>1.5265249525556459</v>
      </c>
      <c r="H9">
        <v>1.564946136532829</v>
      </c>
      <c r="I9">
        <v>1.563558141733834</v>
      </c>
      <c r="J9">
        <v>1.607886341273765</v>
      </c>
      <c r="K9">
        <v>1.562567257379919</v>
      </c>
      <c r="L9">
        <v>1.591942008220498</v>
      </c>
      <c r="M9">
        <v>1.571181086999268</v>
      </c>
      <c r="N9">
        <v>1.524522431756284</v>
      </c>
      <c r="O9">
        <v>1.5474617499577461</v>
      </c>
      <c r="P9">
        <v>1.56549319877308</v>
      </c>
      <c r="Q9">
        <v>1.573915380756072</v>
      </c>
      <c r="R9">
        <v>1.6310784458651011</v>
      </c>
      <c r="S9">
        <v>1.662079042516202</v>
      </c>
      <c r="T9">
        <v>1.6455840305979179</v>
      </c>
    </row>
    <row r="10" spans="1:20" x14ac:dyDescent="0.35">
      <c r="A10" t="s">
        <v>29</v>
      </c>
      <c r="B10">
        <v>0.22910353085709731</v>
      </c>
      <c r="C10">
        <v>0.22426757901309399</v>
      </c>
      <c r="D10">
        <v>0.22224060825757491</v>
      </c>
      <c r="E10">
        <v>0.22567398079088671</v>
      </c>
      <c r="F10">
        <v>0.2248205329566047</v>
      </c>
      <c r="G10">
        <v>0.22201884111053341</v>
      </c>
      <c r="H10">
        <v>0.2316561066936729</v>
      </c>
      <c r="I10">
        <v>0.230107218294716</v>
      </c>
      <c r="J10">
        <v>0.2327435065812071</v>
      </c>
      <c r="K10">
        <v>0.231496986861911</v>
      </c>
      <c r="L10">
        <v>0.2391384285685286</v>
      </c>
      <c r="M10">
        <v>0.22886601703017551</v>
      </c>
      <c r="N10">
        <v>0.23198395336390609</v>
      </c>
      <c r="O10">
        <v>0.22867700598590179</v>
      </c>
      <c r="P10">
        <v>0.23803543554019471</v>
      </c>
      <c r="Q10">
        <v>0.23008321576292071</v>
      </c>
      <c r="R10">
        <v>0.2297245359867775</v>
      </c>
      <c r="S10">
        <v>0.2382619069039846</v>
      </c>
      <c r="T10">
        <v>0.23101782306348831</v>
      </c>
    </row>
    <row r="12" spans="1:20" x14ac:dyDescent="0.35">
      <c r="A12" t="s">
        <v>30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  <c r="P12" t="s">
        <v>86</v>
      </c>
      <c r="Q12" t="s">
        <v>87</v>
      </c>
      <c r="R12" t="s">
        <v>88</v>
      </c>
      <c r="S12" t="s">
        <v>89</v>
      </c>
      <c r="T12" t="s">
        <v>90</v>
      </c>
    </row>
    <row r="13" spans="1:20" x14ac:dyDescent="0.35">
      <c r="A13" t="s">
        <v>21</v>
      </c>
      <c r="B13">
        <v>143.30060092378801</v>
      </c>
      <c r="C13">
        <v>143.69942525040719</v>
      </c>
      <c r="D13">
        <v>143.30518598153839</v>
      </c>
      <c r="E13">
        <v>142.7392631682286</v>
      </c>
      <c r="F13">
        <v>143.44982731600771</v>
      </c>
      <c r="G13">
        <v>143.4024793752896</v>
      </c>
      <c r="H13">
        <v>143.3898037584479</v>
      </c>
      <c r="I13">
        <v>143.87038633769191</v>
      </c>
      <c r="J13">
        <v>143.31836361526709</v>
      </c>
      <c r="K13">
        <v>142.61794247683261</v>
      </c>
      <c r="L13">
        <v>143.2015682982327</v>
      </c>
      <c r="M13">
        <v>142.8140729536201</v>
      </c>
      <c r="N13">
        <v>143.46937306509889</v>
      </c>
      <c r="O13">
        <v>143.13515076864519</v>
      </c>
      <c r="P13">
        <v>142.73941868095241</v>
      </c>
      <c r="Q13">
        <v>143.23497430014291</v>
      </c>
      <c r="R13">
        <v>143.39351867337641</v>
      </c>
      <c r="S13">
        <v>143.52199748712479</v>
      </c>
      <c r="T13">
        <v>145.01067940331819</v>
      </c>
    </row>
    <row r="14" spans="1:20" x14ac:dyDescent="0.35">
      <c r="A14" t="s">
        <v>22</v>
      </c>
      <c r="B14">
        <v>2.0043779447279921</v>
      </c>
      <c r="C14">
        <v>2.1999021127841161</v>
      </c>
      <c r="D14">
        <v>2.117951557366041</v>
      </c>
      <c r="E14">
        <v>2.2487567787385672</v>
      </c>
      <c r="F14">
        <v>2.079502305818266</v>
      </c>
      <c r="G14">
        <v>2.1593751739621889</v>
      </c>
      <c r="H14">
        <v>1.733903796815639</v>
      </c>
      <c r="I14">
        <v>2.0887997754077792</v>
      </c>
      <c r="J14">
        <v>1.616006476019038</v>
      </c>
      <c r="K14">
        <v>1.666938851543676</v>
      </c>
      <c r="L14">
        <v>1.6583662158538739</v>
      </c>
      <c r="M14">
        <v>1.954463155477526</v>
      </c>
      <c r="N14">
        <v>1.5240643864079859</v>
      </c>
      <c r="O14">
        <v>1.9723205876344989</v>
      </c>
      <c r="P14">
        <v>2.0274302813373879</v>
      </c>
      <c r="Q14">
        <v>1.541476118731254</v>
      </c>
      <c r="R14">
        <v>2.4438843666408161</v>
      </c>
      <c r="S14">
        <v>1.7967000241189619</v>
      </c>
      <c r="T14">
        <v>1.814166649082551</v>
      </c>
    </row>
    <row r="15" spans="1:20" x14ac:dyDescent="0.35">
      <c r="A15" t="s">
        <v>23</v>
      </c>
      <c r="B15">
        <v>2.6325948149403628</v>
      </c>
      <c r="C15">
        <v>2.7609374126481159</v>
      </c>
      <c r="D15">
        <v>3.1065988163365268</v>
      </c>
      <c r="E15">
        <v>2.5511727124432961</v>
      </c>
      <c r="F15">
        <v>2.8859825052193502</v>
      </c>
      <c r="G15">
        <v>2.798213825432478</v>
      </c>
      <c r="H15">
        <v>3.4822615431149742</v>
      </c>
      <c r="I15">
        <v>2.6302378628139822</v>
      </c>
      <c r="J15">
        <v>2.9431181607437669</v>
      </c>
      <c r="K15">
        <v>4.1323197234137252</v>
      </c>
      <c r="L15">
        <v>2.622562045366875</v>
      </c>
      <c r="M15">
        <v>3.0084976779731991</v>
      </c>
      <c r="N15">
        <v>3.7999407734365991</v>
      </c>
      <c r="O15">
        <v>3.8727934826015091</v>
      </c>
      <c r="P15">
        <v>4.9697987557049101</v>
      </c>
      <c r="Q15">
        <v>3.2085969278514721</v>
      </c>
      <c r="R15">
        <v>2.2596075270126752</v>
      </c>
      <c r="S15">
        <v>2.2961126108925192</v>
      </c>
      <c r="T15">
        <v>3.489713694242317</v>
      </c>
    </row>
    <row r="16" spans="1:20" x14ac:dyDescent="0.35">
      <c r="A16" t="s">
        <v>24</v>
      </c>
      <c r="B16">
        <v>5.5261800357102597</v>
      </c>
      <c r="C16">
        <v>4.8146337995645432</v>
      </c>
      <c r="D16">
        <v>5.7183006602164497</v>
      </c>
      <c r="E16">
        <v>5.3149913537253006</v>
      </c>
      <c r="F16">
        <v>5.2767895336175368</v>
      </c>
      <c r="G16">
        <v>5.0543952736714868</v>
      </c>
      <c r="H16">
        <v>5.0197437000227874</v>
      </c>
      <c r="I16">
        <v>5.5135669472261464</v>
      </c>
      <c r="J16">
        <v>5.257582332505887</v>
      </c>
      <c r="K16">
        <v>5.0681105832826141</v>
      </c>
      <c r="L16">
        <v>4.5736505188507177</v>
      </c>
      <c r="M16">
        <v>5.7882608854335356</v>
      </c>
      <c r="N16">
        <v>5.4766074356271188</v>
      </c>
      <c r="O16">
        <v>5.4071153999047841</v>
      </c>
      <c r="P16">
        <v>5.1923497838941506</v>
      </c>
      <c r="Q16">
        <v>4.9306958170470017</v>
      </c>
      <c r="R16">
        <v>5.6424645638550377</v>
      </c>
      <c r="S16">
        <v>5.5538211522016097</v>
      </c>
      <c r="T16">
        <v>5.3644154631678953</v>
      </c>
    </row>
    <row r="17" spans="1:20" x14ac:dyDescent="0.35">
      <c r="A17" t="s">
        <v>25</v>
      </c>
      <c r="B17">
        <v>-0.47191586209906261</v>
      </c>
      <c r="C17">
        <v>-0.19967667296482311</v>
      </c>
      <c r="D17">
        <v>-0.39855572329495098</v>
      </c>
      <c r="E17">
        <v>-0.54721340362206106</v>
      </c>
      <c r="F17">
        <v>-0.46602531972757039</v>
      </c>
      <c r="G17">
        <v>-0.19845163034995669</v>
      </c>
      <c r="H17">
        <v>-0.45330942564461352</v>
      </c>
      <c r="I17">
        <v>-0.17384565113525369</v>
      </c>
      <c r="J17">
        <v>-0.5153949100817129</v>
      </c>
      <c r="K17">
        <v>-0.59047410659727129</v>
      </c>
      <c r="L17">
        <v>-0.46877945736540799</v>
      </c>
      <c r="M17">
        <v>-0.31378740792222581</v>
      </c>
      <c r="N17">
        <v>-0.56606434735495759</v>
      </c>
      <c r="O17">
        <v>-0.1544356443010797</v>
      </c>
      <c r="P17">
        <v>-0.51251588225896427</v>
      </c>
      <c r="Q17">
        <v>-8.7646272201785114E-2</v>
      </c>
      <c r="R17">
        <v>-0.51653843815934575</v>
      </c>
      <c r="S17">
        <v>-0.32612109282971152</v>
      </c>
      <c r="T17">
        <v>-0.195065104182231</v>
      </c>
    </row>
    <row r="18" spans="1:20" x14ac:dyDescent="0.35">
      <c r="A18" t="s">
        <v>26</v>
      </c>
      <c r="B18">
        <v>152.99183785706759</v>
      </c>
      <c r="C18">
        <v>153.2752219024392</v>
      </c>
      <c r="D18">
        <v>153.84948129216249</v>
      </c>
      <c r="E18">
        <v>152.30697060951371</v>
      </c>
      <c r="F18">
        <v>153.22607634093529</v>
      </c>
      <c r="G18">
        <v>153.21601201800581</v>
      </c>
      <c r="H18">
        <v>153.17240337275669</v>
      </c>
      <c r="I18">
        <v>153.9291452720046</v>
      </c>
      <c r="J18">
        <v>152.61967567445399</v>
      </c>
      <c r="K18">
        <v>152.89483752847531</v>
      </c>
      <c r="L18">
        <v>151.58736762093881</v>
      </c>
      <c r="M18">
        <v>153.25150726458219</v>
      </c>
      <c r="N18">
        <v>153.7039213132156</v>
      </c>
      <c r="O18">
        <v>154.23294459448491</v>
      </c>
      <c r="P18">
        <v>154.41648161962991</v>
      </c>
      <c r="Q18">
        <v>152.82809689157079</v>
      </c>
      <c r="R18">
        <v>153.2229366927256</v>
      </c>
      <c r="S18">
        <v>152.8425101815082</v>
      </c>
      <c r="T18">
        <v>155.48391010562869</v>
      </c>
    </row>
    <row r="19" spans="1:20" x14ac:dyDescent="0.35">
      <c r="A19" t="s">
        <v>27</v>
      </c>
      <c r="B19">
        <v>8105600.2400000002</v>
      </c>
      <c r="C19">
        <v>7425299.4299999997</v>
      </c>
      <c r="D19">
        <v>8455603.2699999996</v>
      </c>
      <c r="E19">
        <v>7643685.6799999997</v>
      </c>
      <c r="F19">
        <v>8190678.5700000003</v>
      </c>
      <c r="G19">
        <v>8202329.1400000006</v>
      </c>
      <c r="H19">
        <v>7149715.6699999999</v>
      </c>
      <c r="I19">
        <v>7560131.9900000002</v>
      </c>
      <c r="J19">
        <v>8001581.1099999994</v>
      </c>
      <c r="K19">
        <v>8456833.0899999999</v>
      </c>
      <c r="L19">
        <v>6738421.8599999994</v>
      </c>
      <c r="M19">
        <v>7354612.7699999996</v>
      </c>
      <c r="N19">
        <v>7762973.79</v>
      </c>
      <c r="O19">
        <v>6954947.9299999997</v>
      </c>
      <c r="P19">
        <v>6003006.2599999998</v>
      </c>
      <c r="Q19">
        <v>6171283.5999999996</v>
      </c>
      <c r="R19">
        <v>5946827.290000001</v>
      </c>
      <c r="S19">
        <v>4507336.82</v>
      </c>
      <c r="T19">
        <v>526826.37000000011</v>
      </c>
    </row>
    <row r="20" spans="1:20" x14ac:dyDescent="0.35">
      <c r="A20" t="s">
        <v>28</v>
      </c>
      <c r="B20">
        <v>1.4640742437340699</v>
      </c>
      <c r="C20">
        <v>1.511829183245714</v>
      </c>
      <c r="D20">
        <v>1.4516930862594619</v>
      </c>
      <c r="E20">
        <v>1.4779302163831789</v>
      </c>
      <c r="F20">
        <v>1.4804646760355851</v>
      </c>
      <c r="G20">
        <v>1.495393529985902</v>
      </c>
      <c r="H20">
        <v>1.4977467698666209</v>
      </c>
      <c r="I20">
        <v>1.464894482394022</v>
      </c>
      <c r="J20">
        <v>1.481742244387193</v>
      </c>
      <c r="K20">
        <v>1.4944641443379181</v>
      </c>
      <c r="L20">
        <v>1.528716707966628</v>
      </c>
      <c r="M20">
        <v>1.447236371647874</v>
      </c>
      <c r="N20">
        <v>1.467303288294487</v>
      </c>
      <c r="O20">
        <v>1.47185389156072</v>
      </c>
      <c r="P20">
        <v>1.486097701286903</v>
      </c>
      <c r="Q20">
        <v>1.5038282540202961</v>
      </c>
      <c r="R20">
        <v>1.4565552220250411</v>
      </c>
      <c r="S20">
        <v>1.462279929305045</v>
      </c>
      <c r="T20">
        <v>1.474664073126122</v>
      </c>
    </row>
    <row r="21" spans="1:20" x14ac:dyDescent="0.35">
      <c r="A21" t="s">
        <v>29</v>
      </c>
      <c r="B21">
        <v>0.25674165517284381</v>
      </c>
      <c r="C21">
        <v>0.25285252389949753</v>
      </c>
      <c r="D21">
        <v>0.25569365318992793</v>
      </c>
      <c r="E21">
        <v>0.25781733433745802</v>
      </c>
      <c r="F21">
        <v>0.25665750456753672</v>
      </c>
      <c r="G21">
        <v>0.25283502329071372</v>
      </c>
      <c r="H21">
        <v>0.25647584893778019</v>
      </c>
      <c r="I21">
        <v>0.2524835093019322</v>
      </c>
      <c r="J21">
        <v>0.25736278442973881</v>
      </c>
      <c r="K21">
        <v>0.25843534437996102</v>
      </c>
      <c r="L21">
        <v>0.2566968493909344</v>
      </c>
      <c r="M21">
        <v>0.2544826772560318</v>
      </c>
      <c r="N21">
        <v>0.25808663353364231</v>
      </c>
      <c r="O21">
        <v>0.25220622349001542</v>
      </c>
      <c r="P21">
        <v>0.25732165546084229</v>
      </c>
      <c r="Q21">
        <v>0.25125208960288259</v>
      </c>
      <c r="R21">
        <v>0.25737912054513351</v>
      </c>
      <c r="S21">
        <v>0.25465887275471022</v>
      </c>
      <c r="T21">
        <v>0.25278664434546039</v>
      </c>
    </row>
    <row r="23" spans="1:20" x14ac:dyDescent="0.35">
      <c r="A23" t="s">
        <v>31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  <c r="N23" t="s">
        <v>84</v>
      </c>
      <c r="O23" t="s">
        <v>85</v>
      </c>
      <c r="P23" t="s">
        <v>86</v>
      </c>
      <c r="Q23" t="s">
        <v>87</v>
      </c>
      <c r="R23" t="s">
        <v>88</v>
      </c>
      <c r="S23" t="s">
        <v>89</v>
      </c>
      <c r="T23" t="s">
        <v>90</v>
      </c>
    </row>
    <row r="24" spans="1:20" x14ac:dyDescent="0.35">
      <c r="A24" t="s">
        <v>21</v>
      </c>
      <c r="B24">
        <v>144.97542307738371</v>
      </c>
      <c r="C24">
        <v>144.91635142644429</v>
      </c>
      <c r="D24">
        <v>144.52298127104149</v>
      </c>
      <c r="E24">
        <v>143.97647032428469</v>
      </c>
      <c r="F24">
        <v>145.16529948426691</v>
      </c>
      <c r="G24">
        <v>145.61596651702359</v>
      </c>
      <c r="H24">
        <v>145.85365255718381</v>
      </c>
      <c r="I24">
        <v>144.40741032160551</v>
      </c>
      <c r="J24">
        <v>145.2210227056996</v>
      </c>
      <c r="K24">
        <v>146.0228027048054</v>
      </c>
      <c r="L24">
        <v>145.3521709970791</v>
      </c>
      <c r="M24">
        <v>145.36016733338829</v>
      </c>
      <c r="N24">
        <v>145.13740731516631</v>
      </c>
      <c r="O24">
        <v>146.75567744926249</v>
      </c>
      <c r="P24">
        <v>144.91018383412779</v>
      </c>
      <c r="Q24">
        <v>145.12408973070791</v>
      </c>
      <c r="R24">
        <v>146.8242604607259</v>
      </c>
      <c r="S24">
        <v>146.76753063141089</v>
      </c>
      <c r="T24">
        <v>156.22407917197589</v>
      </c>
    </row>
    <row r="25" spans="1:20" x14ac:dyDescent="0.35">
      <c r="A25" t="s">
        <v>22</v>
      </c>
      <c r="B25">
        <v>-0.69738072754523728</v>
      </c>
      <c r="C25">
        <v>-0.87383441786300864</v>
      </c>
      <c r="D25">
        <v>8.1590608972902601E-2</v>
      </c>
      <c r="E25">
        <v>0.45372852022859428</v>
      </c>
      <c r="F25">
        <v>0.1229759674335469</v>
      </c>
      <c r="G25">
        <v>0.57041671552224216</v>
      </c>
      <c r="H25">
        <v>-0.55145347702077174</v>
      </c>
      <c r="I25">
        <v>0.53595359231860584</v>
      </c>
      <c r="J25">
        <v>-0.25480442636930428</v>
      </c>
      <c r="K25">
        <v>0.6932383046440691</v>
      </c>
      <c r="L25">
        <v>-3.1851220086309699E-3</v>
      </c>
      <c r="M25">
        <v>-1.3641185474574229</v>
      </c>
      <c r="N25">
        <v>0.7834596506826017</v>
      </c>
      <c r="O25">
        <v>0.84628794514381411</v>
      </c>
      <c r="P25">
        <v>0.73231871719963237</v>
      </c>
      <c r="Q25">
        <v>1.1009484092611499</v>
      </c>
      <c r="R25">
        <v>0.22294063941788519</v>
      </c>
      <c r="S25">
        <v>0.7627393679401564</v>
      </c>
      <c r="T25">
        <v>0.66721023262064705</v>
      </c>
    </row>
    <row r="26" spans="1:20" x14ac:dyDescent="0.35">
      <c r="A26" t="s">
        <v>23</v>
      </c>
      <c r="B26">
        <v>2.639669199938818</v>
      </c>
      <c r="C26">
        <v>1.373976997518646</v>
      </c>
      <c r="D26">
        <v>2.0550048556131721</v>
      </c>
      <c r="E26">
        <v>1.20439111890585</v>
      </c>
      <c r="F26">
        <v>-0.10726066482027841</v>
      </c>
      <c r="G26">
        <v>1.315001707437903</v>
      </c>
      <c r="H26">
        <v>0.81206209275459906</v>
      </c>
      <c r="I26">
        <v>0.98908250658213082</v>
      </c>
      <c r="J26">
        <v>1.215729901533426</v>
      </c>
      <c r="K26">
        <v>1.7776433506295819</v>
      </c>
      <c r="L26">
        <v>1.670924658706292</v>
      </c>
      <c r="M26">
        <v>3.291426294324439</v>
      </c>
      <c r="N26">
        <v>2.434447707090075</v>
      </c>
      <c r="O26">
        <v>1.283355554419606</v>
      </c>
      <c r="P26">
        <v>1.543223583952998</v>
      </c>
      <c r="Q26">
        <v>1.556782670641307</v>
      </c>
      <c r="R26">
        <v>2.5107288740554541</v>
      </c>
      <c r="S26">
        <v>-0.24207849400701451</v>
      </c>
      <c r="T26">
        <v>-1.4191478839083469</v>
      </c>
    </row>
    <row r="27" spans="1:20" x14ac:dyDescent="0.35">
      <c r="A27" t="s">
        <v>24</v>
      </c>
      <c r="B27">
        <v>3.6564428818778518</v>
      </c>
      <c r="C27">
        <v>4.3920493493609136</v>
      </c>
      <c r="D27">
        <v>3.1350574025991311</v>
      </c>
      <c r="E27">
        <v>3.7160124235288792</v>
      </c>
      <c r="F27">
        <v>3.938796058154562</v>
      </c>
      <c r="G27">
        <v>3.0920446865374491</v>
      </c>
      <c r="H27">
        <v>2.6786480112940039</v>
      </c>
      <c r="I27">
        <v>2.4763473648855778</v>
      </c>
      <c r="J27">
        <v>2.367985156823488</v>
      </c>
      <c r="K27">
        <v>4.7605353151081946</v>
      </c>
      <c r="L27">
        <v>4.7172436824783519</v>
      </c>
      <c r="M27">
        <v>3.0195194902100919</v>
      </c>
      <c r="N27">
        <v>3.0930749821615859</v>
      </c>
      <c r="O27">
        <v>4.090970334400998</v>
      </c>
      <c r="P27">
        <v>3.570281800336069</v>
      </c>
      <c r="Q27">
        <v>3.0837961857277159</v>
      </c>
      <c r="R27">
        <v>3.825693863435899</v>
      </c>
      <c r="S27">
        <v>5.0807801528391154</v>
      </c>
      <c r="T27">
        <v>6.9511866580294734</v>
      </c>
    </row>
    <row r="28" spans="1:20" x14ac:dyDescent="0.35">
      <c r="A28" t="s">
        <v>25</v>
      </c>
      <c r="B28">
        <v>-0.76407116200471803</v>
      </c>
      <c r="C28">
        <v>-0.58393583022800732</v>
      </c>
      <c r="D28">
        <v>-0.44240484360229809</v>
      </c>
      <c r="E28">
        <v>-0.4912422448532266</v>
      </c>
      <c r="F28">
        <v>-0.75345644743354923</v>
      </c>
      <c r="G28">
        <v>-0.64447783673118431</v>
      </c>
      <c r="H28">
        <v>-0.84592206051547214</v>
      </c>
      <c r="I28">
        <v>-0.76219016016976615</v>
      </c>
      <c r="J28">
        <v>-0.20023617973698171</v>
      </c>
      <c r="K28">
        <v>-0.68044526033759656</v>
      </c>
      <c r="L28">
        <v>-0.80558456065557005</v>
      </c>
      <c r="M28">
        <v>-0.4959388687104343</v>
      </c>
      <c r="N28">
        <v>-0.51710707092866959</v>
      </c>
      <c r="O28">
        <v>-0.60496570215376466</v>
      </c>
      <c r="P28">
        <v>-0.55163156129336921</v>
      </c>
      <c r="Q28">
        <v>-0.63331024482320475</v>
      </c>
      <c r="R28">
        <v>-0.50890079326473714</v>
      </c>
      <c r="S28">
        <v>-0.33375067962100879</v>
      </c>
      <c r="T28">
        <v>0.93355786627023385</v>
      </c>
    </row>
    <row r="29" spans="1:20" x14ac:dyDescent="0.35">
      <c r="A29" t="s">
        <v>26</v>
      </c>
      <c r="B29">
        <v>149.81008326965039</v>
      </c>
      <c r="C29">
        <v>149.22460752523281</v>
      </c>
      <c r="D29">
        <v>149.35222929462441</v>
      </c>
      <c r="E29">
        <v>148.85936014209469</v>
      </c>
      <c r="F29">
        <v>148.36635439760121</v>
      </c>
      <c r="G29">
        <v>149.94895178978999</v>
      </c>
      <c r="H29">
        <v>147.94698712369609</v>
      </c>
      <c r="I29">
        <v>147.64660362522201</v>
      </c>
      <c r="J29">
        <v>148.3496971579502</v>
      </c>
      <c r="K29">
        <v>152.57377441484971</v>
      </c>
      <c r="L29">
        <v>150.9315696555995</v>
      </c>
      <c r="M29">
        <v>149.81105570175501</v>
      </c>
      <c r="N29">
        <v>150.93128258417201</v>
      </c>
      <c r="O29">
        <v>152.37132558107311</v>
      </c>
      <c r="P29">
        <v>150.2043763743232</v>
      </c>
      <c r="Q29">
        <v>150.2323067515149</v>
      </c>
      <c r="R29">
        <v>152.8747230443704</v>
      </c>
      <c r="S29">
        <v>152.03522097856219</v>
      </c>
      <c r="T29">
        <v>163.3568860449879</v>
      </c>
    </row>
    <row r="30" spans="1:20" x14ac:dyDescent="0.35">
      <c r="A30" t="s">
        <v>27</v>
      </c>
      <c r="B30">
        <v>3330959.28</v>
      </c>
      <c r="C30">
        <v>2786245.68</v>
      </c>
      <c r="D30">
        <v>2843129.38</v>
      </c>
      <c r="E30">
        <v>2765965.060000001</v>
      </c>
      <c r="F30">
        <v>1871736.08</v>
      </c>
      <c r="G30">
        <v>2048267.13</v>
      </c>
      <c r="H30">
        <v>1880357.83</v>
      </c>
      <c r="I30">
        <v>2122205.7200000002</v>
      </c>
      <c r="J30">
        <v>1967072.73</v>
      </c>
      <c r="K30">
        <v>1777634.73</v>
      </c>
      <c r="L30">
        <v>1936828.35</v>
      </c>
      <c r="M30">
        <v>1531760.26</v>
      </c>
      <c r="N30">
        <v>2122118.14</v>
      </c>
      <c r="O30">
        <v>1653909.1</v>
      </c>
      <c r="P30">
        <v>1459427.77</v>
      </c>
      <c r="Q30">
        <v>1473366.47</v>
      </c>
      <c r="R30">
        <v>1402171.23</v>
      </c>
      <c r="S30">
        <v>1137405.98</v>
      </c>
      <c r="T30">
        <v>168112.01</v>
      </c>
    </row>
    <row r="31" spans="1:20" x14ac:dyDescent="0.35">
      <c r="A31" t="s">
        <v>28</v>
      </c>
      <c r="B31">
        <v>1.596596286620759</v>
      </c>
      <c r="C31">
        <v>1.541694274419074</v>
      </c>
      <c r="D31">
        <v>1.637939209239244</v>
      </c>
      <c r="E31">
        <v>1.592005224062421</v>
      </c>
      <c r="F31">
        <v>1.575066680453006</v>
      </c>
      <c r="G31">
        <v>1.6414456823350609</v>
      </c>
      <c r="H31">
        <v>1.675928142069113</v>
      </c>
      <c r="I31">
        <v>1.693335992736529</v>
      </c>
      <c r="J31">
        <v>1.7028100617054061</v>
      </c>
      <c r="K31">
        <v>1.5155877152113171</v>
      </c>
      <c r="L31">
        <v>1.5186089211960421</v>
      </c>
      <c r="M31">
        <v>1.6473921872164721</v>
      </c>
      <c r="N31">
        <v>1.6413615153120811</v>
      </c>
      <c r="O31">
        <v>1.5637023558943171</v>
      </c>
      <c r="P31">
        <v>1.603283820810913</v>
      </c>
      <c r="Q31">
        <v>1.642119831082373</v>
      </c>
      <c r="R31">
        <v>1.583620705089863</v>
      </c>
      <c r="S31">
        <v>1.4936066466727389</v>
      </c>
      <c r="T31">
        <v>1.376967265584049</v>
      </c>
    </row>
    <row r="32" spans="1:20" x14ac:dyDescent="0.35">
      <c r="A32" t="s">
        <v>29</v>
      </c>
      <c r="B32">
        <v>0.26091530231435311</v>
      </c>
      <c r="C32">
        <v>0.25834194043182868</v>
      </c>
      <c r="D32">
        <v>0.25632006919431849</v>
      </c>
      <c r="E32">
        <v>0.2570177463550461</v>
      </c>
      <c r="F32">
        <v>0.26076366353476499</v>
      </c>
      <c r="G32">
        <v>0.25920682623901692</v>
      </c>
      <c r="H32">
        <v>0.26208460086450669</v>
      </c>
      <c r="I32">
        <v>0.26088843085956809</v>
      </c>
      <c r="J32">
        <v>0.25286051685338551</v>
      </c>
      <c r="K32">
        <v>0.25972064657625138</v>
      </c>
      <c r="L32">
        <v>0.26150835086650809</v>
      </c>
      <c r="M32">
        <v>0.25708484098157758</v>
      </c>
      <c r="N32">
        <v>0.25738724387040962</v>
      </c>
      <c r="O32">
        <v>0.25864236717362521</v>
      </c>
      <c r="P32">
        <v>0.25788045087561962</v>
      </c>
      <c r="Q32">
        <v>0.25904728921176012</v>
      </c>
      <c r="R32">
        <v>0.25727001133235339</v>
      </c>
      <c r="S32">
        <v>0.2547678668517287</v>
      </c>
      <c r="T32">
        <v>0.2366634590532824</v>
      </c>
    </row>
    <row r="34" spans="1:20" x14ac:dyDescent="0.35">
      <c r="A34" t="s">
        <v>32</v>
      </c>
      <c r="B34" t="s">
        <v>72</v>
      </c>
      <c r="C34" t="s">
        <v>73</v>
      </c>
      <c r="D34" t="s">
        <v>74</v>
      </c>
      <c r="E34" t="s">
        <v>75</v>
      </c>
      <c r="F34" t="s">
        <v>76</v>
      </c>
      <c r="G34" t="s">
        <v>77</v>
      </c>
      <c r="H34" t="s">
        <v>78</v>
      </c>
      <c r="I34" t="s">
        <v>79</v>
      </c>
      <c r="J34" t="s">
        <v>80</v>
      </c>
      <c r="K34" t="s">
        <v>81</v>
      </c>
      <c r="L34" t="s">
        <v>82</v>
      </c>
      <c r="M34" t="s">
        <v>83</v>
      </c>
      <c r="N34" t="s">
        <v>84</v>
      </c>
      <c r="O34" t="s">
        <v>85</v>
      </c>
      <c r="P34" t="s">
        <v>86</v>
      </c>
      <c r="Q34" t="s">
        <v>87</v>
      </c>
      <c r="R34" t="s">
        <v>88</v>
      </c>
      <c r="S34" t="s">
        <v>89</v>
      </c>
      <c r="T34" t="s">
        <v>90</v>
      </c>
    </row>
    <row r="35" spans="1:20" x14ac:dyDescent="0.35">
      <c r="A35" t="s">
        <v>21</v>
      </c>
      <c r="B35">
        <v>143.78840185597511</v>
      </c>
      <c r="C35">
        <v>144.031466607943</v>
      </c>
      <c r="D35">
        <v>143.6116229664344</v>
      </c>
      <c r="E35">
        <v>143.06800347384549</v>
      </c>
      <c r="F35">
        <v>143.76892678300959</v>
      </c>
      <c r="G35">
        <v>143.8447768607891</v>
      </c>
      <c r="H35">
        <v>143.90285798559671</v>
      </c>
      <c r="I35">
        <v>143.98809297059131</v>
      </c>
      <c r="J35">
        <v>143.6938073683904</v>
      </c>
      <c r="K35">
        <v>143.2093359814574</v>
      </c>
      <c r="L35">
        <v>143.68170987062339</v>
      </c>
      <c r="M35">
        <v>143.2529478664751</v>
      </c>
      <c r="N35">
        <v>143.82746439750889</v>
      </c>
      <c r="O35">
        <v>143.83071604554539</v>
      </c>
      <c r="P35">
        <v>143.16395509011281</v>
      </c>
      <c r="Q35">
        <v>143.59906674490719</v>
      </c>
      <c r="R35">
        <v>144.0480959492717</v>
      </c>
      <c r="S35">
        <v>144.1759668418666</v>
      </c>
      <c r="T35">
        <v>147.72330433280121</v>
      </c>
    </row>
    <row r="36" spans="1:20" x14ac:dyDescent="0.35">
      <c r="A36" t="s">
        <v>22</v>
      </c>
      <c r="B36">
        <v>1.2174762453147241</v>
      </c>
      <c r="C36">
        <v>1.361225395625322</v>
      </c>
      <c r="D36">
        <v>1.6055367742212081</v>
      </c>
      <c r="E36">
        <v>1.771796929771412</v>
      </c>
      <c r="F36">
        <v>1.715563721849759</v>
      </c>
      <c r="G36">
        <v>1.8418705824602151</v>
      </c>
      <c r="H36">
        <v>1.2580173664110861</v>
      </c>
      <c r="I36">
        <v>1.74844198674808</v>
      </c>
      <c r="J36">
        <v>1.246847192514938</v>
      </c>
      <c r="K36">
        <v>1.4978158507945529</v>
      </c>
      <c r="L36">
        <v>1.2874097986610931</v>
      </c>
      <c r="M36">
        <v>1.382433199616121</v>
      </c>
      <c r="N36">
        <v>1.3650723653542429</v>
      </c>
      <c r="O36">
        <v>1.755990402591062</v>
      </c>
      <c r="P36">
        <v>1.774145391400374</v>
      </c>
      <c r="Q36">
        <v>1.4565724605787029</v>
      </c>
      <c r="R36">
        <v>2.0201336488680539</v>
      </c>
      <c r="S36">
        <v>1.588358727608074</v>
      </c>
      <c r="T36">
        <v>1.536707302897343</v>
      </c>
    </row>
    <row r="37" spans="1:20" x14ac:dyDescent="0.35">
      <c r="A37" t="s">
        <v>23</v>
      </c>
      <c r="B37">
        <v>2.63465526750214</v>
      </c>
      <c r="C37">
        <v>2.382501786760205</v>
      </c>
      <c r="D37">
        <v>2.8419835025505922</v>
      </c>
      <c r="E37">
        <v>2.193317206603751</v>
      </c>
      <c r="F37">
        <v>2.329201510552553</v>
      </c>
      <c r="G37">
        <v>2.501839395293501</v>
      </c>
      <c r="H37">
        <v>2.926238334206781</v>
      </c>
      <c r="I37">
        <v>2.2705241873855022</v>
      </c>
      <c r="J37">
        <v>2.602259867000984</v>
      </c>
      <c r="K37">
        <v>3.7233336801930119</v>
      </c>
      <c r="L37">
        <v>2.410100361290084</v>
      </c>
      <c r="M37">
        <v>3.0572665974728128</v>
      </c>
      <c r="N37">
        <v>3.5067985723667321</v>
      </c>
      <c r="O37">
        <v>3.3753180409277852</v>
      </c>
      <c r="P37">
        <v>4.2996636574858567</v>
      </c>
      <c r="Q37">
        <v>2.8902399436917761</v>
      </c>
      <c r="R37">
        <v>2.3075208756279948</v>
      </c>
      <c r="S37">
        <v>1.784671462308117</v>
      </c>
      <c r="T37">
        <v>2.302214758416266</v>
      </c>
    </row>
    <row r="38" spans="1:20" x14ac:dyDescent="0.35">
      <c r="A38" t="s">
        <v>24</v>
      </c>
      <c r="B38">
        <v>4.9816090646216713</v>
      </c>
      <c r="C38">
        <v>4.699330573056538</v>
      </c>
      <c r="D38">
        <v>5.0682724642294694</v>
      </c>
      <c r="E38">
        <v>4.8901240874677701</v>
      </c>
      <c r="F38">
        <v>5.0279058660349607</v>
      </c>
      <c r="G38">
        <v>4.6622797226058061</v>
      </c>
      <c r="H38">
        <v>4.5322507013134841</v>
      </c>
      <c r="I38">
        <v>4.8478594534788373</v>
      </c>
      <c r="J38">
        <v>4.687390218685846</v>
      </c>
      <c r="K38">
        <v>5.0146875339934809</v>
      </c>
      <c r="L38">
        <v>4.6057089959491204</v>
      </c>
      <c r="M38">
        <v>5.3110079021182237</v>
      </c>
      <c r="N38">
        <v>4.964913918500879</v>
      </c>
      <c r="O38">
        <v>5.1542613574725316</v>
      </c>
      <c r="P38">
        <v>4.8751220468695102</v>
      </c>
      <c r="Q38">
        <v>4.5747396954032027</v>
      </c>
      <c r="R38">
        <v>5.29582908683025</v>
      </c>
      <c r="S38">
        <v>5.4585042032238666</v>
      </c>
      <c r="T38">
        <v>5.7482700647489464</v>
      </c>
    </row>
    <row r="39" spans="1:20" x14ac:dyDescent="0.35">
      <c r="A39" t="s">
        <v>25</v>
      </c>
      <c r="B39">
        <v>-0.55700765965584453</v>
      </c>
      <c r="C39">
        <v>-0.30452274722605582</v>
      </c>
      <c r="D39">
        <v>-0.409589591083032</v>
      </c>
      <c r="E39">
        <v>-0.53234121689946323</v>
      </c>
      <c r="F39">
        <v>-0.51949113593127538</v>
      </c>
      <c r="G39">
        <v>-0.28757628159809973</v>
      </c>
      <c r="H39">
        <v>-0.53506426874044766</v>
      </c>
      <c r="I39">
        <v>-0.30280088072966072</v>
      </c>
      <c r="J39">
        <v>-0.45320595718669049</v>
      </c>
      <c r="K39">
        <v>-0.60610128432647647</v>
      </c>
      <c r="L39">
        <v>-0.54397425367515773</v>
      </c>
      <c r="M39">
        <v>-0.34518518607022752</v>
      </c>
      <c r="N39">
        <v>-0.55555426559497745</v>
      </c>
      <c r="O39">
        <v>-0.2409901961898433</v>
      </c>
      <c r="P39">
        <v>-0.52016573323194737</v>
      </c>
      <c r="Q39">
        <v>-0.19281302199225631</v>
      </c>
      <c r="R39">
        <v>-0.51508119389578633</v>
      </c>
      <c r="S39">
        <v>-0.32765844146521539</v>
      </c>
      <c r="T39">
        <v>7.7959212153462576E-2</v>
      </c>
    </row>
    <row r="40" spans="1:20" x14ac:dyDescent="0.35">
      <c r="A40" t="s">
        <v>26</v>
      </c>
      <c r="B40">
        <v>152.06513477375779</v>
      </c>
      <c r="C40">
        <v>152.170001616159</v>
      </c>
      <c r="D40">
        <v>152.7178261163526</v>
      </c>
      <c r="E40">
        <v>151.39090048078901</v>
      </c>
      <c r="F40">
        <v>152.32210674551561</v>
      </c>
      <c r="G40">
        <v>152.5631902795505</v>
      </c>
      <c r="H40">
        <v>152.08430011878761</v>
      </c>
      <c r="I40">
        <v>152.552117717474</v>
      </c>
      <c r="J40">
        <v>151.77709868940539</v>
      </c>
      <c r="K40">
        <v>152.83907176211201</v>
      </c>
      <c r="L40">
        <v>151.44095477284861</v>
      </c>
      <c r="M40">
        <v>152.65847037961211</v>
      </c>
      <c r="N40">
        <v>153.1086949881358</v>
      </c>
      <c r="O40">
        <v>153.87529565034691</v>
      </c>
      <c r="P40">
        <v>153.5927204526366</v>
      </c>
      <c r="Q40">
        <v>152.3278058225886</v>
      </c>
      <c r="R40">
        <v>153.15649836670229</v>
      </c>
      <c r="S40">
        <v>152.67984279354141</v>
      </c>
      <c r="T40">
        <v>157.38845567101731</v>
      </c>
    </row>
    <row r="41" spans="1:20" x14ac:dyDescent="0.35">
      <c r="A41" t="s">
        <v>27</v>
      </c>
      <c r="B41">
        <v>11436559.52</v>
      </c>
      <c r="C41">
        <v>10211545.109999999</v>
      </c>
      <c r="D41">
        <v>11298732.65</v>
      </c>
      <c r="E41">
        <v>10409650.74</v>
      </c>
      <c r="F41">
        <v>10062414.65</v>
      </c>
      <c r="G41">
        <v>10250596.27</v>
      </c>
      <c r="H41">
        <v>9030073.5</v>
      </c>
      <c r="I41">
        <v>9682337.7100000009</v>
      </c>
      <c r="J41">
        <v>9968653.8399999999</v>
      </c>
      <c r="K41">
        <v>10234467.82</v>
      </c>
      <c r="L41">
        <v>8675250.209999999</v>
      </c>
      <c r="M41">
        <v>8886373.0299999993</v>
      </c>
      <c r="N41">
        <v>9885091.9299999997</v>
      </c>
      <c r="O41">
        <v>8608857.0299999993</v>
      </c>
      <c r="P41">
        <v>7462434.0299999993</v>
      </c>
      <c r="Q41">
        <v>7644650.0699999994</v>
      </c>
      <c r="R41">
        <v>7348998.5200000014</v>
      </c>
      <c r="S41">
        <v>5644742.8000000007</v>
      </c>
      <c r="T41">
        <v>694938.38000000012</v>
      </c>
    </row>
    <row r="42" spans="1:20" x14ac:dyDescent="0.35">
      <c r="A42" t="s">
        <v>28</v>
      </c>
      <c r="B42">
        <v>1.502671999272877</v>
      </c>
      <c r="C42">
        <v>1.5199779482335991</v>
      </c>
      <c r="D42">
        <v>1.498558680884795</v>
      </c>
      <c r="E42">
        <v>1.5082412703600021</v>
      </c>
      <c r="F42">
        <v>1.498061842428287</v>
      </c>
      <c r="G42">
        <v>1.5245775710936429</v>
      </c>
      <c r="H42">
        <v>1.534849982634612</v>
      </c>
      <c r="I42">
        <v>1.5149650226348981</v>
      </c>
      <c r="J42">
        <v>1.5253646313119329</v>
      </c>
      <c r="K42">
        <v>1.498133118032162</v>
      </c>
      <c r="L42">
        <v>1.5264600528271071</v>
      </c>
      <c r="M42">
        <v>1.481737593131693</v>
      </c>
      <c r="N42">
        <v>1.5046698726000189</v>
      </c>
      <c r="O42">
        <v>1.4894995570019041</v>
      </c>
      <c r="P42">
        <v>1.5090157835646609</v>
      </c>
      <c r="Q42">
        <v>1.530481425958967</v>
      </c>
      <c r="R42">
        <v>1.4807990103718029</v>
      </c>
      <c r="S42">
        <v>1.468592209054582</v>
      </c>
      <c r="T42">
        <v>1.4510303134156839</v>
      </c>
    </row>
    <row r="43" spans="1:20" x14ac:dyDescent="0.35">
      <c r="A43" t="s">
        <v>29</v>
      </c>
      <c r="B43">
        <v>0.2579572522807978</v>
      </c>
      <c r="C43">
        <v>0.25435032496037219</v>
      </c>
      <c r="D43">
        <v>0.25585127987261469</v>
      </c>
      <c r="E43">
        <v>0.25760487452713521</v>
      </c>
      <c r="F43">
        <v>0.2574213019418754</v>
      </c>
      <c r="G43">
        <v>0.25410823259425858</v>
      </c>
      <c r="H43">
        <v>0.2576437752677207</v>
      </c>
      <c r="I43">
        <v>0.2543257268675666</v>
      </c>
      <c r="J43">
        <v>0.25647437081695268</v>
      </c>
      <c r="K43">
        <v>0.25865858977609257</v>
      </c>
      <c r="L43">
        <v>0.25777106076678802</v>
      </c>
      <c r="M43">
        <v>0.25493121694386028</v>
      </c>
      <c r="N43">
        <v>0.25793648950849968</v>
      </c>
      <c r="O43">
        <v>0.25344271708842631</v>
      </c>
      <c r="P43">
        <v>0.2574309390461707</v>
      </c>
      <c r="Q43">
        <v>0.25275447174274662</v>
      </c>
      <c r="R43">
        <v>0.25735830276993982</v>
      </c>
      <c r="S43">
        <v>0.25468083487807452</v>
      </c>
      <c r="T43">
        <v>0.24888629696923631</v>
      </c>
    </row>
    <row r="45" spans="1:20" x14ac:dyDescent="0.35">
      <c r="A45" t="s">
        <v>33</v>
      </c>
      <c r="B45" t="s">
        <v>72</v>
      </c>
      <c r="C45" t="s">
        <v>73</v>
      </c>
      <c r="D45" t="s">
        <v>74</v>
      </c>
      <c r="E45" t="s">
        <v>75</v>
      </c>
      <c r="F45" t="s">
        <v>76</v>
      </c>
      <c r="G45" t="s">
        <v>77</v>
      </c>
      <c r="H45" t="s">
        <v>78</v>
      </c>
      <c r="I45" t="s">
        <v>79</v>
      </c>
      <c r="J45" t="s">
        <v>80</v>
      </c>
      <c r="K45" t="s">
        <v>81</v>
      </c>
      <c r="L45" t="s">
        <v>82</v>
      </c>
      <c r="M45" t="s">
        <v>83</v>
      </c>
      <c r="N45" t="s">
        <v>84</v>
      </c>
      <c r="O45" t="s">
        <v>85</v>
      </c>
      <c r="P45" t="s">
        <v>86</v>
      </c>
      <c r="Q45" t="s">
        <v>87</v>
      </c>
      <c r="R45" t="s">
        <v>88</v>
      </c>
      <c r="S45" t="s">
        <v>89</v>
      </c>
      <c r="T45" t="s">
        <v>90</v>
      </c>
    </row>
    <row r="46" spans="1:20" x14ac:dyDescent="0.35">
      <c r="A46" t="s">
        <v>21</v>
      </c>
      <c r="B46">
        <v>141.58569027713079</v>
      </c>
      <c r="C46">
        <v>141.55485848038549</v>
      </c>
      <c r="D46">
        <v>140.6327945848079</v>
      </c>
      <c r="E46">
        <v>141.29539290152101</v>
      </c>
      <c r="F46">
        <v>141.73603374765901</v>
      </c>
      <c r="G46">
        <v>140.58360731089871</v>
      </c>
      <c r="H46">
        <v>141.53579051467659</v>
      </c>
      <c r="I46">
        <v>141.46100665785309</v>
      </c>
      <c r="J46">
        <v>141.0067908691486</v>
      </c>
      <c r="K46">
        <v>141.46242197194559</v>
      </c>
      <c r="L46">
        <v>141.54757841426161</v>
      </c>
      <c r="M46">
        <v>141.56537279413561</v>
      </c>
      <c r="N46">
        <v>141.89197270541169</v>
      </c>
      <c r="O46">
        <v>141.58906945128581</v>
      </c>
      <c r="P46">
        <v>141.10220187834429</v>
      </c>
      <c r="Q46">
        <v>141.0580054348425</v>
      </c>
      <c r="R46">
        <v>141.80076575906131</v>
      </c>
      <c r="S46">
        <v>141.33541851700949</v>
      </c>
      <c r="T46">
        <v>142.49811144908031</v>
      </c>
    </row>
    <row r="47" spans="1:20" x14ac:dyDescent="0.35">
      <c r="A47" t="s">
        <v>22</v>
      </c>
      <c r="B47">
        <v>1.8081470182384289</v>
      </c>
      <c r="C47">
        <v>2.303718175007532</v>
      </c>
      <c r="D47">
        <v>1.9153232321828</v>
      </c>
      <c r="E47">
        <v>2.2046432063008301</v>
      </c>
      <c r="F47">
        <v>2.2083583390806329</v>
      </c>
      <c r="G47">
        <v>1.893317556204124</v>
      </c>
      <c r="H47">
        <v>1.927500339911177</v>
      </c>
      <c r="I47">
        <v>2.1984791225711149</v>
      </c>
      <c r="J47">
        <v>1.8239652854200019</v>
      </c>
      <c r="K47">
        <v>1.5267273337749709</v>
      </c>
      <c r="L47">
        <v>2.5150931047364788</v>
      </c>
      <c r="M47">
        <v>2.11667255825094</v>
      </c>
      <c r="N47">
        <v>2.1880548547147778</v>
      </c>
      <c r="O47">
        <v>2.151529670885111</v>
      </c>
      <c r="P47">
        <v>1.8764754553026251</v>
      </c>
      <c r="Q47">
        <v>1.973804036013092</v>
      </c>
      <c r="R47">
        <v>2.7409920796008289</v>
      </c>
      <c r="S47">
        <v>1.8954030916964091</v>
      </c>
      <c r="T47">
        <v>3.3052527462653809</v>
      </c>
    </row>
    <row r="48" spans="1:20" x14ac:dyDescent="0.35">
      <c r="A48" t="s">
        <v>23</v>
      </c>
      <c r="B48">
        <v>3.834526796895986</v>
      </c>
      <c r="C48">
        <v>4.7065718332174606</v>
      </c>
      <c r="D48">
        <v>4.7220252878944287</v>
      </c>
      <c r="E48">
        <v>3.3803596105253471</v>
      </c>
      <c r="F48">
        <v>4.0522064732813652</v>
      </c>
      <c r="G48">
        <v>4.4313824422424517</v>
      </c>
      <c r="H48">
        <v>4.3978840269255954</v>
      </c>
      <c r="I48">
        <v>4.2647446078221938</v>
      </c>
      <c r="J48">
        <v>3.400041111271805</v>
      </c>
      <c r="K48">
        <v>3.246776910181199</v>
      </c>
      <c r="L48">
        <v>4.7450402085774153</v>
      </c>
      <c r="M48">
        <v>3.5788263170630268</v>
      </c>
      <c r="N48">
        <v>4.6340860772469474</v>
      </c>
      <c r="O48">
        <v>5.1130721163138286</v>
      </c>
      <c r="P48">
        <v>3.074510554567591</v>
      </c>
      <c r="Q48">
        <v>4.6549007913063098</v>
      </c>
      <c r="R48">
        <v>3.1630961430673761</v>
      </c>
      <c r="S48">
        <v>3.7222691952909792</v>
      </c>
      <c r="T48">
        <v>-5.2106872440641823</v>
      </c>
    </row>
    <row r="49" spans="1:20" x14ac:dyDescent="0.35">
      <c r="A49" t="s">
        <v>24</v>
      </c>
      <c r="B49">
        <v>5.273183205077153</v>
      </c>
      <c r="C49">
        <v>5.3491704579926784</v>
      </c>
      <c r="D49">
        <v>4.8466141182990166</v>
      </c>
      <c r="E49">
        <v>4.7198144016065662</v>
      </c>
      <c r="F49">
        <v>5.4186290685862417</v>
      </c>
      <c r="G49">
        <v>5.2158839304840638</v>
      </c>
      <c r="H49">
        <v>5.2593956762841767</v>
      </c>
      <c r="I49">
        <v>5.1264892012565326</v>
      </c>
      <c r="J49">
        <v>5.0840799463480586</v>
      </c>
      <c r="K49">
        <v>4.8494365430895279</v>
      </c>
      <c r="L49">
        <v>5.2543873980349449</v>
      </c>
      <c r="M49">
        <v>5.2415180753210766</v>
      </c>
      <c r="N49">
        <v>4.5680144566398244</v>
      </c>
      <c r="O49">
        <v>5.4284507046170623</v>
      </c>
      <c r="P49">
        <v>4.7981404441598769</v>
      </c>
      <c r="Q49">
        <v>4.9933350554936302</v>
      </c>
      <c r="R49">
        <v>5.4279980807755566</v>
      </c>
      <c r="S49">
        <v>4.9455256989158132</v>
      </c>
      <c r="T49">
        <v>2.0025669175832612</v>
      </c>
    </row>
    <row r="50" spans="1:20" x14ac:dyDescent="0.35">
      <c r="A50" t="s">
        <v>25</v>
      </c>
      <c r="B50">
        <v>1.018081729261215</v>
      </c>
      <c r="C50">
        <v>1.2265004783085429</v>
      </c>
      <c r="D50">
        <v>0.82243563677131604</v>
      </c>
      <c r="E50">
        <v>0.98040313832819181</v>
      </c>
      <c r="F50">
        <v>1.0708619469119729</v>
      </c>
      <c r="G50">
        <v>0.98776463862167252</v>
      </c>
      <c r="H50">
        <v>0.91829589340332762</v>
      </c>
      <c r="I50">
        <v>1.0691532253875</v>
      </c>
      <c r="J50">
        <v>1.063596184543107</v>
      </c>
      <c r="K50">
        <v>0.60264483041512795</v>
      </c>
      <c r="L50">
        <v>0.78429026371848787</v>
      </c>
      <c r="M50">
        <v>0.74773394878958621</v>
      </c>
      <c r="N50">
        <v>0.75873845472628498</v>
      </c>
      <c r="O50">
        <v>1.0442811660392619</v>
      </c>
      <c r="P50">
        <v>0.83272071881206722</v>
      </c>
      <c r="Q50">
        <v>1.143477694787546</v>
      </c>
      <c r="R50">
        <v>1.14421101341432</v>
      </c>
      <c r="S50">
        <v>0.93936059871846789</v>
      </c>
      <c r="T50">
        <v>1.681669973709359</v>
      </c>
    </row>
    <row r="51" spans="1:20" x14ac:dyDescent="0.35">
      <c r="A51" t="s">
        <v>26</v>
      </c>
      <c r="B51">
        <v>153.51962902660361</v>
      </c>
      <c r="C51">
        <v>155.14081942491171</v>
      </c>
      <c r="D51">
        <v>152.93919285995551</v>
      </c>
      <c r="E51">
        <v>152.58061325828189</v>
      </c>
      <c r="F51">
        <v>154.48608957551929</v>
      </c>
      <c r="G51">
        <v>153.11195587845111</v>
      </c>
      <c r="H51">
        <v>154.03886645120079</v>
      </c>
      <c r="I51">
        <v>154.11987281489041</v>
      </c>
      <c r="J51">
        <v>152.37847339673161</v>
      </c>
      <c r="K51">
        <v>151.6880075894064</v>
      </c>
      <c r="L51">
        <v>154.84638938932889</v>
      </c>
      <c r="M51">
        <v>153.2501236935602</v>
      </c>
      <c r="N51">
        <v>154.04086654873959</v>
      </c>
      <c r="O51">
        <v>155.3264031091411</v>
      </c>
      <c r="P51">
        <v>151.68404905118649</v>
      </c>
      <c r="Q51">
        <v>153.8235230124431</v>
      </c>
      <c r="R51">
        <v>154.27706307591939</v>
      </c>
      <c r="S51">
        <v>152.83797710163111</v>
      </c>
      <c r="T51">
        <v>144.27691384257409</v>
      </c>
    </row>
    <row r="52" spans="1:20" x14ac:dyDescent="0.35">
      <c r="A52" t="s">
        <v>27</v>
      </c>
      <c r="B52">
        <v>8560512.3499999996</v>
      </c>
      <c r="C52">
        <v>8917287.9299999997</v>
      </c>
      <c r="D52">
        <v>8263841.3400000017</v>
      </c>
      <c r="E52">
        <v>9118608.459999999</v>
      </c>
      <c r="F52">
        <v>8884209.8900000006</v>
      </c>
      <c r="G52">
        <v>8646568.6700000018</v>
      </c>
      <c r="H52">
        <v>8972399.5199999996</v>
      </c>
      <c r="I52">
        <v>8849992.7600000016</v>
      </c>
      <c r="J52">
        <v>8830943.4399999995</v>
      </c>
      <c r="K52">
        <v>7414229.1799999997</v>
      </c>
      <c r="L52">
        <v>7814462.7300000004</v>
      </c>
      <c r="M52">
        <v>7737314.6199999992</v>
      </c>
      <c r="N52">
        <v>7074662.5</v>
      </c>
      <c r="O52">
        <v>7257647.9199999999</v>
      </c>
      <c r="P52">
        <v>6730330.5099999998</v>
      </c>
      <c r="Q52">
        <v>5548935.4900000002</v>
      </c>
      <c r="R52">
        <v>5531862.5299999993</v>
      </c>
      <c r="S52">
        <v>4393653.6899999985</v>
      </c>
      <c r="T52">
        <v>425706.63</v>
      </c>
    </row>
    <row r="53" spans="1:20" x14ac:dyDescent="0.35">
      <c r="A53" t="s">
        <v>28</v>
      </c>
      <c r="B53">
        <v>1.48070438321911</v>
      </c>
      <c r="C53">
        <v>1.4756699834559379</v>
      </c>
      <c r="D53">
        <v>1.5096160815316231</v>
      </c>
      <c r="E53">
        <v>1.5184291813083151</v>
      </c>
      <c r="F53">
        <v>1.471097982802736</v>
      </c>
      <c r="G53">
        <v>1.484523420413882</v>
      </c>
      <c r="H53">
        <v>1.4816215354461699</v>
      </c>
      <c r="I53">
        <v>1.490521144137368</v>
      </c>
      <c r="J53">
        <v>1.4933834726247559</v>
      </c>
      <c r="K53">
        <v>1.509421075228176</v>
      </c>
      <c r="L53">
        <v>1.481954969603527</v>
      </c>
      <c r="M53">
        <v>1.4828124540920711</v>
      </c>
      <c r="N53">
        <v>1.529116185743604</v>
      </c>
      <c r="O53">
        <v>1.4704537747322339</v>
      </c>
      <c r="P53">
        <v>1.5129730944015429</v>
      </c>
      <c r="Q53">
        <v>1.499545199342655</v>
      </c>
      <c r="R53">
        <v>1.4704834502491431</v>
      </c>
      <c r="S53">
        <v>1.5028120288605951</v>
      </c>
      <c r="T53">
        <v>1.735554998597757</v>
      </c>
    </row>
    <row r="54" spans="1:20" x14ac:dyDescent="0.35">
      <c r="A54" t="s">
        <v>29</v>
      </c>
      <c r="B54">
        <v>0.23545597529626841</v>
      </c>
      <c r="C54">
        <v>0.23247856459559221</v>
      </c>
      <c r="D54">
        <v>0.23825091947469551</v>
      </c>
      <c r="E54">
        <v>0.2359942408810258</v>
      </c>
      <c r="F54">
        <v>0.23470197218697181</v>
      </c>
      <c r="G54">
        <v>0.23588907659111899</v>
      </c>
      <c r="H54">
        <v>0.23688148723709529</v>
      </c>
      <c r="I54">
        <v>0.23472638249446429</v>
      </c>
      <c r="J54">
        <v>0.2348057687922413</v>
      </c>
      <c r="K54">
        <v>0.24139078813692669</v>
      </c>
      <c r="L54">
        <v>0.2387958533754502</v>
      </c>
      <c r="M54">
        <v>0.23931808644586311</v>
      </c>
      <c r="N54">
        <v>0.2391608792181959</v>
      </c>
      <c r="O54">
        <v>0.23508169762801051</v>
      </c>
      <c r="P54">
        <v>0.23810398973125621</v>
      </c>
      <c r="Q54">
        <v>0.23366460436017791</v>
      </c>
      <c r="R54">
        <v>0.23365412837979541</v>
      </c>
      <c r="S54">
        <v>0.23658056287545051</v>
      </c>
      <c r="T54">
        <v>0.22597614323272339</v>
      </c>
    </row>
    <row r="56" spans="1:20" x14ac:dyDescent="0.35">
      <c r="A56" t="s">
        <v>34</v>
      </c>
      <c r="B56" t="s">
        <v>72</v>
      </c>
      <c r="C56" t="s">
        <v>73</v>
      </c>
      <c r="D56" t="s">
        <v>74</v>
      </c>
      <c r="E56" t="s">
        <v>75</v>
      </c>
      <c r="F56" t="s">
        <v>76</v>
      </c>
      <c r="G56" t="s">
        <v>77</v>
      </c>
      <c r="H56" t="s">
        <v>78</v>
      </c>
      <c r="I56" t="s">
        <v>79</v>
      </c>
      <c r="J56" t="s">
        <v>80</v>
      </c>
      <c r="K56" t="s">
        <v>81</v>
      </c>
      <c r="L56" t="s">
        <v>82</v>
      </c>
      <c r="M56" t="s">
        <v>83</v>
      </c>
      <c r="N56" t="s">
        <v>84</v>
      </c>
      <c r="O56" t="s">
        <v>85</v>
      </c>
      <c r="P56" t="s">
        <v>86</v>
      </c>
      <c r="Q56" t="s">
        <v>87</v>
      </c>
      <c r="R56" t="s">
        <v>88</v>
      </c>
      <c r="S56" t="s">
        <v>89</v>
      </c>
      <c r="T56" t="s">
        <v>90</v>
      </c>
    </row>
    <row r="57" spans="1:20" x14ac:dyDescent="0.35">
      <c r="A57" t="s">
        <v>21</v>
      </c>
      <c r="B57">
        <v>142.36344024327229</v>
      </c>
      <c r="C57">
        <v>142.0960083156271</v>
      </c>
      <c r="D57">
        <v>142.91137325697929</v>
      </c>
      <c r="E57">
        <v>141.94351119905539</v>
      </c>
      <c r="F57">
        <v>142.98549060453939</v>
      </c>
      <c r="G57">
        <v>141.55385274557409</v>
      </c>
      <c r="H57">
        <v>141.26404248640361</v>
      </c>
      <c r="I57">
        <v>142.37761349355929</v>
      </c>
      <c r="J57">
        <v>143.0688139110533</v>
      </c>
      <c r="K57">
        <v>143.2040362909342</v>
      </c>
      <c r="L57">
        <v>142.58914486883381</v>
      </c>
      <c r="M57">
        <v>142.8560028222372</v>
      </c>
      <c r="N57">
        <v>143.19846568162541</v>
      </c>
      <c r="O57">
        <v>143.16978573519171</v>
      </c>
      <c r="P57">
        <v>143.28776367334819</v>
      </c>
      <c r="Q57">
        <v>144.25390406740249</v>
      </c>
      <c r="R57">
        <v>144.7304113750763</v>
      </c>
      <c r="S57">
        <v>143.83784207348691</v>
      </c>
      <c r="T57">
        <v>145.8370260019538</v>
      </c>
    </row>
    <row r="58" spans="1:20" x14ac:dyDescent="0.35">
      <c r="A58" t="s">
        <v>22</v>
      </c>
      <c r="B58">
        <v>1.8091609697752631</v>
      </c>
      <c r="C58">
        <v>2.4560619062998801</v>
      </c>
      <c r="D58">
        <v>1.8896579818313339</v>
      </c>
      <c r="E58">
        <v>2.1966945957948378</v>
      </c>
      <c r="F58">
        <v>1.610317627264493</v>
      </c>
      <c r="G58">
        <v>2.1919812057139438</v>
      </c>
      <c r="H58">
        <v>1.427911423291192</v>
      </c>
      <c r="I58">
        <v>1.7370231181425591</v>
      </c>
      <c r="J58">
        <v>2.5822026534766001</v>
      </c>
      <c r="K58">
        <v>3.3435524313274811</v>
      </c>
      <c r="L58">
        <v>1.0297785785493829</v>
      </c>
      <c r="M58">
        <v>2.6065594851910698</v>
      </c>
      <c r="N58">
        <v>2.9332288504351141</v>
      </c>
      <c r="O58">
        <v>2.9157309368024191</v>
      </c>
      <c r="P58">
        <v>2.7608924718620358</v>
      </c>
      <c r="Q58">
        <v>3.098504405559027</v>
      </c>
      <c r="R58">
        <v>2.726722169229078</v>
      </c>
      <c r="S58">
        <v>1.812829141665588</v>
      </c>
      <c r="T58">
        <v>3.7515358208098628</v>
      </c>
    </row>
    <row r="59" spans="1:20" x14ac:dyDescent="0.35">
      <c r="A59" t="s">
        <v>23</v>
      </c>
      <c r="B59">
        <v>0.16321923324729989</v>
      </c>
      <c r="C59">
        <v>-0.32447171028934368</v>
      </c>
      <c r="D59">
        <v>-0.2399606354204453</v>
      </c>
      <c r="E59">
        <v>-0.28106333178411319</v>
      </c>
      <c r="F59">
        <v>-1.6233776245021549</v>
      </c>
      <c r="G59">
        <v>0.27733757575600892</v>
      </c>
      <c r="H59">
        <v>-0.27959089601722498</v>
      </c>
      <c r="I59">
        <v>1.3086183553496109</v>
      </c>
      <c r="J59">
        <v>-4.0910881640444943E-2</v>
      </c>
      <c r="K59">
        <v>0.62204715715387227</v>
      </c>
      <c r="L59">
        <v>-0.5898358680119351</v>
      </c>
      <c r="M59">
        <v>0.883688764542643</v>
      </c>
      <c r="N59">
        <v>-1.971543084747164</v>
      </c>
      <c r="O59">
        <v>1.6662865696935669</v>
      </c>
      <c r="P59">
        <v>-1.8241564976717941</v>
      </c>
      <c r="Q59">
        <v>1.6173133153845001</v>
      </c>
      <c r="R59">
        <v>9.6551089592071385E-2</v>
      </c>
      <c r="S59">
        <v>-1.7298218928125231</v>
      </c>
      <c r="T59">
        <v>1.0956263727456439</v>
      </c>
    </row>
    <row r="60" spans="1:20" x14ac:dyDescent="0.35">
      <c r="A60" t="s">
        <v>24</v>
      </c>
      <c r="B60">
        <v>5.3421837889913171E-2</v>
      </c>
      <c r="C60">
        <v>-0.51182564653875162</v>
      </c>
      <c r="D60">
        <v>-1.1085900733019829</v>
      </c>
      <c r="E60">
        <v>1.4440716632562189E-3</v>
      </c>
      <c r="F60">
        <v>-0.70378868601643263</v>
      </c>
      <c r="G60">
        <v>-0.2305236217819655</v>
      </c>
      <c r="H60">
        <v>-1.6461374150905099</v>
      </c>
      <c r="I60">
        <v>-1.0224332714712749</v>
      </c>
      <c r="J60">
        <v>7.7271021296881459E-2</v>
      </c>
      <c r="K60">
        <v>-0.98698770155788429</v>
      </c>
      <c r="L60">
        <v>-0.26102303922012998</v>
      </c>
      <c r="M60">
        <v>-0.81155071294796488</v>
      </c>
      <c r="N60">
        <v>-1.3828054958322911</v>
      </c>
      <c r="O60">
        <v>0.1024075962424138</v>
      </c>
      <c r="P60">
        <v>-1.982956025306277</v>
      </c>
      <c r="Q60">
        <v>-0.23890453859749389</v>
      </c>
      <c r="R60">
        <v>-0.1226171669378024</v>
      </c>
      <c r="S60">
        <v>-0.46556488230118209</v>
      </c>
      <c r="T60">
        <v>0.48307108855502578</v>
      </c>
    </row>
    <row r="61" spans="1:20" x14ac:dyDescent="0.35">
      <c r="A61" t="s">
        <v>25</v>
      </c>
      <c r="B61">
        <v>-0.43126950159568439</v>
      </c>
      <c r="C61">
        <v>-0.13779383016922531</v>
      </c>
      <c r="D61">
        <v>-0.23534778942270321</v>
      </c>
      <c r="E61">
        <v>-0.51724064896947219</v>
      </c>
      <c r="F61">
        <v>-0.41898762626698588</v>
      </c>
      <c r="G61">
        <v>-0.49025323104460972</v>
      </c>
      <c r="H61">
        <v>-0.88530604213431796</v>
      </c>
      <c r="I61">
        <v>-0.25526288948236692</v>
      </c>
      <c r="J61">
        <v>-0.46139233330780649</v>
      </c>
      <c r="K61">
        <v>-0.50474847574650927</v>
      </c>
      <c r="L61">
        <v>-1.122673561327127</v>
      </c>
      <c r="M61">
        <v>-0.77508119953035637</v>
      </c>
      <c r="N61">
        <v>-0.64481394032014749</v>
      </c>
      <c r="O61">
        <v>-0.94133739337145206</v>
      </c>
      <c r="P61">
        <v>-0.9357445685867295</v>
      </c>
      <c r="Q61">
        <v>-0.34678228293597901</v>
      </c>
      <c r="R61">
        <v>-3.8767322424290707E-2</v>
      </c>
      <c r="S61">
        <v>-0.40062165368672958</v>
      </c>
      <c r="T61">
        <v>-0.1162914003992543</v>
      </c>
    </row>
    <row r="62" spans="1:20" x14ac:dyDescent="0.35">
      <c r="A62" t="s">
        <v>26</v>
      </c>
      <c r="B62">
        <v>143.95797278258911</v>
      </c>
      <c r="C62">
        <v>143.57797903492971</v>
      </c>
      <c r="D62">
        <v>143.21713274066551</v>
      </c>
      <c r="E62">
        <v>143.3433458857599</v>
      </c>
      <c r="F62">
        <v>141.84965429501841</v>
      </c>
      <c r="G62">
        <v>143.30239467421751</v>
      </c>
      <c r="H62">
        <v>139.88091955645271</v>
      </c>
      <c r="I62">
        <v>144.14555880609791</v>
      </c>
      <c r="J62">
        <v>145.22598437087859</v>
      </c>
      <c r="K62">
        <v>145.6778997021112</v>
      </c>
      <c r="L62">
        <v>141.645390978824</v>
      </c>
      <c r="M62">
        <v>144.75961915949259</v>
      </c>
      <c r="N62">
        <v>142.13253201116089</v>
      </c>
      <c r="O62">
        <v>146.91287344455861</v>
      </c>
      <c r="P62">
        <v>141.3057990536455</v>
      </c>
      <c r="Q62">
        <v>148.38403496681249</v>
      </c>
      <c r="R62">
        <v>147.39230014453531</v>
      </c>
      <c r="S62">
        <v>143.054662786352</v>
      </c>
      <c r="T62">
        <v>151.05096788366501</v>
      </c>
    </row>
    <row r="63" spans="1:20" x14ac:dyDescent="0.35">
      <c r="A63" t="s">
        <v>27</v>
      </c>
      <c r="B63">
        <v>3119614.850000001</v>
      </c>
      <c r="C63">
        <v>3082216.14</v>
      </c>
      <c r="D63">
        <v>3255072.11</v>
      </c>
      <c r="E63">
        <v>3754735.63</v>
      </c>
      <c r="F63">
        <v>3090961.31</v>
      </c>
      <c r="G63">
        <v>3235010.27</v>
      </c>
      <c r="H63">
        <v>2773875.44</v>
      </c>
      <c r="I63">
        <v>3684093.64</v>
      </c>
      <c r="J63">
        <v>2493803</v>
      </c>
      <c r="K63">
        <v>2005785.14</v>
      </c>
      <c r="L63">
        <v>2182549.83</v>
      </c>
      <c r="M63">
        <v>1860084.65</v>
      </c>
      <c r="N63">
        <v>2347864.2999999998</v>
      </c>
      <c r="O63">
        <v>2279845.59</v>
      </c>
      <c r="P63">
        <v>1896498.57</v>
      </c>
      <c r="Q63">
        <v>2258203.84</v>
      </c>
      <c r="R63">
        <v>1664197.2</v>
      </c>
      <c r="S63">
        <v>1418962.71</v>
      </c>
      <c r="T63">
        <v>158920.75</v>
      </c>
    </row>
    <row r="64" spans="1:20" x14ac:dyDescent="0.35">
      <c r="A64" t="s">
        <v>28</v>
      </c>
      <c r="B64">
        <v>1.4454577054577831</v>
      </c>
      <c r="C64">
        <v>1.495010876981987</v>
      </c>
      <c r="D64">
        <v>1.5511524851289189</v>
      </c>
      <c r="E64">
        <v>1.4498768396435679</v>
      </c>
      <c r="F64">
        <v>1.512621524418265</v>
      </c>
      <c r="G64">
        <v>1.469932599208525</v>
      </c>
      <c r="H64">
        <v>1.605459203746372</v>
      </c>
      <c r="I64">
        <v>1.542788111533042</v>
      </c>
      <c r="J64">
        <v>1.4434390582230181</v>
      </c>
      <c r="K64">
        <v>1.5393730761324751</v>
      </c>
      <c r="L64">
        <v>1.472610904343556</v>
      </c>
      <c r="M64">
        <v>1.5226906273052201</v>
      </c>
      <c r="N64">
        <v>1.578388486704301</v>
      </c>
      <c r="O64">
        <v>1.4413175373867171</v>
      </c>
      <c r="P64">
        <v>1.6414681905133559</v>
      </c>
      <c r="Q64">
        <v>1.470667597876528</v>
      </c>
      <c r="R64">
        <v>1.460534506079433</v>
      </c>
      <c r="S64">
        <v>1.4908280702988219</v>
      </c>
      <c r="T64">
        <v>1.409935352613001</v>
      </c>
    </row>
    <row r="65" spans="1:20" x14ac:dyDescent="0.35">
      <c r="A65" t="s">
        <v>29</v>
      </c>
      <c r="B65">
        <v>0.24116099287993831</v>
      </c>
      <c r="C65">
        <v>0.2369684832881318</v>
      </c>
      <c r="D65">
        <v>0.2383621112774672</v>
      </c>
      <c r="E65">
        <v>0.2423891521281353</v>
      </c>
      <c r="F65">
        <v>0.24098553751809981</v>
      </c>
      <c r="G65">
        <v>0.24200361758635161</v>
      </c>
      <c r="H65">
        <v>0.24764722917334739</v>
      </c>
      <c r="I65">
        <v>0.23864661270689089</v>
      </c>
      <c r="J65">
        <v>0.24159131904725439</v>
      </c>
      <c r="K65">
        <v>0.2422106925106644</v>
      </c>
      <c r="L65">
        <v>0.25103819373324471</v>
      </c>
      <c r="M65">
        <v>0.24607258856471939</v>
      </c>
      <c r="N65">
        <v>0.24421162771885921</v>
      </c>
      <c r="O65">
        <v>0.24844767704816359</v>
      </c>
      <c r="P65">
        <v>0.24836777955123901</v>
      </c>
      <c r="Q65">
        <v>0.23995403261337109</v>
      </c>
      <c r="R65">
        <v>0.2355538188917756</v>
      </c>
      <c r="S65">
        <v>0.24072316648123901</v>
      </c>
      <c r="T65">
        <v>0.23666130571998931</v>
      </c>
    </row>
    <row r="67" spans="1:20" x14ac:dyDescent="0.35">
      <c r="A67" t="s">
        <v>35</v>
      </c>
      <c r="B67" t="s">
        <v>72</v>
      </c>
      <c r="C67" t="s">
        <v>73</v>
      </c>
      <c r="D67" t="s">
        <v>74</v>
      </c>
      <c r="E67" t="s">
        <v>75</v>
      </c>
      <c r="F67" t="s">
        <v>76</v>
      </c>
      <c r="G67" t="s">
        <v>77</v>
      </c>
      <c r="H67" t="s">
        <v>78</v>
      </c>
      <c r="I67" t="s">
        <v>79</v>
      </c>
      <c r="J67" t="s">
        <v>80</v>
      </c>
      <c r="K67" t="s">
        <v>81</v>
      </c>
      <c r="L67" t="s">
        <v>82</v>
      </c>
      <c r="M67" t="s">
        <v>83</v>
      </c>
      <c r="N67" t="s">
        <v>84</v>
      </c>
      <c r="O67" t="s">
        <v>85</v>
      </c>
      <c r="P67" t="s">
        <v>86</v>
      </c>
      <c r="Q67" t="s">
        <v>87</v>
      </c>
      <c r="R67" t="s">
        <v>88</v>
      </c>
      <c r="S67" t="s">
        <v>89</v>
      </c>
      <c r="T67" t="s">
        <v>90</v>
      </c>
    </row>
    <row r="68" spans="1:20" x14ac:dyDescent="0.35">
      <c r="A68" t="s">
        <v>21</v>
      </c>
      <c r="B68">
        <v>143.67618373871801</v>
      </c>
      <c r="C68">
        <v>143.41470914737371</v>
      </c>
      <c r="D68">
        <v>144.37062867536079</v>
      </c>
      <c r="E68">
        <v>144.17676605074871</v>
      </c>
      <c r="F68">
        <v>144.9570945509146</v>
      </c>
      <c r="G68">
        <v>145.31827926850781</v>
      </c>
      <c r="H68">
        <v>144.93361719713511</v>
      </c>
      <c r="I68">
        <v>145.1098218578729</v>
      </c>
      <c r="J68">
        <v>145.38399446757231</v>
      </c>
      <c r="K68">
        <v>145.29986413356869</v>
      </c>
      <c r="L68">
        <v>145.97945574206659</v>
      </c>
      <c r="M68">
        <v>145.73216684922929</v>
      </c>
      <c r="N68">
        <v>145.57117664040641</v>
      </c>
      <c r="O68">
        <v>145.5196172202871</v>
      </c>
      <c r="P68">
        <v>145.9673075321279</v>
      </c>
      <c r="Q68">
        <v>146.28352163126729</v>
      </c>
      <c r="R68">
        <v>146.32189318722871</v>
      </c>
      <c r="S68">
        <v>146.3146661234544</v>
      </c>
      <c r="T68">
        <v>146.09366921330141</v>
      </c>
    </row>
    <row r="69" spans="1:20" x14ac:dyDescent="0.35">
      <c r="A69" t="s">
        <v>22</v>
      </c>
      <c r="B69">
        <v>-0.67375177431577526</v>
      </c>
      <c r="C69">
        <v>-0.67703219102222079</v>
      </c>
      <c r="D69">
        <v>-0.81671205670662061</v>
      </c>
      <c r="E69">
        <v>-0.6564200112189269</v>
      </c>
      <c r="F69">
        <v>-0.2386890102851851</v>
      </c>
      <c r="G69">
        <v>-0.30158357379556833</v>
      </c>
      <c r="H69">
        <v>-1.7340569196989009E-2</v>
      </c>
      <c r="I69">
        <v>-0.84040231051605474</v>
      </c>
      <c r="J69">
        <v>-0.47191640378673583</v>
      </c>
      <c r="K69">
        <v>-0.39847325706330139</v>
      </c>
      <c r="L69">
        <v>-0.22702181232432389</v>
      </c>
      <c r="M69">
        <v>-0.4251994404000925</v>
      </c>
      <c r="N69">
        <v>-0.52653795686464377</v>
      </c>
      <c r="O69">
        <v>0.32141958569368972</v>
      </c>
      <c r="P69">
        <v>-0.63927048123167651</v>
      </c>
      <c r="Q69">
        <v>0.64522408781317608</v>
      </c>
      <c r="R69">
        <v>-0.27975593078795669</v>
      </c>
      <c r="S69">
        <v>-0.66210231584463486</v>
      </c>
      <c r="T69">
        <v>0.10740283991256661</v>
      </c>
    </row>
    <row r="70" spans="1:20" x14ac:dyDescent="0.35">
      <c r="A70" t="s">
        <v>23</v>
      </c>
      <c r="B70">
        <v>0.2442791600652324</v>
      </c>
      <c r="C70">
        <v>0.38983160692124358</v>
      </c>
      <c r="D70">
        <v>0.32564152727554319</v>
      </c>
      <c r="E70">
        <v>0.25026179094603429</v>
      </c>
      <c r="F70">
        <v>0.46495110962839259</v>
      </c>
      <c r="G70">
        <v>-1.343012267386577</v>
      </c>
      <c r="H70">
        <v>-0.66322416290523833</v>
      </c>
      <c r="I70">
        <v>-4.8888057866012712E-2</v>
      </c>
      <c r="J70">
        <v>-0.88562026344658429</v>
      </c>
      <c r="K70">
        <v>-1.611751721919412</v>
      </c>
      <c r="L70">
        <v>-1.8507480387802111</v>
      </c>
      <c r="M70">
        <v>-1.3239998625552669</v>
      </c>
      <c r="N70">
        <v>-0.77848423898035524</v>
      </c>
      <c r="O70">
        <v>-1.918883236996064</v>
      </c>
      <c r="P70">
        <v>-1.4175472381756169</v>
      </c>
      <c r="Q70">
        <v>-0.84064117404910987</v>
      </c>
      <c r="R70">
        <v>-0.4191690414559287</v>
      </c>
      <c r="S70">
        <v>4.1046543570538517E-2</v>
      </c>
      <c r="T70">
        <v>-4.0909663801191147</v>
      </c>
    </row>
    <row r="71" spans="1:20" x14ac:dyDescent="0.35">
      <c r="A71" t="s">
        <v>24</v>
      </c>
      <c r="B71">
        <v>1.3077940103676831</v>
      </c>
      <c r="C71">
        <v>1.3189298793073361</v>
      </c>
      <c r="D71">
        <v>1.1263841403169721</v>
      </c>
      <c r="E71">
        <v>1.322489617008249</v>
      </c>
      <c r="F71">
        <v>1.39657674119985</v>
      </c>
      <c r="G71">
        <v>1.3040285965553029</v>
      </c>
      <c r="H71">
        <v>1.342614691306343</v>
      </c>
      <c r="I71">
        <v>1.536936686518366</v>
      </c>
      <c r="J71">
        <v>1.433781795871589</v>
      </c>
      <c r="K71">
        <v>1.848747859405752</v>
      </c>
      <c r="L71">
        <v>1.6396262835593549</v>
      </c>
      <c r="M71">
        <v>1.799069522346364</v>
      </c>
      <c r="N71">
        <v>1.940057507805645</v>
      </c>
      <c r="O71">
        <v>2.1825324134712392</v>
      </c>
      <c r="P71">
        <v>2.0832853862203868</v>
      </c>
      <c r="Q71">
        <v>2.2413451749598572</v>
      </c>
      <c r="R71">
        <v>2.8010776782468891</v>
      </c>
      <c r="S71">
        <v>2.798494602922124</v>
      </c>
      <c r="T71">
        <v>2.7841697372398748</v>
      </c>
    </row>
    <row r="72" spans="1:20" x14ac:dyDescent="0.35">
      <c r="A72" t="s">
        <v>25</v>
      </c>
      <c r="B72">
        <v>-0.22339581538812819</v>
      </c>
      <c r="C72">
        <v>-0.35619662450507572</v>
      </c>
      <c r="D72">
        <v>-0.14629724500773769</v>
      </c>
      <c r="E72">
        <v>-0.46610189756412168</v>
      </c>
      <c r="F72">
        <v>-0.1948602252344955</v>
      </c>
      <c r="G72">
        <v>-0.43996716630300581</v>
      </c>
      <c r="H72">
        <v>-0.46041752022750948</v>
      </c>
      <c r="I72">
        <v>-0.38413927793677549</v>
      </c>
      <c r="J72">
        <v>-0.28917009238500441</v>
      </c>
      <c r="K72">
        <v>-0.45780299443087558</v>
      </c>
      <c r="L72">
        <v>-0.31350427341904069</v>
      </c>
      <c r="M72">
        <v>-0.37663609004721821</v>
      </c>
      <c r="N72">
        <v>-0.26432617196876651</v>
      </c>
      <c r="O72">
        <v>-0.21570105631180281</v>
      </c>
      <c r="P72">
        <v>-0.43443604505359218</v>
      </c>
      <c r="Q72">
        <v>0.2651890191123471</v>
      </c>
      <c r="R72">
        <v>0.50015294070323424</v>
      </c>
      <c r="S72">
        <v>-0.38097862002498678</v>
      </c>
      <c r="T72">
        <v>1.9222765143303289E-2</v>
      </c>
    </row>
    <row r="73" spans="1:20" x14ac:dyDescent="0.35">
      <c r="A73" t="s">
        <v>26</v>
      </c>
      <c r="B73">
        <v>144.33110931944699</v>
      </c>
      <c r="C73">
        <v>144.09024181807499</v>
      </c>
      <c r="D73">
        <v>144.85964504123899</v>
      </c>
      <c r="E73">
        <v>144.62699554991991</v>
      </c>
      <c r="F73">
        <v>146.38507316622321</v>
      </c>
      <c r="G73">
        <v>144.53774485757799</v>
      </c>
      <c r="H73">
        <v>145.13524963611181</v>
      </c>
      <c r="I73">
        <v>145.37332889807249</v>
      </c>
      <c r="J73">
        <v>145.17106950382549</v>
      </c>
      <c r="K73">
        <v>144.6805840195608</v>
      </c>
      <c r="L73">
        <v>145.22780790110241</v>
      </c>
      <c r="M73">
        <v>145.40540097857311</v>
      </c>
      <c r="N73">
        <v>145.94188578039831</v>
      </c>
      <c r="O73">
        <v>145.88898492614419</v>
      </c>
      <c r="P73">
        <v>145.55933915388741</v>
      </c>
      <c r="Q73">
        <v>148.5946387391036</v>
      </c>
      <c r="R73">
        <v>148.92419883393501</v>
      </c>
      <c r="S73">
        <v>148.1111263340774</v>
      </c>
      <c r="T73">
        <v>144.91349817547811</v>
      </c>
    </row>
    <row r="74" spans="1:20" x14ac:dyDescent="0.35">
      <c r="A74" t="s">
        <v>27</v>
      </c>
      <c r="B74">
        <v>3243960.59</v>
      </c>
      <c r="C74">
        <v>3727649.51</v>
      </c>
      <c r="D74">
        <v>4023499.5</v>
      </c>
      <c r="E74">
        <v>3853838.15</v>
      </c>
      <c r="F74">
        <v>3792944.8</v>
      </c>
      <c r="G74">
        <v>3260649.57</v>
      </c>
      <c r="H74">
        <v>3267858.25</v>
      </c>
      <c r="I74">
        <v>3406842.11</v>
      </c>
      <c r="J74">
        <v>3046532.33</v>
      </c>
      <c r="K74">
        <v>2816339.52</v>
      </c>
      <c r="L74">
        <v>3755384.12</v>
      </c>
      <c r="M74">
        <v>3178644.83</v>
      </c>
      <c r="N74">
        <v>3265360.92</v>
      </c>
      <c r="O74">
        <v>3279153.93</v>
      </c>
      <c r="P74">
        <v>2861087.77</v>
      </c>
      <c r="Q74">
        <v>2476109.6600000011</v>
      </c>
      <c r="R74">
        <v>2574265.2000000002</v>
      </c>
      <c r="S74">
        <v>1773646.6</v>
      </c>
      <c r="T74">
        <v>210519.65</v>
      </c>
    </row>
    <row r="75" spans="1:20" x14ac:dyDescent="0.35">
      <c r="A75" t="s">
        <v>28</v>
      </c>
      <c r="B75">
        <v>1.3464210918060759</v>
      </c>
      <c r="C75">
        <v>1.345602617751384</v>
      </c>
      <c r="D75">
        <v>1.3598961496779221</v>
      </c>
      <c r="E75">
        <v>1.3453411908127431</v>
      </c>
      <c r="F75">
        <v>1.339923201298389</v>
      </c>
      <c r="G75">
        <v>1.3466980708628791</v>
      </c>
      <c r="H75">
        <v>1.3438651149164189</v>
      </c>
      <c r="I75">
        <v>1.3297774285396129</v>
      </c>
      <c r="J75">
        <v>1.3372188231890969</v>
      </c>
      <c r="K75">
        <v>1.307779178960121</v>
      </c>
      <c r="L75">
        <v>1.322451406750679</v>
      </c>
      <c r="M75">
        <v>1.3112351103706841</v>
      </c>
      <c r="N75">
        <v>1.3014744010064989</v>
      </c>
      <c r="O75">
        <v>1.2850232424311789</v>
      </c>
      <c r="P75">
        <v>1.291706302196749</v>
      </c>
      <c r="Q75">
        <v>1.281095462705945</v>
      </c>
      <c r="R75">
        <v>1.2448817382843791</v>
      </c>
      <c r="S75">
        <v>1.2450441558502039</v>
      </c>
      <c r="T75">
        <v>1.245945638729592</v>
      </c>
    </row>
    <row r="76" spans="1:20" x14ac:dyDescent="0.35">
      <c r="A76" t="s">
        <v>29</v>
      </c>
      <c r="B76">
        <v>0.23819136879125899</v>
      </c>
      <c r="C76">
        <v>0.24008852320721541</v>
      </c>
      <c r="D76">
        <v>0.2370899606429677</v>
      </c>
      <c r="E76">
        <v>0.2416585985366303</v>
      </c>
      <c r="F76">
        <v>0.2377837175033499</v>
      </c>
      <c r="G76">
        <v>0.2412852452329001</v>
      </c>
      <c r="H76">
        <v>0.24157739314610729</v>
      </c>
      <c r="I76">
        <v>0.24048770397052541</v>
      </c>
      <c r="J76">
        <v>0.23913100131978579</v>
      </c>
      <c r="K76">
        <v>0.2415400427775839</v>
      </c>
      <c r="L76">
        <v>0.23947863247741491</v>
      </c>
      <c r="M76">
        <v>0.2403805155721031</v>
      </c>
      <c r="N76">
        <v>0.23877608817098239</v>
      </c>
      <c r="O76">
        <v>0.2380814436615972</v>
      </c>
      <c r="P76">
        <v>0.2412062292150513</v>
      </c>
      <c r="Q76">
        <v>0.2312115854412522</v>
      </c>
      <c r="R76">
        <v>0.22785495798995381</v>
      </c>
      <c r="S76">
        <v>0.24044255171464271</v>
      </c>
      <c r="T76">
        <v>0.2347253890693814</v>
      </c>
    </row>
    <row r="78" spans="1:20" x14ac:dyDescent="0.35">
      <c r="A78" t="s">
        <v>36</v>
      </c>
      <c r="B78" t="s">
        <v>72</v>
      </c>
      <c r="C78" t="s">
        <v>73</v>
      </c>
      <c r="D78" t="s">
        <v>74</v>
      </c>
      <c r="E78" t="s">
        <v>75</v>
      </c>
      <c r="F78" t="s">
        <v>76</v>
      </c>
      <c r="G78" t="s">
        <v>77</v>
      </c>
      <c r="H78" t="s">
        <v>78</v>
      </c>
      <c r="I78" t="s">
        <v>79</v>
      </c>
      <c r="J78" t="s">
        <v>80</v>
      </c>
      <c r="K78" t="s">
        <v>81</v>
      </c>
      <c r="L78" t="s">
        <v>82</v>
      </c>
      <c r="M78" t="s">
        <v>83</v>
      </c>
      <c r="N78" t="s">
        <v>84</v>
      </c>
      <c r="O78" t="s">
        <v>85</v>
      </c>
      <c r="P78" t="s">
        <v>86</v>
      </c>
      <c r="Q78" t="s">
        <v>87</v>
      </c>
      <c r="R78" t="s">
        <v>88</v>
      </c>
      <c r="S78" t="s">
        <v>89</v>
      </c>
      <c r="T78" t="s">
        <v>90</v>
      </c>
    </row>
    <row r="79" spans="1:20" x14ac:dyDescent="0.35">
      <c r="A79" t="s">
        <v>21</v>
      </c>
      <c r="B79">
        <v>143.29396671560889</v>
      </c>
      <c r="C79">
        <v>142.98318344577501</v>
      </c>
      <c r="D79">
        <v>142.78622423850831</v>
      </c>
      <c r="E79">
        <v>142.7294050560235</v>
      </c>
      <c r="F79">
        <v>142.5963108269751</v>
      </c>
      <c r="G79">
        <v>143.01324958254631</v>
      </c>
      <c r="H79">
        <v>143.67644352546901</v>
      </c>
      <c r="I79">
        <v>143.66837794255599</v>
      </c>
      <c r="J79">
        <v>143.85034465229171</v>
      </c>
      <c r="K79">
        <v>144.40280157767569</v>
      </c>
      <c r="L79">
        <v>143.58908080911311</v>
      </c>
      <c r="M79">
        <v>143.85122704305411</v>
      </c>
      <c r="N79">
        <v>144.09828061503589</v>
      </c>
      <c r="O79">
        <v>144.12093678691289</v>
      </c>
      <c r="P79">
        <v>143.94177163596319</v>
      </c>
      <c r="Q79">
        <v>143.71133538105019</v>
      </c>
      <c r="R79">
        <v>143.65175562274979</v>
      </c>
      <c r="S79">
        <v>144.01077740183541</v>
      </c>
      <c r="T79">
        <v>144.05197030624871</v>
      </c>
    </row>
    <row r="80" spans="1:20" x14ac:dyDescent="0.35">
      <c r="A80" t="s">
        <v>22</v>
      </c>
      <c r="B80">
        <v>0.26887787111533612</v>
      </c>
      <c r="C80">
        <v>0.29432048972796571</v>
      </c>
      <c r="D80">
        <v>0.17715154188766749</v>
      </c>
      <c r="E80">
        <v>3.2678113687438781E-2</v>
      </c>
      <c r="F80">
        <v>0.19547701999647421</v>
      </c>
      <c r="G80">
        <v>0.35701116650685089</v>
      </c>
      <c r="H80">
        <v>5.3530559450820192E-2</v>
      </c>
      <c r="I80">
        <v>0.33835266793562369</v>
      </c>
      <c r="J80">
        <v>0.40789805647759181</v>
      </c>
      <c r="K80">
        <v>0.30978777525061219</v>
      </c>
      <c r="L80">
        <v>0.47167914856146348</v>
      </c>
      <c r="M80">
        <v>0.38631111865447559</v>
      </c>
      <c r="N80">
        <v>0.16450735701320701</v>
      </c>
      <c r="O80">
        <v>0.33360715024457482</v>
      </c>
      <c r="P80">
        <v>0.18155413753672181</v>
      </c>
      <c r="Q80">
        <v>-0.12877149651978931</v>
      </c>
      <c r="R80">
        <v>0.1062614318364581</v>
      </c>
      <c r="S80">
        <v>0.19984001269475021</v>
      </c>
      <c r="T80">
        <v>0.62068621283495418</v>
      </c>
    </row>
    <row r="81" spans="1:20" x14ac:dyDescent="0.35">
      <c r="A81" t="s">
        <v>23</v>
      </c>
      <c r="B81">
        <v>0.56817166068707903</v>
      </c>
      <c r="C81">
        <v>0.62174758080164139</v>
      </c>
      <c r="D81">
        <v>0.50058466363989307</v>
      </c>
      <c r="E81">
        <v>0.52405004192987903</v>
      </c>
      <c r="F81">
        <v>0.45199155822693787</v>
      </c>
      <c r="G81">
        <v>0.9515654695208221</v>
      </c>
      <c r="H81">
        <v>0.69277968267592349</v>
      </c>
      <c r="I81">
        <v>0.75240957361354088</v>
      </c>
      <c r="J81">
        <v>1.125166073632262</v>
      </c>
      <c r="K81">
        <v>0.60689510168101601</v>
      </c>
      <c r="L81">
        <v>1.0986837017352891</v>
      </c>
      <c r="M81">
        <v>0.87289932522259617</v>
      </c>
      <c r="N81">
        <v>0.71217446433718123</v>
      </c>
      <c r="O81">
        <v>0.70176516107907527</v>
      </c>
      <c r="P81">
        <v>0.42611793140823129</v>
      </c>
      <c r="Q81">
        <v>0.52984080067861472</v>
      </c>
      <c r="R81">
        <v>0.7408477668413822</v>
      </c>
      <c r="S81">
        <v>2.213411413301531</v>
      </c>
      <c r="T81">
        <v>3.7522922653361581</v>
      </c>
    </row>
    <row r="82" spans="1:20" x14ac:dyDescent="0.35">
      <c r="A82" t="s">
        <v>24</v>
      </c>
      <c r="B82">
        <v>1.3459069027965409</v>
      </c>
      <c r="C82">
        <v>1.378293372196254</v>
      </c>
      <c r="D82">
        <v>1.373295917771798</v>
      </c>
      <c r="E82">
        <v>2.1322544786121909</v>
      </c>
      <c r="F82">
        <v>1.7124389866484391</v>
      </c>
      <c r="G82">
        <v>1.506415818241309</v>
      </c>
      <c r="H82">
        <v>1.276071567092347</v>
      </c>
      <c r="I82">
        <v>1.723943816631462</v>
      </c>
      <c r="J82">
        <v>1.0888024303535899</v>
      </c>
      <c r="K82">
        <v>0.4513127323378151</v>
      </c>
      <c r="L82">
        <v>1.5573609724308599</v>
      </c>
      <c r="M82">
        <v>1.183728968610978</v>
      </c>
      <c r="N82">
        <v>0.99403146552597743</v>
      </c>
      <c r="O82">
        <v>0.67115504269188342</v>
      </c>
      <c r="P82">
        <v>0.65188796633671187</v>
      </c>
      <c r="Q82">
        <v>0.57227787405159602</v>
      </c>
      <c r="R82">
        <v>0.1230402179521163</v>
      </c>
      <c r="S82">
        <v>-9.2080137701911438E-2</v>
      </c>
      <c r="T82">
        <v>-1.573815375590456</v>
      </c>
    </row>
    <row r="83" spans="1:20" x14ac:dyDescent="0.35">
      <c r="A83" t="s">
        <v>25</v>
      </c>
      <c r="B83">
        <v>0.86328540983108648</v>
      </c>
      <c r="C83">
        <v>0.75309512166521142</v>
      </c>
      <c r="D83">
        <v>0.67897306891877218</v>
      </c>
      <c r="E83">
        <v>0.64414779127601141</v>
      </c>
      <c r="F83">
        <v>0.70132713416162484</v>
      </c>
      <c r="G83">
        <v>0.92401025497609346</v>
      </c>
      <c r="H83">
        <v>1.036088421951038</v>
      </c>
      <c r="I83">
        <v>1.005293244388231</v>
      </c>
      <c r="J83">
        <v>0.99846270114034574</v>
      </c>
      <c r="K83">
        <v>1.053204748714254</v>
      </c>
      <c r="L83">
        <v>1.1642633421641619</v>
      </c>
      <c r="M83">
        <v>1.1403742266222721</v>
      </c>
      <c r="N83">
        <v>0.96174029759765145</v>
      </c>
      <c r="O83">
        <v>0.99705464499813024</v>
      </c>
      <c r="P83">
        <v>0.90885200949652978</v>
      </c>
      <c r="Q83">
        <v>1.1252548107566429</v>
      </c>
      <c r="R83">
        <v>1.1503327111478321</v>
      </c>
      <c r="S83">
        <v>0.69498833475953647</v>
      </c>
      <c r="T83">
        <v>0.45515958180876043</v>
      </c>
    </row>
    <row r="84" spans="1:20" x14ac:dyDescent="0.35">
      <c r="A84" t="s">
        <v>26</v>
      </c>
      <c r="B84">
        <v>146.340208560039</v>
      </c>
      <c r="C84">
        <v>146.03064001016611</v>
      </c>
      <c r="D84">
        <v>145.51622943072641</v>
      </c>
      <c r="E84">
        <v>146.06253548152901</v>
      </c>
      <c r="F84">
        <v>145.65754552600859</v>
      </c>
      <c r="G84">
        <v>146.75225229179131</v>
      </c>
      <c r="H84">
        <v>146.73491375663909</v>
      </c>
      <c r="I84">
        <v>147.48837724512489</v>
      </c>
      <c r="J84">
        <v>147.4706739138955</v>
      </c>
      <c r="K84">
        <v>146.8240019356594</v>
      </c>
      <c r="L84">
        <v>147.88106797400491</v>
      </c>
      <c r="M84">
        <v>147.43454068216451</v>
      </c>
      <c r="N84">
        <v>146.93073419950991</v>
      </c>
      <c r="O84">
        <v>146.82451878592661</v>
      </c>
      <c r="P84">
        <v>146.11018368074139</v>
      </c>
      <c r="Q84">
        <v>145.8099373700172</v>
      </c>
      <c r="R84">
        <v>145.77223775052761</v>
      </c>
      <c r="S84">
        <v>147.02693702488929</v>
      </c>
      <c r="T84">
        <v>147.30629299063821</v>
      </c>
    </row>
    <row r="85" spans="1:20" x14ac:dyDescent="0.35">
      <c r="A85" t="s">
        <v>27</v>
      </c>
      <c r="B85">
        <v>35548297.239999987</v>
      </c>
      <c r="C85">
        <v>38274707.209999993</v>
      </c>
      <c r="D85">
        <v>40258177.939999998</v>
      </c>
      <c r="E85">
        <v>38057732.899999991</v>
      </c>
      <c r="F85">
        <v>38605527.079999998</v>
      </c>
      <c r="G85">
        <v>36904430.459999993</v>
      </c>
      <c r="H85">
        <v>36386863.520000003</v>
      </c>
      <c r="I85">
        <v>36238429.130000003</v>
      </c>
      <c r="J85">
        <v>36478835.630000003</v>
      </c>
      <c r="K85">
        <v>36026638.830000013</v>
      </c>
      <c r="L85">
        <v>38409077.740000002</v>
      </c>
      <c r="M85">
        <v>36985481.829999998</v>
      </c>
      <c r="N85">
        <v>37336965.299999997</v>
      </c>
      <c r="O85">
        <v>34991018.310000002</v>
      </c>
      <c r="P85">
        <v>35008434.719999999</v>
      </c>
      <c r="Q85">
        <v>34613772.909999996</v>
      </c>
      <c r="R85">
        <v>32316562.859999999</v>
      </c>
      <c r="S85">
        <v>28923590.190000001</v>
      </c>
      <c r="T85">
        <v>6995897.0899999999</v>
      </c>
    </row>
    <row r="86" spans="1:20" x14ac:dyDescent="0.35">
      <c r="A86" t="s">
        <v>28</v>
      </c>
      <c r="B86">
        <v>1.512181411191633</v>
      </c>
      <c r="C86">
        <v>1.5104026094768579</v>
      </c>
      <c r="D86">
        <v>1.5106768176813929</v>
      </c>
      <c r="E86">
        <v>1.470143089885531</v>
      </c>
      <c r="F86">
        <v>1.4922913181630251</v>
      </c>
      <c r="G86">
        <v>1.503406418441708</v>
      </c>
      <c r="H86">
        <v>1.5160313569906181</v>
      </c>
      <c r="I86">
        <v>1.4916754674116279</v>
      </c>
      <c r="J86">
        <v>1.5264527329671509</v>
      </c>
      <c r="K86">
        <v>1.563028266905417</v>
      </c>
      <c r="L86">
        <v>1.5006425088275199</v>
      </c>
      <c r="M86">
        <v>1.521152304048162</v>
      </c>
      <c r="N86">
        <v>1.5317814514878141</v>
      </c>
      <c r="O86">
        <v>1.5502185845189149</v>
      </c>
      <c r="P86">
        <v>1.551332830437389</v>
      </c>
      <c r="Q86">
        <v>1.5559538428096711</v>
      </c>
      <c r="R86">
        <v>1.582554903812583</v>
      </c>
      <c r="S86">
        <v>1.595617709055301</v>
      </c>
      <c r="T86">
        <v>1.6918048541014239</v>
      </c>
    </row>
    <row r="87" spans="1:20" x14ac:dyDescent="0.35">
      <c r="A87" t="s">
        <v>29</v>
      </c>
      <c r="B87">
        <v>0.2419837783372828</v>
      </c>
      <c r="C87">
        <v>0.24300697387025161</v>
      </c>
      <c r="D87">
        <v>0.24369525007432569</v>
      </c>
      <c r="E87">
        <v>0.24401862765243701</v>
      </c>
      <c r="F87">
        <v>0.24348767661135631</v>
      </c>
      <c r="G87">
        <v>0.24141990477522199</v>
      </c>
      <c r="H87">
        <v>0.24037917893902611</v>
      </c>
      <c r="I87">
        <v>0.24066513415925209</v>
      </c>
      <c r="J87">
        <v>0.24072856063226819</v>
      </c>
      <c r="K87">
        <v>0.2402202416190819</v>
      </c>
      <c r="L87">
        <v>0.23918898325133281</v>
      </c>
      <c r="M87">
        <v>0.23941081075279319</v>
      </c>
      <c r="N87">
        <v>0.24106955437945041</v>
      </c>
      <c r="O87">
        <v>0.2407416354393031</v>
      </c>
      <c r="P87">
        <v>0.24156065991181791</v>
      </c>
      <c r="Q87">
        <v>0.23955120532868829</v>
      </c>
      <c r="R87">
        <v>0.23931833911077011</v>
      </c>
      <c r="S87">
        <v>0.24354653689151859</v>
      </c>
      <c r="T87">
        <v>0.24577351816891871</v>
      </c>
    </row>
    <row r="89" spans="1:20" x14ac:dyDescent="0.35">
      <c r="A89" t="s">
        <v>37</v>
      </c>
      <c r="B89" t="s">
        <v>72</v>
      </c>
      <c r="C89" t="s">
        <v>73</v>
      </c>
      <c r="D89" t="s">
        <v>74</v>
      </c>
      <c r="E89" t="s">
        <v>75</v>
      </c>
      <c r="F89" t="s">
        <v>76</v>
      </c>
      <c r="G89" t="s">
        <v>77</v>
      </c>
      <c r="H89" t="s">
        <v>78</v>
      </c>
      <c r="I89" t="s">
        <v>79</v>
      </c>
      <c r="J89" t="s">
        <v>80</v>
      </c>
      <c r="K89" t="s">
        <v>81</v>
      </c>
      <c r="L89" t="s">
        <v>82</v>
      </c>
      <c r="M89" t="s">
        <v>83</v>
      </c>
      <c r="N89" t="s">
        <v>84</v>
      </c>
      <c r="O89" t="s">
        <v>85</v>
      </c>
      <c r="P89" t="s">
        <v>86</v>
      </c>
      <c r="Q89" t="s">
        <v>87</v>
      </c>
      <c r="R89" t="s">
        <v>88</v>
      </c>
      <c r="S89" t="s">
        <v>89</v>
      </c>
      <c r="T89" t="s">
        <v>90</v>
      </c>
    </row>
    <row r="90" spans="1:20" x14ac:dyDescent="0.35">
      <c r="A90" t="s">
        <v>21</v>
      </c>
      <c r="B90">
        <v>142.4325087443751</v>
      </c>
      <c r="C90">
        <v>142.44116259267329</v>
      </c>
      <c r="D90">
        <v>142.38629933367591</v>
      </c>
      <c r="E90">
        <v>142.0497643279169</v>
      </c>
      <c r="F90">
        <v>142.4913397200576</v>
      </c>
      <c r="G90">
        <v>142.0104942561008</v>
      </c>
      <c r="H90">
        <v>142.11379949209541</v>
      </c>
      <c r="I90">
        <v>142.2890090002789</v>
      </c>
      <c r="J90">
        <v>142.1930450280322</v>
      </c>
      <c r="K90">
        <v>142.57491389851879</v>
      </c>
      <c r="L90">
        <v>142.62620202722101</v>
      </c>
      <c r="M90">
        <v>142.30556035573429</v>
      </c>
      <c r="N90">
        <v>142.8001629499206</v>
      </c>
      <c r="O90">
        <v>142.6499827242765</v>
      </c>
      <c r="P90">
        <v>142.19968005852391</v>
      </c>
      <c r="Q90">
        <v>142.9073267277262</v>
      </c>
      <c r="R90">
        <v>142.84791652249251</v>
      </c>
      <c r="S90">
        <v>142.97963338343749</v>
      </c>
      <c r="T90">
        <v>145.03768965299051</v>
      </c>
    </row>
    <row r="91" spans="1:20" x14ac:dyDescent="0.35">
      <c r="A91" t="s">
        <v>22</v>
      </c>
      <c r="B91">
        <v>1.7760556281315969</v>
      </c>
      <c r="C91">
        <v>2.1040555522992079</v>
      </c>
      <c r="D91">
        <v>1.959531209613488</v>
      </c>
      <c r="E91">
        <v>2.064890696090989</v>
      </c>
      <c r="F91">
        <v>2.1748996464561801</v>
      </c>
      <c r="G91">
        <v>2.103712378069913</v>
      </c>
      <c r="H91">
        <v>1.717727781094059</v>
      </c>
      <c r="I91">
        <v>2.0116318240020279</v>
      </c>
      <c r="J91">
        <v>1.760682103563397</v>
      </c>
      <c r="K91">
        <v>1.844267359074435</v>
      </c>
      <c r="L91">
        <v>1.9587297137919859</v>
      </c>
      <c r="M91">
        <v>2.0088818374434698</v>
      </c>
      <c r="N91">
        <v>1.9401936351869651</v>
      </c>
      <c r="O91">
        <v>2.1974177606000729</v>
      </c>
      <c r="P91">
        <v>2.0989880976815871</v>
      </c>
      <c r="Q91">
        <v>2.118516819107509</v>
      </c>
      <c r="R91">
        <v>2.4345003608483951</v>
      </c>
      <c r="S91">
        <v>1.8683657573834269</v>
      </c>
      <c r="T91">
        <v>1.967748886393704</v>
      </c>
    </row>
    <row r="92" spans="1:20" x14ac:dyDescent="0.35">
      <c r="A92" t="s">
        <v>23</v>
      </c>
      <c r="B92">
        <v>2.7083518448303852</v>
      </c>
      <c r="C92">
        <v>3.1973795827649969</v>
      </c>
      <c r="D92">
        <v>2.9894163344539431</v>
      </c>
      <c r="E92">
        <v>2.274956953297512</v>
      </c>
      <c r="F92">
        <v>2.7135625232846059</v>
      </c>
      <c r="G92">
        <v>3.3243491447339308</v>
      </c>
      <c r="H92">
        <v>2.9804051893445931</v>
      </c>
      <c r="I92">
        <v>2.8680857993024751</v>
      </c>
      <c r="J92">
        <v>2.94719763711463</v>
      </c>
      <c r="K92">
        <v>3.1427332838633069</v>
      </c>
      <c r="L92">
        <v>2.988110956936628</v>
      </c>
      <c r="M92">
        <v>3.2524988954724141</v>
      </c>
      <c r="N92">
        <v>3.3983127701191882</v>
      </c>
      <c r="O92">
        <v>4.0594249512695031</v>
      </c>
      <c r="P92">
        <v>2.9722585127270489</v>
      </c>
      <c r="Q92">
        <v>3.118841089693237</v>
      </c>
      <c r="R92">
        <v>2.690717386404383</v>
      </c>
      <c r="S92">
        <v>1.9327048119866961</v>
      </c>
      <c r="T92">
        <v>-0.33198592688273743</v>
      </c>
    </row>
    <row r="93" spans="1:20" x14ac:dyDescent="0.35">
      <c r="A93" t="s">
        <v>24</v>
      </c>
      <c r="B93">
        <v>4.5176824153616488</v>
      </c>
      <c r="C93">
        <v>4.1937386723459316</v>
      </c>
      <c r="D93">
        <v>4.0890352480810064</v>
      </c>
      <c r="E93">
        <v>4.0600773692807222</v>
      </c>
      <c r="F93">
        <v>4.3804643341864491</v>
      </c>
      <c r="G93">
        <v>4.2555828303802574</v>
      </c>
      <c r="H93">
        <v>4.0337020378287116</v>
      </c>
      <c r="I93">
        <v>4.0074097941658584</v>
      </c>
      <c r="J93">
        <v>4.1496788269787208</v>
      </c>
      <c r="K93">
        <v>4.2977887903384584</v>
      </c>
      <c r="L93">
        <v>4.1968790725904102</v>
      </c>
      <c r="M93">
        <v>4.5378461642025432</v>
      </c>
      <c r="N93">
        <v>4.1460464756456901</v>
      </c>
      <c r="O93">
        <v>4.5776809554095816</v>
      </c>
      <c r="P93">
        <v>4.0402259839259358</v>
      </c>
      <c r="Q93">
        <v>4.0095575437947524</v>
      </c>
      <c r="R93">
        <v>4.4026000371880896</v>
      </c>
      <c r="S93">
        <v>4.3104610046516667</v>
      </c>
      <c r="T93">
        <v>3.6338084444333871</v>
      </c>
    </row>
    <row r="94" spans="1:20" x14ac:dyDescent="0.35">
      <c r="A94" t="s">
        <v>25</v>
      </c>
      <c r="B94">
        <v>0.29394136333890281</v>
      </c>
      <c r="C94">
        <v>0.6138374642437191</v>
      </c>
      <c r="D94">
        <v>0.41612440281377361</v>
      </c>
      <c r="E94">
        <v>0.35133695950962768</v>
      </c>
      <c r="F94">
        <v>0.46734503489383272</v>
      </c>
      <c r="G94">
        <v>0.55246725628935733</v>
      </c>
      <c r="H94">
        <v>0.3344805380915829</v>
      </c>
      <c r="I94">
        <v>0.4851867150227071</v>
      </c>
      <c r="J94">
        <v>0.38433413931517091</v>
      </c>
      <c r="K94">
        <v>0.11871916055146919</v>
      </c>
      <c r="L94">
        <v>9.8026235032184675E-2</v>
      </c>
      <c r="M94">
        <v>0.33628107254256362</v>
      </c>
      <c r="N94">
        <v>0.14155494977194899</v>
      </c>
      <c r="O94">
        <v>0.39773884690163691</v>
      </c>
      <c r="P94">
        <v>0.14489795809668291</v>
      </c>
      <c r="Q94">
        <v>0.46574617099414478</v>
      </c>
      <c r="R94">
        <v>0.43870013425425569</v>
      </c>
      <c r="S94">
        <v>0.23601819601163479</v>
      </c>
      <c r="T94">
        <v>0.78438612375995809</v>
      </c>
    </row>
    <row r="95" spans="1:20" x14ac:dyDescent="0.35">
      <c r="A95" t="s">
        <v>26</v>
      </c>
      <c r="B95">
        <v>151.7285399960376</v>
      </c>
      <c r="C95">
        <v>152.55017386432721</v>
      </c>
      <c r="D95">
        <v>151.84040652863811</v>
      </c>
      <c r="E95">
        <v>150.80102630609571</v>
      </c>
      <c r="F95">
        <v>152.22761125887871</v>
      </c>
      <c r="G95">
        <v>152.24660586557431</v>
      </c>
      <c r="H95">
        <v>151.18011503845429</v>
      </c>
      <c r="I95">
        <v>151.661323132772</v>
      </c>
      <c r="J95">
        <v>151.4349377350041</v>
      </c>
      <c r="K95">
        <v>151.97842249234651</v>
      </c>
      <c r="L95">
        <v>151.86794800557209</v>
      </c>
      <c r="M95">
        <v>152.44106832539529</v>
      </c>
      <c r="N95">
        <v>152.42627078064439</v>
      </c>
      <c r="O95">
        <v>153.8822452384573</v>
      </c>
      <c r="P95">
        <v>151.4560506109552</v>
      </c>
      <c r="Q95">
        <v>152.61998835131581</v>
      </c>
      <c r="R95">
        <v>152.81443444118759</v>
      </c>
      <c r="S95">
        <v>151.32718315347091</v>
      </c>
      <c r="T95">
        <v>151.09164718069479</v>
      </c>
    </row>
    <row r="96" spans="1:20" x14ac:dyDescent="0.35">
      <c r="A96" t="s">
        <v>27</v>
      </c>
      <c r="B96">
        <v>28074967.25</v>
      </c>
      <c r="C96">
        <v>27458738.57</v>
      </c>
      <c r="D96">
        <v>28117085.57</v>
      </c>
      <c r="E96">
        <v>28258155.75</v>
      </c>
      <c r="F96">
        <v>27679729.27</v>
      </c>
      <c r="G96">
        <v>27977893.370000001</v>
      </c>
      <c r="H96">
        <v>27092076.670000002</v>
      </c>
      <c r="I96">
        <v>27935924.300000001</v>
      </c>
      <c r="J96">
        <v>26708149.370000001</v>
      </c>
      <c r="K96">
        <v>23973048.57</v>
      </c>
      <c r="L96">
        <v>23007214.77</v>
      </c>
      <c r="M96">
        <v>22804882.190000001</v>
      </c>
      <c r="N96">
        <v>23211722.719999999</v>
      </c>
      <c r="O96">
        <v>21671184.510000002</v>
      </c>
      <c r="P96">
        <v>19530040.260000002</v>
      </c>
      <c r="Q96">
        <v>18800049.600000001</v>
      </c>
      <c r="R96">
        <v>18523457.809999999</v>
      </c>
      <c r="S96">
        <v>13156219.880000001</v>
      </c>
      <c r="T96">
        <v>1742636.04</v>
      </c>
    </row>
    <row r="97" spans="1:20" x14ac:dyDescent="0.35">
      <c r="A97" t="s">
        <v>28</v>
      </c>
      <c r="B97">
        <v>1.489562412192005</v>
      </c>
      <c r="C97">
        <v>1.5122899715468809</v>
      </c>
      <c r="D97">
        <v>1.521277091056638</v>
      </c>
      <c r="E97">
        <v>1.512417275028854</v>
      </c>
      <c r="F97">
        <v>1.5001570499797541</v>
      </c>
      <c r="G97">
        <v>1.506287267399973</v>
      </c>
      <c r="H97">
        <v>1.5314672009212229</v>
      </c>
      <c r="I97">
        <v>1.520839289377681</v>
      </c>
      <c r="J97">
        <v>1.5238708666566509</v>
      </c>
      <c r="K97">
        <v>1.5166819941415921</v>
      </c>
      <c r="L97">
        <v>1.518573368918078</v>
      </c>
      <c r="M97">
        <v>1.502390530940517</v>
      </c>
      <c r="N97">
        <v>1.5229165653459149</v>
      </c>
      <c r="O97">
        <v>1.4874799147306399</v>
      </c>
      <c r="P97">
        <v>1.5331916686979601</v>
      </c>
      <c r="Q97">
        <v>1.5219013017936001</v>
      </c>
      <c r="R97">
        <v>1.5081742042164741</v>
      </c>
      <c r="S97">
        <v>1.507403438542622</v>
      </c>
      <c r="T97">
        <v>1.56848756925168</v>
      </c>
    </row>
    <row r="98" spans="1:20" x14ac:dyDescent="0.35">
      <c r="A98" t="s">
        <v>29</v>
      </c>
      <c r="B98">
        <v>0.24413407801079451</v>
      </c>
      <c r="C98">
        <v>0.23954715826182979</v>
      </c>
      <c r="D98">
        <v>0.24231883855329461</v>
      </c>
      <c r="E98">
        <v>0.24298781104533521</v>
      </c>
      <c r="F98">
        <v>0.24164861081489911</v>
      </c>
      <c r="G98">
        <v>0.24037320005219531</v>
      </c>
      <c r="H98">
        <v>0.24368590216011671</v>
      </c>
      <c r="I98">
        <v>0.2410906127909288</v>
      </c>
      <c r="J98">
        <v>0.2431089268606258</v>
      </c>
      <c r="K98">
        <v>0.2470489869162685</v>
      </c>
      <c r="L98">
        <v>0.24717666951157</v>
      </c>
      <c r="M98">
        <v>0.243972506761369</v>
      </c>
      <c r="N98">
        <v>0.2464605373708772</v>
      </c>
      <c r="O98">
        <v>0.24273999087694539</v>
      </c>
      <c r="P98">
        <v>0.24647342804832501</v>
      </c>
      <c r="Q98">
        <v>0.2415447296420962</v>
      </c>
      <c r="R98">
        <v>0.24238521493790149</v>
      </c>
      <c r="S98">
        <v>0.2450104880648285</v>
      </c>
      <c r="T98">
        <v>0.23742654985374911</v>
      </c>
    </row>
    <row r="100" spans="1:20" x14ac:dyDescent="0.35">
      <c r="A100" t="s">
        <v>38</v>
      </c>
      <c r="B100" t="s">
        <v>72</v>
      </c>
      <c r="C100" t="s">
        <v>73</v>
      </c>
      <c r="D100" t="s">
        <v>74</v>
      </c>
      <c r="E100" t="s">
        <v>75</v>
      </c>
      <c r="F100" t="s">
        <v>76</v>
      </c>
      <c r="G100" t="s">
        <v>77</v>
      </c>
      <c r="H100" t="s">
        <v>78</v>
      </c>
      <c r="I100" t="s">
        <v>79</v>
      </c>
      <c r="J100" t="s">
        <v>80</v>
      </c>
      <c r="K100" t="s">
        <v>81</v>
      </c>
      <c r="L100" t="s">
        <v>82</v>
      </c>
      <c r="M100" t="s">
        <v>83</v>
      </c>
      <c r="N100" t="s">
        <v>84</v>
      </c>
      <c r="O100" t="s">
        <v>85</v>
      </c>
      <c r="P100" t="s">
        <v>86</v>
      </c>
      <c r="Q100" t="s">
        <v>87</v>
      </c>
      <c r="R100" t="s">
        <v>88</v>
      </c>
      <c r="S100" t="s">
        <v>89</v>
      </c>
      <c r="T100" t="s">
        <v>90</v>
      </c>
    </row>
    <row r="101" spans="1:20" x14ac:dyDescent="0.35">
      <c r="A101" t="s">
        <v>21</v>
      </c>
      <c r="B101">
        <v>142.56132645770899</v>
      </c>
      <c r="C101">
        <v>142.55752875627911</v>
      </c>
      <c r="D101">
        <v>142.6347063896369</v>
      </c>
      <c r="E101">
        <v>142.30503095539859</v>
      </c>
      <c r="F101">
        <v>142.7885013766417</v>
      </c>
      <c r="G101">
        <v>142.35575772754609</v>
      </c>
      <c r="H101">
        <v>142.41731676165449</v>
      </c>
      <c r="I101">
        <v>142.59562086414471</v>
      </c>
      <c r="J101">
        <v>142.5197610295331</v>
      </c>
      <c r="K101">
        <v>142.86138498218901</v>
      </c>
      <c r="L101">
        <v>143.0967376356206</v>
      </c>
      <c r="M101">
        <v>142.72474767416921</v>
      </c>
      <c r="N101">
        <v>143.14190601863331</v>
      </c>
      <c r="O101">
        <v>143.0271308442463</v>
      </c>
      <c r="P101">
        <v>142.68109898803041</v>
      </c>
      <c r="Q101">
        <v>143.30024674268481</v>
      </c>
      <c r="R101">
        <v>143.27179815319761</v>
      </c>
      <c r="S101">
        <v>143.37583046183349</v>
      </c>
      <c r="T101">
        <v>145.1515077416262</v>
      </c>
    </row>
    <row r="102" spans="1:20" x14ac:dyDescent="0.35">
      <c r="A102" t="s">
        <v>22</v>
      </c>
      <c r="B102">
        <v>1.522308797868791</v>
      </c>
      <c r="C102">
        <v>1.771637436515306</v>
      </c>
      <c r="D102">
        <v>1.6119888929571691</v>
      </c>
      <c r="E102">
        <v>1.7382996082098201</v>
      </c>
      <c r="F102">
        <v>1.8840248220111739</v>
      </c>
      <c r="G102">
        <v>1.852649861286187</v>
      </c>
      <c r="H102">
        <v>1.530969889887996</v>
      </c>
      <c r="I102">
        <v>1.701626323481386</v>
      </c>
      <c r="J102">
        <v>1.532090058750768</v>
      </c>
      <c r="K102">
        <v>1.6084904533415409</v>
      </c>
      <c r="L102">
        <v>1.6520204661146221</v>
      </c>
      <c r="M102">
        <v>1.711113183339589</v>
      </c>
      <c r="N102">
        <v>1.635977013359097</v>
      </c>
      <c r="O102">
        <v>1.950860512380354</v>
      </c>
      <c r="P102">
        <v>1.74909960074076</v>
      </c>
      <c r="Q102">
        <v>1.947055686513709</v>
      </c>
      <c r="R102">
        <v>2.1033169666911831</v>
      </c>
      <c r="S102">
        <v>1.567749800736941</v>
      </c>
      <c r="T102">
        <v>1.7672326650861789</v>
      </c>
    </row>
    <row r="103" spans="1:20" x14ac:dyDescent="0.35">
      <c r="A103" t="s">
        <v>23</v>
      </c>
      <c r="B103">
        <v>2.453127441201068</v>
      </c>
      <c r="C103">
        <v>2.8617987258344351</v>
      </c>
      <c r="D103">
        <v>2.655953313122736</v>
      </c>
      <c r="E103">
        <v>2.03196838388356</v>
      </c>
      <c r="F103">
        <v>2.442570012458277</v>
      </c>
      <c r="G103">
        <v>2.837174374428677</v>
      </c>
      <c r="H103">
        <v>2.5882151444691028</v>
      </c>
      <c r="I103">
        <v>2.551021592513119</v>
      </c>
      <c r="J103">
        <v>2.5547617923358752</v>
      </c>
      <c r="K103">
        <v>2.6428993953829791</v>
      </c>
      <c r="L103">
        <v>2.3091120934060698</v>
      </c>
      <c r="M103">
        <v>2.6926417172875992</v>
      </c>
      <c r="N103">
        <v>2.8831975138572821</v>
      </c>
      <c r="O103">
        <v>3.273712451319053</v>
      </c>
      <c r="P103">
        <v>2.4113390481178651</v>
      </c>
      <c r="Q103">
        <v>2.6580383591795962</v>
      </c>
      <c r="R103">
        <v>2.3112606837356382</v>
      </c>
      <c r="S103">
        <v>1.7079785386048989</v>
      </c>
      <c r="T103">
        <v>-0.73714525617929927</v>
      </c>
    </row>
    <row r="104" spans="1:20" x14ac:dyDescent="0.35">
      <c r="A104" t="s">
        <v>24</v>
      </c>
      <c r="B104">
        <v>4.1852077043085014</v>
      </c>
      <c r="C104">
        <v>3.8501182581695819</v>
      </c>
      <c r="D104">
        <v>3.718157579712444</v>
      </c>
      <c r="E104">
        <v>3.7315328338172788</v>
      </c>
      <c r="F104">
        <v>4.0208596528546154</v>
      </c>
      <c r="G104">
        <v>3.947502390718336</v>
      </c>
      <c r="H104">
        <v>3.7440409430346482</v>
      </c>
      <c r="I104">
        <v>3.7388785578142798</v>
      </c>
      <c r="J104">
        <v>3.8716026508111612</v>
      </c>
      <c r="K104">
        <v>4.0403237546791324</v>
      </c>
      <c r="L104">
        <v>3.83803998696105</v>
      </c>
      <c r="M104">
        <v>4.202803188456409</v>
      </c>
      <c r="N104">
        <v>3.8739866724030998</v>
      </c>
      <c r="O104">
        <v>4.2628932112225382</v>
      </c>
      <c r="P104">
        <v>3.7901725340412211</v>
      </c>
      <c r="Q104">
        <v>3.8037737989985332</v>
      </c>
      <c r="R104">
        <v>4.2071882729095416</v>
      </c>
      <c r="S104">
        <v>4.1308415772887894</v>
      </c>
      <c r="T104">
        <v>3.542230674068942</v>
      </c>
    </row>
    <row r="105" spans="1:20" x14ac:dyDescent="0.35">
      <c r="A105" t="s">
        <v>25</v>
      </c>
      <c r="B105">
        <v>0.24035646962523999</v>
      </c>
      <c r="C105">
        <v>0.49789113899656212</v>
      </c>
      <c r="D105">
        <v>0.34571799254244279</v>
      </c>
      <c r="E105">
        <v>0.25323414277101303</v>
      </c>
      <c r="F105">
        <v>0.38753904216661889</v>
      </c>
      <c r="G105">
        <v>0.44887788979763749</v>
      </c>
      <c r="H105">
        <v>0.24891994039491869</v>
      </c>
      <c r="I105">
        <v>0.39069421358266182</v>
      </c>
      <c r="J105">
        <v>0.3153751621379291</v>
      </c>
      <c r="K105">
        <v>5.8110007263700192E-2</v>
      </c>
      <c r="L105">
        <v>4.027940922182862E-2</v>
      </c>
      <c r="M105">
        <v>0.24906772189390031</v>
      </c>
      <c r="N105">
        <v>9.1498517155796516E-2</v>
      </c>
      <c r="O105">
        <v>0.31711613814445783</v>
      </c>
      <c r="P105">
        <v>7.08719675821535E-2</v>
      </c>
      <c r="Q105">
        <v>0.44240542160944563</v>
      </c>
      <c r="R105">
        <v>0.4461983756999775</v>
      </c>
      <c r="S105">
        <v>0.1627198643460338</v>
      </c>
      <c r="T105">
        <v>0.70191347538198756</v>
      </c>
    </row>
    <row r="106" spans="1:20" x14ac:dyDescent="0.35">
      <c r="A106" t="s">
        <v>26</v>
      </c>
      <c r="B106">
        <v>150.96232687071259</v>
      </c>
      <c r="C106">
        <v>151.538974315795</v>
      </c>
      <c r="D106">
        <v>150.9665241679717</v>
      </c>
      <c r="E106">
        <v>150.06006592408019</v>
      </c>
      <c r="F106">
        <v>151.52349490613241</v>
      </c>
      <c r="G106">
        <v>151.441962243777</v>
      </c>
      <c r="H106">
        <v>150.52946267944111</v>
      </c>
      <c r="I106">
        <v>150.97784155153619</v>
      </c>
      <c r="J106">
        <v>150.7935906935688</v>
      </c>
      <c r="K106">
        <v>151.21120859285639</v>
      </c>
      <c r="L106">
        <v>150.93618959132419</v>
      </c>
      <c r="M106">
        <v>151.58037348514671</v>
      </c>
      <c r="N106">
        <v>151.6265657354086</v>
      </c>
      <c r="O106">
        <v>152.83171315731281</v>
      </c>
      <c r="P106">
        <v>150.70258213851241</v>
      </c>
      <c r="Q106">
        <v>152.15152000898601</v>
      </c>
      <c r="R106">
        <v>152.33976245223391</v>
      </c>
      <c r="S106">
        <v>150.94512024281019</v>
      </c>
      <c r="T106">
        <v>150.425739299984</v>
      </c>
    </row>
    <row r="107" spans="1:20" x14ac:dyDescent="0.35">
      <c r="A107" t="s">
        <v>27</v>
      </c>
      <c r="B107">
        <v>31318927.84</v>
      </c>
      <c r="C107">
        <v>31186388.079999998</v>
      </c>
      <c r="D107">
        <v>32140585.07</v>
      </c>
      <c r="E107">
        <v>32111993.899999991</v>
      </c>
      <c r="F107">
        <v>31472674.07</v>
      </c>
      <c r="G107">
        <v>31238542.940000001</v>
      </c>
      <c r="H107">
        <v>30359934.920000002</v>
      </c>
      <c r="I107">
        <v>31342766.41</v>
      </c>
      <c r="J107">
        <v>29754681.699999999</v>
      </c>
      <c r="K107">
        <v>26789388.09</v>
      </c>
      <c r="L107">
        <v>26762598.890000001</v>
      </c>
      <c r="M107">
        <v>25983527.02</v>
      </c>
      <c r="N107">
        <v>26477083.640000001</v>
      </c>
      <c r="O107">
        <v>24950338.440000001</v>
      </c>
      <c r="P107">
        <v>22391128.030000001</v>
      </c>
      <c r="Q107">
        <v>21276159.260000002</v>
      </c>
      <c r="R107">
        <v>21097723.010000002</v>
      </c>
      <c r="S107">
        <v>14929866.48</v>
      </c>
      <c r="T107">
        <v>1953155.69</v>
      </c>
    </row>
    <row r="108" spans="1:20" x14ac:dyDescent="0.35">
      <c r="A108" t="s">
        <v>28</v>
      </c>
      <c r="B108">
        <v>1.474736080827638</v>
      </c>
      <c r="C108">
        <v>1.492366149939035</v>
      </c>
      <c r="D108">
        <v>1.501074716534438</v>
      </c>
      <c r="E108">
        <v>1.4923660695724199</v>
      </c>
      <c r="F108">
        <v>1.480846388871383</v>
      </c>
      <c r="G108">
        <v>1.4896294979878471</v>
      </c>
      <c r="H108">
        <v>1.511274238515887</v>
      </c>
      <c r="I108">
        <v>1.5000715758771139</v>
      </c>
      <c r="J108">
        <v>1.504759874624614</v>
      </c>
      <c r="K108">
        <v>1.4947202661522001</v>
      </c>
      <c r="L108">
        <v>1.491053123020663</v>
      </c>
      <c r="M108">
        <v>1.479005900022125</v>
      </c>
      <c r="N108">
        <v>1.4956065866750869</v>
      </c>
      <c r="O108">
        <v>1.460871594598149</v>
      </c>
      <c r="P108">
        <v>1.5023352139537021</v>
      </c>
      <c r="Q108">
        <v>1.4938764286450741</v>
      </c>
      <c r="R108">
        <v>1.4760482429385711</v>
      </c>
      <c r="S108">
        <v>1.4762355342382389</v>
      </c>
      <c r="T108">
        <v>1.5337225913897079</v>
      </c>
    </row>
    <row r="109" spans="1:20" x14ac:dyDescent="0.35">
      <c r="A109" t="s">
        <v>29</v>
      </c>
      <c r="B109">
        <v>0.243518542427824</v>
      </c>
      <c r="C109">
        <v>0.2396118665816333</v>
      </c>
      <c r="D109">
        <v>0.24166426466760019</v>
      </c>
      <c r="E109">
        <v>0.24282828903335871</v>
      </c>
      <c r="F109">
        <v>0.2411828312959427</v>
      </c>
      <c r="G109">
        <v>0.24046839846564241</v>
      </c>
      <c r="H109">
        <v>0.24345894816318661</v>
      </c>
      <c r="I109">
        <v>0.24102507884504251</v>
      </c>
      <c r="J109">
        <v>0.24270163368610331</v>
      </c>
      <c r="K109">
        <v>0.24646983755163479</v>
      </c>
      <c r="L109">
        <v>0.24609646477689301</v>
      </c>
      <c r="M109">
        <v>0.24353308742409521</v>
      </c>
      <c r="N109">
        <v>0.24551283102790389</v>
      </c>
      <c r="O109">
        <v>0.24212773090916839</v>
      </c>
      <c r="P109">
        <v>0.2458003972772157</v>
      </c>
      <c r="Q109">
        <v>0.24034216305753481</v>
      </c>
      <c r="R109">
        <v>0.24061228736697679</v>
      </c>
      <c r="S109">
        <v>0.244467823816131</v>
      </c>
      <c r="T109">
        <v>0.23713540694802471</v>
      </c>
    </row>
    <row r="111" spans="1:20" x14ac:dyDescent="0.35">
      <c r="A111" t="s">
        <v>39</v>
      </c>
      <c r="B111" t="s">
        <v>72</v>
      </c>
      <c r="C111" t="s">
        <v>73</v>
      </c>
      <c r="D111" t="s">
        <v>74</v>
      </c>
      <c r="E111" t="s">
        <v>75</v>
      </c>
      <c r="F111" t="s">
        <v>76</v>
      </c>
      <c r="G111" t="s">
        <v>77</v>
      </c>
      <c r="H111" t="s">
        <v>78</v>
      </c>
      <c r="I111" t="s">
        <v>79</v>
      </c>
      <c r="J111" t="s">
        <v>80</v>
      </c>
      <c r="K111" t="s">
        <v>81</v>
      </c>
      <c r="L111" t="s">
        <v>82</v>
      </c>
      <c r="M111" t="s">
        <v>83</v>
      </c>
      <c r="N111" t="s">
        <v>84</v>
      </c>
      <c r="O111" t="s">
        <v>85</v>
      </c>
      <c r="P111" t="s">
        <v>86</v>
      </c>
      <c r="Q111" t="s">
        <v>87</v>
      </c>
      <c r="R111" t="s">
        <v>88</v>
      </c>
      <c r="S111" t="s">
        <v>89</v>
      </c>
      <c r="T111" t="s">
        <v>90</v>
      </c>
    </row>
    <row r="112" spans="1:20" x14ac:dyDescent="0.35">
      <c r="A112" t="s">
        <v>21</v>
      </c>
      <c r="B112">
        <v>142.9508164302128</v>
      </c>
      <c r="C112">
        <v>142.79207456274821</v>
      </c>
      <c r="D112">
        <v>142.71895965954579</v>
      </c>
      <c r="E112">
        <v>142.53519739479901</v>
      </c>
      <c r="F112">
        <v>142.68262512200161</v>
      </c>
      <c r="G112">
        <v>142.71183791058181</v>
      </c>
      <c r="H112">
        <v>143.10372681846769</v>
      </c>
      <c r="I112">
        <v>143.1708553069374</v>
      </c>
      <c r="J112">
        <v>143.25259454379059</v>
      </c>
      <c r="K112">
        <v>143.74542782435881</v>
      </c>
      <c r="L112">
        <v>143.3869012189943</v>
      </c>
      <c r="M112">
        <v>143.38639668200111</v>
      </c>
      <c r="N112">
        <v>143.70147128228331</v>
      </c>
      <c r="O112">
        <v>143.66564464911499</v>
      </c>
      <c r="P112">
        <v>143.44999293049241</v>
      </c>
      <c r="Q112">
        <v>143.5548423061752</v>
      </c>
      <c r="R112">
        <v>143.5016789659598</v>
      </c>
      <c r="S112">
        <v>143.7946103364329</v>
      </c>
      <c r="T112">
        <v>144.29194741344321</v>
      </c>
    </row>
    <row r="113" spans="1:20" x14ac:dyDescent="0.35">
      <c r="A113" t="s">
        <v>22</v>
      </c>
      <c r="B113">
        <v>0.85595341822305215</v>
      </c>
      <c r="C113">
        <v>0.95760084007832258</v>
      </c>
      <c r="D113">
        <v>0.8141308220073149</v>
      </c>
      <c r="E113">
        <v>0.81322707013302098</v>
      </c>
      <c r="F113">
        <v>0.95381718501687041</v>
      </c>
      <c r="G113">
        <v>1.0426515378967769</v>
      </c>
      <c r="H113">
        <v>0.72554723993088921</v>
      </c>
      <c r="I113">
        <v>0.97061090777968373</v>
      </c>
      <c r="J113">
        <v>0.91292899165598229</v>
      </c>
      <c r="K113">
        <v>0.86365040812946714</v>
      </c>
      <c r="L113">
        <v>0.95638359178623966</v>
      </c>
      <c r="M113">
        <v>0.93297734181033587</v>
      </c>
      <c r="N113">
        <v>0.77503475359673746</v>
      </c>
      <c r="O113">
        <v>1.0067820818165989</v>
      </c>
      <c r="P113">
        <v>0.79304156841348872</v>
      </c>
      <c r="Q113">
        <v>0.66145364829018471</v>
      </c>
      <c r="R113">
        <v>0.89506397452132547</v>
      </c>
      <c r="S113">
        <v>0.66554356363344092</v>
      </c>
      <c r="T113">
        <v>0.87092316886995846</v>
      </c>
    </row>
    <row r="114" spans="1:20" x14ac:dyDescent="0.35">
      <c r="A114" t="s">
        <v>23</v>
      </c>
      <c r="B114">
        <v>1.451037578943432</v>
      </c>
      <c r="C114">
        <v>1.6274775370653509</v>
      </c>
      <c r="D114">
        <v>1.4574353963843989</v>
      </c>
      <c r="E114">
        <v>1.21412347967504</v>
      </c>
      <c r="F114">
        <v>1.345976076560816</v>
      </c>
      <c r="G114">
        <v>1.81597850882636</v>
      </c>
      <c r="H114">
        <v>1.55492286572057</v>
      </c>
      <c r="I114">
        <v>1.586568778998146</v>
      </c>
      <c r="J114">
        <v>1.767396281002539</v>
      </c>
      <c r="K114">
        <v>1.475197537401002</v>
      </c>
      <c r="L114">
        <v>1.5957433326431301</v>
      </c>
      <c r="M114">
        <v>1.6237976874041451</v>
      </c>
      <c r="N114">
        <v>1.6129535219481199</v>
      </c>
      <c r="O114">
        <v>1.772327437621612</v>
      </c>
      <c r="P114">
        <v>1.200537422819862</v>
      </c>
      <c r="Q114">
        <v>1.340002281169995</v>
      </c>
      <c r="R114">
        <v>1.361133823133482</v>
      </c>
      <c r="S114">
        <v>2.0413372849013971</v>
      </c>
      <c r="T114">
        <v>2.7724600243593192</v>
      </c>
    </row>
    <row r="115" spans="1:20" x14ac:dyDescent="0.35">
      <c r="A115" t="s">
        <v>24</v>
      </c>
      <c r="B115">
        <v>2.675764045996647</v>
      </c>
      <c r="C115">
        <v>2.4880842535223628</v>
      </c>
      <c r="D115">
        <v>2.414269859724028</v>
      </c>
      <c r="E115">
        <v>2.8641372880340432</v>
      </c>
      <c r="F115">
        <v>2.7491689547657669</v>
      </c>
      <c r="G115">
        <v>2.62547452539454</v>
      </c>
      <c r="H115">
        <v>2.3986331189473771</v>
      </c>
      <c r="I115">
        <v>2.6584290446548029</v>
      </c>
      <c r="J115">
        <v>2.3389449281747128</v>
      </c>
      <c r="K115">
        <v>1.98193180920555</v>
      </c>
      <c r="L115">
        <v>2.4939165563732142</v>
      </c>
      <c r="M115">
        <v>2.4295195249401669</v>
      </c>
      <c r="N115">
        <v>2.1889535267108808</v>
      </c>
      <c r="O115">
        <v>2.166200996797778</v>
      </c>
      <c r="P115">
        <v>1.8761086430010969</v>
      </c>
      <c r="Q115">
        <v>1.802442579531718</v>
      </c>
      <c r="R115">
        <v>1.736208361864662</v>
      </c>
      <c r="S115">
        <v>1.345609434519073</v>
      </c>
      <c r="T115">
        <v>-0.45722407840578599</v>
      </c>
    </row>
    <row r="116" spans="1:20" x14ac:dyDescent="0.35">
      <c r="A116" t="s">
        <v>25</v>
      </c>
      <c r="B116">
        <v>0.57152114857434311</v>
      </c>
      <c r="C116">
        <v>0.6385145725126572</v>
      </c>
      <c r="D116">
        <v>0.53102837087464516</v>
      </c>
      <c r="E116">
        <v>0.4652527425322952</v>
      </c>
      <c r="F116">
        <v>0.56040242170693022</v>
      </c>
      <c r="G116">
        <v>0.70619700070722469</v>
      </c>
      <c r="H116">
        <v>0.67804302607183742</v>
      </c>
      <c r="I116">
        <v>0.7202548738114658</v>
      </c>
      <c r="J116">
        <v>0.69159311130735712</v>
      </c>
      <c r="K116">
        <v>0.62882293849585824</v>
      </c>
      <c r="L116">
        <v>0.7027019291147778</v>
      </c>
      <c r="M116">
        <v>0.77258557833848351</v>
      </c>
      <c r="N116">
        <v>0.60066832691850158</v>
      </c>
      <c r="O116">
        <v>0.71403309219706868</v>
      </c>
      <c r="P116">
        <v>0.58196243915586421</v>
      </c>
      <c r="Q116">
        <v>0.86530795109865444</v>
      </c>
      <c r="R116">
        <v>0.87221177535052508</v>
      </c>
      <c r="S116">
        <v>0.5137780540150374</v>
      </c>
      <c r="T116">
        <v>0.50901430622599675</v>
      </c>
    </row>
    <row r="117" spans="1:20" x14ac:dyDescent="0.35">
      <c r="A117" t="s">
        <v>26</v>
      </c>
      <c r="B117">
        <v>148.5050926219503</v>
      </c>
      <c r="C117">
        <v>148.50375176592689</v>
      </c>
      <c r="D117">
        <v>147.9358241085362</v>
      </c>
      <c r="E117">
        <v>147.89193797517351</v>
      </c>
      <c r="F117">
        <v>148.29198976005199</v>
      </c>
      <c r="G117">
        <v>148.9021394834067</v>
      </c>
      <c r="H117">
        <v>148.4608730691383</v>
      </c>
      <c r="I117">
        <v>149.10671891218149</v>
      </c>
      <c r="J117">
        <v>148.96345785593121</v>
      </c>
      <c r="K117">
        <v>148.69503051759071</v>
      </c>
      <c r="L117">
        <v>149.1356466289117</v>
      </c>
      <c r="M117">
        <v>149.14527681449431</v>
      </c>
      <c r="N117">
        <v>148.87908141145749</v>
      </c>
      <c r="O117">
        <v>149.32498825754811</v>
      </c>
      <c r="P117">
        <v>147.9016430038827</v>
      </c>
      <c r="Q117">
        <v>148.2240487662657</v>
      </c>
      <c r="R117">
        <v>148.36629690082981</v>
      </c>
      <c r="S117">
        <v>148.36087867350179</v>
      </c>
      <c r="T117">
        <v>147.9871208344928</v>
      </c>
    </row>
    <row r="118" spans="1:20" x14ac:dyDescent="0.35">
      <c r="A118" t="s">
        <v>27</v>
      </c>
      <c r="B118">
        <v>66867225.079999998</v>
      </c>
      <c r="C118">
        <v>69461095.289999992</v>
      </c>
      <c r="D118">
        <v>72398763.00999999</v>
      </c>
      <c r="E118">
        <v>70169726.799999982</v>
      </c>
      <c r="F118">
        <v>70078201.150000006</v>
      </c>
      <c r="G118">
        <v>68142973.399999991</v>
      </c>
      <c r="H118">
        <v>66746798.440000013</v>
      </c>
      <c r="I118">
        <v>67581195.539999992</v>
      </c>
      <c r="J118">
        <v>66233517.329999991</v>
      </c>
      <c r="K118">
        <v>62816026.920000002</v>
      </c>
      <c r="L118">
        <v>65171676.630000003</v>
      </c>
      <c r="M118">
        <v>62969008.849999987</v>
      </c>
      <c r="N118">
        <v>63814048.939999998</v>
      </c>
      <c r="O118">
        <v>59941356.75</v>
      </c>
      <c r="P118">
        <v>57399562.75</v>
      </c>
      <c r="Q118">
        <v>55889932.170000002</v>
      </c>
      <c r="R118">
        <v>53414285.869999997</v>
      </c>
      <c r="S118">
        <v>43853456.669999987</v>
      </c>
      <c r="T118">
        <v>8949052.7799999993</v>
      </c>
    </row>
    <row r="119" spans="1:20" x14ac:dyDescent="0.35">
      <c r="A119" t="s">
        <v>28</v>
      </c>
      <c r="B119">
        <v>1.4946429594581889</v>
      </c>
      <c r="C119">
        <v>1.502304665953403</v>
      </c>
      <c r="D119">
        <v>1.506414077049735</v>
      </c>
      <c r="E119">
        <v>1.480313062332185</v>
      </c>
      <c r="F119">
        <v>1.48715130995164</v>
      </c>
      <c r="G119">
        <v>1.497090713392375</v>
      </c>
      <c r="H119">
        <v>1.5138675707016109</v>
      </c>
      <c r="I119">
        <v>1.495569409569413</v>
      </c>
      <c r="J119">
        <v>1.516707454123972</v>
      </c>
      <c r="K119">
        <v>1.5338966960061551</v>
      </c>
      <c r="L119">
        <v>1.496704649634371</v>
      </c>
      <c r="M119">
        <v>1.503761015098148</v>
      </c>
      <c r="N119">
        <v>1.516772140258984</v>
      </c>
      <c r="O119">
        <v>1.5130282745561969</v>
      </c>
      <c r="P119">
        <v>1.532219237035477</v>
      </c>
      <c r="Q119">
        <v>1.5323222351312511</v>
      </c>
      <c r="R119">
        <v>1.540486607040652</v>
      </c>
      <c r="S119">
        <v>1.5549741642710639</v>
      </c>
      <c r="T119">
        <v>1.6573029600469491</v>
      </c>
    </row>
    <row r="120" spans="1:20" x14ac:dyDescent="0.35">
      <c r="A120" t="s">
        <v>29</v>
      </c>
      <c r="B120">
        <v>0.24270262326834691</v>
      </c>
      <c r="C120">
        <v>0.2414826510383983</v>
      </c>
      <c r="D120">
        <v>0.2427936178291481</v>
      </c>
      <c r="E120">
        <v>0.24347388922722241</v>
      </c>
      <c r="F120">
        <v>0.24245255236154131</v>
      </c>
      <c r="G120">
        <v>0.24098370909390049</v>
      </c>
      <c r="H120">
        <v>0.24178001906019209</v>
      </c>
      <c r="I120">
        <v>0.24083206909014679</v>
      </c>
      <c r="J120">
        <v>0.241614942075597</v>
      </c>
      <c r="K120">
        <v>0.24288553038457589</v>
      </c>
      <c r="L120">
        <v>0.2420255246289342</v>
      </c>
      <c r="M120">
        <v>0.2411118266847391</v>
      </c>
      <c r="N120">
        <v>0.2429131140565268</v>
      </c>
      <c r="O120">
        <v>0.24131859186735871</v>
      </c>
      <c r="P120">
        <v>0.2432145488547646</v>
      </c>
      <c r="Q120">
        <v>0.23985230683218781</v>
      </c>
      <c r="R120">
        <v>0.23982942638740551</v>
      </c>
      <c r="S120">
        <v>0.24386018812493759</v>
      </c>
      <c r="T120">
        <v>0.2438882263400842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20"/>
  <sheetViews>
    <sheetView tabSelected="1" workbookViewId="0">
      <selection activeCell="V41" sqref="V41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>
        <v>134.09620938166361</v>
      </c>
      <c r="C2">
        <v>135.86352923775499</v>
      </c>
      <c r="D2">
        <v>136.21333705870029</v>
      </c>
      <c r="E2">
        <v>136.6840900085395</v>
      </c>
      <c r="F2">
        <v>136.7987376365962</v>
      </c>
      <c r="G2">
        <v>136.9234714664388</v>
      </c>
      <c r="H2">
        <v>136.49229329550039</v>
      </c>
      <c r="I2">
        <v>137.04439495957581</v>
      </c>
      <c r="J2">
        <v>136.61337084232801</v>
      </c>
      <c r="K2">
        <v>137.44030797828441</v>
      </c>
      <c r="L2">
        <v>138.31142785267249</v>
      </c>
      <c r="M2">
        <v>137.0527218651695</v>
      </c>
      <c r="N2">
        <v>137.05392731391251</v>
      </c>
      <c r="O2">
        <v>138.15575075230859</v>
      </c>
      <c r="P2">
        <v>138.64424734134499</v>
      </c>
      <c r="Q2">
        <v>139.4295482014866</v>
      </c>
      <c r="R2">
        <v>140.2565446133797</v>
      </c>
      <c r="S2">
        <v>140.8836144141026</v>
      </c>
      <c r="T2">
        <v>141.51460376921429</v>
      </c>
      <c r="U2">
        <v>141.47826698249611</v>
      </c>
    </row>
    <row r="3" spans="1:21" x14ac:dyDescent="0.35">
      <c r="A3" t="s">
        <v>22</v>
      </c>
      <c r="B3">
        <v>1.1444418041905351</v>
      </c>
      <c r="C3">
        <v>0.97633967924713261</v>
      </c>
      <c r="D3">
        <v>1.0961946842025441</v>
      </c>
      <c r="E3">
        <v>0.88891086289342525</v>
      </c>
      <c r="F3">
        <v>0.25422878664068088</v>
      </c>
      <c r="G3">
        <v>0.53208531605741882</v>
      </c>
      <c r="H3">
        <v>-4.4816720617006922E-2</v>
      </c>
      <c r="I3">
        <v>-9.330537887623791E-2</v>
      </c>
      <c r="J3">
        <v>0.20256467523100241</v>
      </c>
      <c r="K3">
        <v>0.59171576159843653</v>
      </c>
      <c r="L3">
        <v>0.1040344196629519</v>
      </c>
      <c r="M3">
        <v>0.22723681926700581</v>
      </c>
      <c r="N3">
        <v>0.73906710111288021</v>
      </c>
      <c r="O3">
        <v>1.664661135807904</v>
      </c>
      <c r="P3">
        <v>1.9085071671908911</v>
      </c>
      <c r="Q3">
        <v>1.6339078535727081</v>
      </c>
      <c r="R3">
        <v>1.8388091504858439</v>
      </c>
      <c r="S3">
        <v>2.2007046257210452</v>
      </c>
      <c r="T3">
        <v>2.4564808410983692</v>
      </c>
      <c r="U3">
        <v>2.4025033650873699</v>
      </c>
    </row>
    <row r="4" spans="1:21" x14ac:dyDescent="0.35">
      <c r="A4" t="s">
        <v>23</v>
      </c>
      <c r="B4">
        <v>-1.5608261836504189</v>
      </c>
      <c r="C4">
        <v>-1.507539020126206</v>
      </c>
      <c r="D4">
        <v>-1.946003489304384</v>
      </c>
      <c r="E4">
        <v>-1.3755818809427951</v>
      </c>
      <c r="F4">
        <v>-1.41569829207707</v>
      </c>
      <c r="G4">
        <v>-1.292978880567345</v>
      </c>
      <c r="H4">
        <v>-1.1766268748569551</v>
      </c>
      <c r="I4">
        <v>-1.102000822967389</v>
      </c>
      <c r="J4">
        <v>-0.54982944660060651</v>
      </c>
      <c r="K4">
        <v>-0.1425322269898078</v>
      </c>
      <c r="L4">
        <v>1.2380130193561369</v>
      </c>
      <c r="M4">
        <v>1.43188145128334</v>
      </c>
      <c r="N4">
        <v>0.83311064868187379</v>
      </c>
      <c r="O4">
        <v>1.7083147265318519</v>
      </c>
      <c r="P4">
        <v>2.9137369745461319</v>
      </c>
      <c r="Q4">
        <v>2.9742634063114202</v>
      </c>
      <c r="R4">
        <v>2.2395447267818152</v>
      </c>
      <c r="S4">
        <v>3.354650546733803</v>
      </c>
      <c r="T4">
        <v>3.5933799380376659</v>
      </c>
      <c r="U4">
        <v>0.86412962612411004</v>
      </c>
    </row>
    <row r="5" spans="1:21" x14ac:dyDescent="0.35">
      <c r="A5" t="s">
        <v>24</v>
      </c>
      <c r="B5">
        <v>3.4744249001975609</v>
      </c>
      <c r="C5">
        <v>2.4936385405399948</v>
      </c>
      <c r="D5">
        <v>1.887380137479705</v>
      </c>
      <c r="E5">
        <v>1.1455158966419441</v>
      </c>
      <c r="F5">
        <v>1.024993829260695</v>
      </c>
      <c r="G5">
        <v>2.2680389818155762</v>
      </c>
      <c r="H5">
        <v>2.808773570715791</v>
      </c>
      <c r="I5">
        <v>2.323646880445974</v>
      </c>
      <c r="J5">
        <v>2.0527508278593491</v>
      </c>
      <c r="K5">
        <v>2.526533497927598</v>
      </c>
      <c r="L5">
        <v>3.7900173808589761</v>
      </c>
      <c r="M5">
        <v>3.4460468420077559</v>
      </c>
      <c r="N5">
        <v>3.3782199686804519</v>
      </c>
      <c r="O5">
        <v>4.0743931628992023</v>
      </c>
      <c r="P5">
        <v>3.9124816986134801</v>
      </c>
      <c r="Q5">
        <v>4.2753559306935891</v>
      </c>
      <c r="R5">
        <v>4.1613610781838277</v>
      </c>
      <c r="S5">
        <v>4.0907464383161836</v>
      </c>
      <c r="T5">
        <v>4.1326898101696132</v>
      </c>
      <c r="U5">
        <v>3.2651307603228821</v>
      </c>
    </row>
    <row r="6" spans="1:21" x14ac:dyDescent="0.35">
      <c r="A6" t="s">
        <v>25</v>
      </c>
      <c r="B6">
        <v>-0.1174692072825473</v>
      </c>
      <c r="C6">
        <v>-0.293380944887906</v>
      </c>
      <c r="D6">
        <v>-0.32279402767988907</v>
      </c>
      <c r="E6">
        <v>-0.49873698103989172</v>
      </c>
      <c r="F6">
        <v>-0.57635858336035017</v>
      </c>
      <c r="G6">
        <v>-0.74344882793927425</v>
      </c>
      <c r="H6">
        <v>-0.51378075778975185</v>
      </c>
      <c r="I6">
        <v>-0.49150258398352181</v>
      </c>
      <c r="J6">
        <v>-0.58787140507654601</v>
      </c>
      <c r="K6">
        <v>-0.16234388675965111</v>
      </c>
      <c r="L6">
        <v>-0.1012503712811358</v>
      </c>
      <c r="M6">
        <v>-3.1678217295131317E-2</v>
      </c>
      <c r="N6">
        <v>-6.3279033522012917E-2</v>
      </c>
      <c r="O6">
        <v>0.43835806364482471</v>
      </c>
      <c r="P6">
        <v>0.75887984026890176</v>
      </c>
      <c r="Q6">
        <v>0.5742637308282289</v>
      </c>
      <c r="R6">
        <v>0.61715067899851261</v>
      </c>
      <c r="S6">
        <v>1.2821200058659741</v>
      </c>
      <c r="T6">
        <v>1.435317130838619</v>
      </c>
      <c r="U6">
        <v>1.1924483730240261</v>
      </c>
    </row>
    <row r="7" spans="1:21" x14ac:dyDescent="0.35">
      <c r="A7" t="s">
        <v>26</v>
      </c>
      <c r="B7">
        <v>137.03678069511881</v>
      </c>
      <c r="C7">
        <v>137.53258749252799</v>
      </c>
      <c r="D7">
        <v>136.92811436339829</v>
      </c>
      <c r="E7">
        <v>136.84419790609221</v>
      </c>
      <c r="F7">
        <v>136.08590337706019</v>
      </c>
      <c r="G7">
        <v>137.68716805580519</v>
      </c>
      <c r="H7">
        <v>137.56584251295251</v>
      </c>
      <c r="I7">
        <v>137.68123305419459</v>
      </c>
      <c r="J7">
        <v>137.73098549374109</v>
      </c>
      <c r="K7">
        <v>140.25368112406099</v>
      </c>
      <c r="L7">
        <v>143.34224230126949</v>
      </c>
      <c r="M7">
        <v>142.12620876043249</v>
      </c>
      <c r="N7">
        <v>141.94104599886569</v>
      </c>
      <c r="O7">
        <v>146.0414778411924</v>
      </c>
      <c r="P7">
        <v>148.13785302196439</v>
      </c>
      <c r="Q7">
        <v>148.8873391228926</v>
      </c>
      <c r="R7">
        <v>149.11341024782971</v>
      </c>
      <c r="S7">
        <v>151.81183603073961</v>
      </c>
      <c r="T7">
        <v>153.13247148935861</v>
      </c>
      <c r="U7">
        <v>149.20247910705439</v>
      </c>
    </row>
    <row r="8" spans="1:21" x14ac:dyDescent="0.35">
      <c r="A8" t="s">
        <v>27</v>
      </c>
      <c r="B8">
        <v>23270884.460000001</v>
      </c>
      <c r="C8">
        <v>23087742.949999999</v>
      </c>
      <c r="D8">
        <v>22549117.850000001</v>
      </c>
      <c r="E8">
        <v>15507804.449999999</v>
      </c>
      <c r="F8">
        <v>15761506.57</v>
      </c>
      <c r="G8">
        <v>16094718.550000001</v>
      </c>
      <c r="H8">
        <v>22910743.850000001</v>
      </c>
      <c r="I8">
        <v>26318056.75</v>
      </c>
      <c r="J8">
        <v>35603893.74000001</v>
      </c>
      <c r="K8">
        <v>35169079.88000001</v>
      </c>
      <c r="L8">
        <v>25595756.23</v>
      </c>
      <c r="M8">
        <v>25828579.710000001</v>
      </c>
      <c r="N8">
        <v>43288171.789999999</v>
      </c>
      <c r="O8">
        <v>48501565.799999997</v>
      </c>
      <c r="P8">
        <v>42331817.520000003</v>
      </c>
      <c r="Q8">
        <v>34625766.170000002</v>
      </c>
      <c r="R8">
        <v>45795850.57</v>
      </c>
      <c r="S8">
        <v>56791306.060000002</v>
      </c>
      <c r="T8">
        <v>53793797.439999998</v>
      </c>
      <c r="U8">
        <v>4106087.68</v>
      </c>
    </row>
    <row r="9" spans="1:21" x14ac:dyDescent="0.35">
      <c r="A9" t="s">
        <v>28</v>
      </c>
      <c r="B9">
        <v>1.6107900544587099</v>
      </c>
      <c r="C9">
        <v>1.6918339760641941</v>
      </c>
      <c r="D9">
        <v>1.7461394730206761</v>
      </c>
      <c r="E9">
        <v>1.8175289249341959</v>
      </c>
      <c r="F9">
        <v>1.829681624992417</v>
      </c>
      <c r="G9">
        <v>1.7116427899655611</v>
      </c>
      <c r="H9">
        <v>1.664918824088929</v>
      </c>
      <c r="I9">
        <v>1.706717174250022</v>
      </c>
      <c r="J9">
        <v>1.730983641048615</v>
      </c>
      <c r="K9">
        <v>1.6889838641098409</v>
      </c>
      <c r="L9">
        <v>1.5863382601288321</v>
      </c>
      <c r="M9">
        <v>1.613025747952431</v>
      </c>
      <c r="N9">
        <v>1.61839454332554</v>
      </c>
      <c r="O9">
        <v>1.5649323681623359</v>
      </c>
      <c r="P9">
        <v>1.577048600701781</v>
      </c>
      <c r="Q9">
        <v>1.5501503292088441</v>
      </c>
      <c r="R9">
        <v>1.5585008865049099</v>
      </c>
      <c r="S9">
        <v>1.563718955915389</v>
      </c>
      <c r="T9">
        <v>1.560615345053195</v>
      </c>
      <c r="U9">
        <v>1.627425965815704</v>
      </c>
    </row>
    <row r="10" spans="1:21" x14ac:dyDescent="0.35">
      <c r="A10" t="s">
        <v>29</v>
      </c>
      <c r="B10">
        <v>0.25167813153260782</v>
      </c>
      <c r="C10">
        <v>0.25419115635554151</v>
      </c>
      <c r="D10">
        <v>0.25461134325256979</v>
      </c>
      <c r="E10">
        <v>0.2571248140148556</v>
      </c>
      <c r="F10">
        <v>0.258233694048005</v>
      </c>
      <c r="G10">
        <v>0.26062069754198958</v>
      </c>
      <c r="H10">
        <v>0.25733972511128222</v>
      </c>
      <c r="I10">
        <v>0.25702146548547888</v>
      </c>
      <c r="J10">
        <v>0.25839816292966489</v>
      </c>
      <c r="K10">
        <v>0.25231919838228067</v>
      </c>
      <c r="L10">
        <v>0.2514464338754448</v>
      </c>
      <c r="M10">
        <v>0.25045254596135902</v>
      </c>
      <c r="N10">
        <v>0.25090398619317161</v>
      </c>
      <c r="O10">
        <v>0.2437377419479311</v>
      </c>
      <c r="P10">
        <v>0.23915885942473</v>
      </c>
      <c r="Q10">
        <v>0.24179623241673959</v>
      </c>
      <c r="R10">
        <v>0.2411835617285927</v>
      </c>
      <c r="S10">
        <v>0.23168399991620039</v>
      </c>
      <c r="T10">
        <v>0.2294954695594483</v>
      </c>
      <c r="U10">
        <v>0.23296502324251389</v>
      </c>
    </row>
    <row r="12" spans="1:21" x14ac:dyDescent="0.35">
      <c r="A12" t="s">
        <v>30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</row>
    <row r="13" spans="1:21" x14ac:dyDescent="0.35">
      <c r="A13" t="s">
        <v>21</v>
      </c>
      <c r="B13">
        <v>134.6074834938228</v>
      </c>
      <c r="C13">
        <v>137.1720362158253</v>
      </c>
      <c r="D13">
        <v>137.91332625381699</v>
      </c>
      <c r="E13">
        <v>139.52913136248611</v>
      </c>
      <c r="F13">
        <v>141.61697372872791</v>
      </c>
      <c r="G13">
        <v>141.16406439905259</v>
      </c>
      <c r="H13">
        <v>140.75671040357039</v>
      </c>
      <c r="I13">
        <v>139.26914928280519</v>
      </c>
      <c r="J13">
        <v>138.8070166181555</v>
      </c>
      <c r="K13">
        <v>140.4482040909416</v>
      </c>
      <c r="L13">
        <v>141.38427910861029</v>
      </c>
      <c r="M13">
        <v>139.58564093196449</v>
      </c>
      <c r="N13">
        <v>139.08968036153519</v>
      </c>
      <c r="O13">
        <v>139.93543713472161</v>
      </c>
      <c r="P13">
        <v>140.34475648022141</v>
      </c>
      <c r="Q13">
        <v>141.3387996559442</v>
      </c>
      <c r="R13">
        <v>142.4185062374373</v>
      </c>
      <c r="S13">
        <v>142.66553105968791</v>
      </c>
      <c r="T13">
        <v>143.24013931365101</v>
      </c>
      <c r="U13">
        <v>143.42922282251311</v>
      </c>
    </row>
    <row r="14" spans="1:21" x14ac:dyDescent="0.35">
      <c r="A14" t="s">
        <v>22</v>
      </c>
      <c r="B14">
        <v>-0.12559710419984069</v>
      </c>
      <c r="C14">
        <v>1.3320032498197629</v>
      </c>
      <c r="D14">
        <v>1.042109880838638</v>
      </c>
      <c r="E14">
        <v>0.77215335392929774</v>
      </c>
      <c r="F14">
        <v>0.86869192623649383</v>
      </c>
      <c r="G14">
        <v>1.066932190094207</v>
      </c>
      <c r="H14">
        <v>1.160181296886009</v>
      </c>
      <c r="I14">
        <v>0.68380431718412638</v>
      </c>
      <c r="J14">
        <v>0.1518988715119178</v>
      </c>
      <c r="K14">
        <v>0.62237695078880506</v>
      </c>
      <c r="L14">
        <v>1.245183034377817</v>
      </c>
      <c r="M14">
        <v>0.86709797309995906</v>
      </c>
      <c r="N14">
        <v>0.33605083474785152</v>
      </c>
      <c r="O14">
        <v>1.1804433778555961</v>
      </c>
      <c r="P14">
        <v>1.3085719648144329</v>
      </c>
      <c r="Q14">
        <v>1.7780535403979629</v>
      </c>
      <c r="R14">
        <v>1.4843688003443281</v>
      </c>
      <c r="S14">
        <v>1.7815090225103629</v>
      </c>
      <c r="T14">
        <v>1.524316086401029</v>
      </c>
      <c r="U14">
        <v>1.5338874580280619</v>
      </c>
    </row>
    <row r="15" spans="1:21" x14ac:dyDescent="0.35">
      <c r="A15" t="s">
        <v>23</v>
      </c>
      <c r="B15">
        <v>-1.136077869345973</v>
      </c>
      <c r="C15">
        <v>-1.1611514611172391</v>
      </c>
      <c r="D15">
        <v>-1.2560818448455</v>
      </c>
      <c r="E15">
        <v>-1.0998387632487869</v>
      </c>
      <c r="F15">
        <v>-1.270437993089365</v>
      </c>
      <c r="G15">
        <v>-0.35202364997856239</v>
      </c>
      <c r="H15">
        <v>-0.33500588419402078</v>
      </c>
      <c r="I15">
        <v>-0.77145925606723531</v>
      </c>
      <c r="J15">
        <v>-0.53496181395640241</v>
      </c>
      <c r="K15">
        <v>0.59223586479755319</v>
      </c>
      <c r="L15">
        <v>1.043043407657456</v>
      </c>
      <c r="M15">
        <v>2.7906339360112948</v>
      </c>
      <c r="N15">
        <v>2.3593358562880522</v>
      </c>
      <c r="O15">
        <v>3.5335652306257979</v>
      </c>
      <c r="P15">
        <v>3.7858482825689621</v>
      </c>
      <c r="Q15">
        <v>4.2425735618869824</v>
      </c>
      <c r="R15">
        <v>2.946879259228012</v>
      </c>
      <c r="S15">
        <v>3.311845452391954</v>
      </c>
      <c r="T15">
        <v>3.289824528657133</v>
      </c>
      <c r="U15">
        <v>3.3881584207079141</v>
      </c>
    </row>
    <row r="16" spans="1:21" x14ac:dyDescent="0.35">
      <c r="A16" t="s">
        <v>24</v>
      </c>
      <c r="B16">
        <v>3.3104655456185732</v>
      </c>
      <c r="C16">
        <v>3.335051588143267</v>
      </c>
      <c r="D16">
        <v>3.3214805835621082</v>
      </c>
      <c r="E16">
        <v>2.9556502130884281</v>
      </c>
      <c r="F16">
        <v>2.9845155582534622</v>
      </c>
      <c r="G16">
        <v>4.8854324168738126</v>
      </c>
      <c r="H16">
        <v>5.3477192954931372</v>
      </c>
      <c r="I16">
        <v>6.0915393655938441</v>
      </c>
      <c r="J16">
        <v>5.6236421546763751</v>
      </c>
      <c r="K16">
        <v>5.6599945338946016</v>
      </c>
      <c r="L16">
        <v>5.7787872912434173</v>
      </c>
      <c r="M16">
        <v>5.6956419510522878</v>
      </c>
      <c r="N16">
        <v>5.2988395954715566</v>
      </c>
      <c r="O16">
        <v>6.6641449217109443</v>
      </c>
      <c r="P16">
        <v>6.6404731230697509</v>
      </c>
      <c r="Q16">
        <v>6.4239045425905834</v>
      </c>
      <c r="R16">
        <v>5.5390438918557967</v>
      </c>
      <c r="S16">
        <v>5.5516232280751741</v>
      </c>
      <c r="T16">
        <v>5.1863929103228994</v>
      </c>
      <c r="U16">
        <v>5.5971570530529977</v>
      </c>
    </row>
    <row r="17" spans="1:21" x14ac:dyDescent="0.35">
      <c r="A17" t="s">
        <v>25</v>
      </c>
      <c r="B17">
        <v>-0.15856727431731779</v>
      </c>
      <c r="C17">
        <v>5.8189397932779663E-2</v>
      </c>
      <c r="D17">
        <v>1.7500175022278071E-3</v>
      </c>
      <c r="E17">
        <v>-0.1628521762312535</v>
      </c>
      <c r="F17">
        <v>-0.28290942522758322</v>
      </c>
      <c r="G17">
        <v>-0.3528495082713895</v>
      </c>
      <c r="H17">
        <v>-0.23991747358607041</v>
      </c>
      <c r="I17">
        <v>0.2533284279299064</v>
      </c>
      <c r="J17">
        <v>0.1022674985152885</v>
      </c>
      <c r="K17">
        <v>8.5080353450578128E-2</v>
      </c>
      <c r="L17">
        <v>-0.2276212019215112</v>
      </c>
      <c r="M17">
        <v>-0.35393779372262901</v>
      </c>
      <c r="N17">
        <v>-0.50395091904735567</v>
      </c>
      <c r="O17">
        <v>-0.41480154201764602</v>
      </c>
      <c r="P17">
        <v>-0.40961502706918618</v>
      </c>
      <c r="Q17">
        <v>-0.42599490551351482</v>
      </c>
      <c r="R17">
        <v>-0.26867079431143359</v>
      </c>
      <c r="S17">
        <v>-0.27625719741274651</v>
      </c>
      <c r="T17">
        <v>-0.38788296736316008</v>
      </c>
      <c r="U17">
        <v>-0.23994251676855041</v>
      </c>
    </row>
    <row r="18" spans="1:21" x14ac:dyDescent="0.35">
      <c r="A18" t="s">
        <v>26</v>
      </c>
      <c r="B18">
        <v>136.49770679157831</v>
      </c>
      <c r="C18">
        <v>140.7361289906039</v>
      </c>
      <c r="D18">
        <v>141.02258489087441</v>
      </c>
      <c r="E18">
        <v>141.99424399002379</v>
      </c>
      <c r="F18">
        <v>143.91683379490101</v>
      </c>
      <c r="G18">
        <v>146.4115558477707</v>
      </c>
      <c r="H18">
        <v>146.6896876381694</v>
      </c>
      <c r="I18">
        <v>145.5263621374458</v>
      </c>
      <c r="J18">
        <v>144.14986332890271</v>
      </c>
      <c r="K18">
        <v>147.40789179387309</v>
      </c>
      <c r="L18">
        <v>149.22367163996739</v>
      </c>
      <c r="M18">
        <v>148.5850769984055</v>
      </c>
      <c r="N18">
        <v>146.57995572899529</v>
      </c>
      <c r="O18">
        <v>150.89878912289629</v>
      </c>
      <c r="P18">
        <v>151.67003482360539</v>
      </c>
      <c r="Q18">
        <v>153.35733639530619</v>
      </c>
      <c r="R18">
        <v>152.12012739455389</v>
      </c>
      <c r="S18">
        <v>153.03425156525259</v>
      </c>
      <c r="T18">
        <v>152.8527898716689</v>
      </c>
      <c r="U18">
        <v>153.7084832375335</v>
      </c>
    </row>
    <row r="19" spans="1:21" x14ac:dyDescent="0.35">
      <c r="A19" t="s">
        <v>27</v>
      </c>
      <c r="B19">
        <v>32622573.109999999</v>
      </c>
      <c r="C19">
        <v>33592158.460000001</v>
      </c>
      <c r="D19">
        <v>31250019.539999999</v>
      </c>
      <c r="E19">
        <v>16943019.050000001</v>
      </c>
      <c r="F19">
        <v>11021203.199999999</v>
      </c>
      <c r="G19">
        <v>13931744.75</v>
      </c>
      <c r="H19">
        <v>22928917.300000001</v>
      </c>
      <c r="I19">
        <v>36804757.450000003</v>
      </c>
      <c r="J19">
        <v>53076414.18</v>
      </c>
      <c r="K19">
        <v>57703817.530000001</v>
      </c>
      <c r="L19">
        <v>42684607.969999999</v>
      </c>
      <c r="M19">
        <v>47422373.829999998</v>
      </c>
      <c r="N19">
        <v>75393101.909999996</v>
      </c>
      <c r="O19">
        <v>80775341.510000005</v>
      </c>
      <c r="P19">
        <v>76407987.069999993</v>
      </c>
      <c r="Q19">
        <v>66153607.710000008</v>
      </c>
      <c r="R19">
        <v>97163843.539999992</v>
      </c>
      <c r="S19">
        <v>111321515.33</v>
      </c>
      <c r="T19">
        <v>87634400.769999996</v>
      </c>
      <c r="U19">
        <v>9349585.1999999993</v>
      </c>
    </row>
    <row r="20" spans="1:21" x14ac:dyDescent="0.35">
      <c r="A20" t="s">
        <v>28</v>
      </c>
      <c r="B20">
        <v>1.6237934047314111</v>
      </c>
      <c r="C20">
        <v>1.621830161435617</v>
      </c>
      <c r="D20">
        <v>1.6229132451440209</v>
      </c>
      <c r="E20">
        <v>1.6526647665115519</v>
      </c>
      <c r="F20">
        <v>1.650277681431187</v>
      </c>
      <c r="G20">
        <v>1.5069384681004609</v>
      </c>
      <c r="H20">
        <v>1.475765806967652</v>
      </c>
      <c r="I20">
        <v>1.428228732517498</v>
      </c>
      <c r="J20">
        <v>1.4577670462836121</v>
      </c>
      <c r="K20">
        <v>1.4554284181608621</v>
      </c>
      <c r="L20">
        <v>1.447838270682571</v>
      </c>
      <c r="M20">
        <v>1.4531424169947691</v>
      </c>
      <c r="N20">
        <v>1.479000728212672</v>
      </c>
      <c r="O20">
        <v>1.393669625887987</v>
      </c>
      <c r="P20">
        <v>1.395065142237623</v>
      </c>
      <c r="Q20">
        <v>1.407963388001092</v>
      </c>
      <c r="R20">
        <v>1.4632386430516211</v>
      </c>
      <c r="S20">
        <v>1.4624224458903801</v>
      </c>
      <c r="T20">
        <v>1.486496706936757</v>
      </c>
      <c r="U20">
        <v>1.459475628839966</v>
      </c>
    </row>
    <row r="21" spans="1:21" x14ac:dyDescent="0.35">
      <c r="A21" t="s">
        <v>29</v>
      </c>
      <c r="B21">
        <v>0.25226524677596168</v>
      </c>
      <c r="C21">
        <v>0.2491687228866746</v>
      </c>
      <c r="D21">
        <v>0.2499749997499682</v>
      </c>
      <c r="E21">
        <v>0.25232645966044648</v>
      </c>
      <c r="F21">
        <v>0.2540415632175369</v>
      </c>
      <c r="G21">
        <v>0.25504070726101991</v>
      </c>
      <c r="H21">
        <v>0.25342739247980101</v>
      </c>
      <c r="I21">
        <v>0.24638102245814419</v>
      </c>
      <c r="J21">
        <v>0.24853903573549591</v>
      </c>
      <c r="K21">
        <v>0.24878456637927751</v>
      </c>
      <c r="L21">
        <v>0.25325173145602159</v>
      </c>
      <c r="M21">
        <v>0.25505625419603761</v>
      </c>
      <c r="N21">
        <v>0.25719929884353371</v>
      </c>
      <c r="O21">
        <v>0.2559257363145378</v>
      </c>
      <c r="P21">
        <v>0.25585164324384552</v>
      </c>
      <c r="Q21">
        <v>0.25608564150733593</v>
      </c>
      <c r="R21">
        <v>0.25383815420444911</v>
      </c>
      <c r="S21">
        <v>0.25394653139161072</v>
      </c>
      <c r="T21">
        <v>0.25554118524804509</v>
      </c>
      <c r="U21">
        <v>0.25342775023955072</v>
      </c>
    </row>
    <row r="23" spans="1:21" x14ac:dyDescent="0.35">
      <c r="A23" t="s">
        <v>31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  <c r="R23" t="s">
        <v>17</v>
      </c>
      <c r="S23" t="s">
        <v>18</v>
      </c>
      <c r="T23" t="s">
        <v>19</v>
      </c>
      <c r="U23" t="s">
        <v>20</v>
      </c>
    </row>
    <row r="24" spans="1:21" x14ac:dyDescent="0.35">
      <c r="A24" t="s">
        <v>21</v>
      </c>
      <c r="B24">
        <v>133.38279260287621</v>
      </c>
      <c r="C24">
        <v>136.27964351654461</v>
      </c>
      <c r="D24">
        <v>138.02985629715721</v>
      </c>
      <c r="E24">
        <v>139.98363847510021</v>
      </c>
      <c r="F24">
        <v>140.90695120459759</v>
      </c>
      <c r="G24">
        <v>139.92333891888941</v>
      </c>
      <c r="H24">
        <v>140.63887903597211</v>
      </c>
      <c r="I24">
        <v>138.6804483918487</v>
      </c>
      <c r="J24">
        <v>138.01707252869221</v>
      </c>
      <c r="K24">
        <v>140.24676638752169</v>
      </c>
      <c r="L24">
        <v>142.00174448063331</v>
      </c>
      <c r="M24">
        <v>140.76316292901581</v>
      </c>
      <c r="N24">
        <v>141.26661776937439</v>
      </c>
      <c r="O24">
        <v>141.5849325990728</v>
      </c>
      <c r="P24">
        <v>142.3080546315631</v>
      </c>
      <c r="Q24">
        <v>142.8056214253042</v>
      </c>
      <c r="R24">
        <v>143.7005603264071</v>
      </c>
      <c r="S24">
        <v>144.544396529989</v>
      </c>
      <c r="T24">
        <v>145.55471464441939</v>
      </c>
      <c r="U24">
        <v>146.65689047892559</v>
      </c>
    </row>
    <row r="25" spans="1:21" x14ac:dyDescent="0.35">
      <c r="A25" t="s">
        <v>22</v>
      </c>
      <c r="B25">
        <v>-1.715440773741818</v>
      </c>
      <c r="C25">
        <v>-0.96363989743932166</v>
      </c>
      <c r="D25">
        <v>-1.030617272947723</v>
      </c>
      <c r="E25">
        <v>-1.066663704942215</v>
      </c>
      <c r="F25">
        <v>-0.30398775930794392</v>
      </c>
      <c r="G25">
        <v>0.23476296020913881</v>
      </c>
      <c r="H25">
        <v>5.158701589320458E-2</v>
      </c>
      <c r="I25">
        <v>-0.565494202258634</v>
      </c>
      <c r="J25">
        <v>-1.3986667793897709</v>
      </c>
      <c r="K25">
        <v>-1.050136696965126</v>
      </c>
      <c r="L25">
        <v>-0.92578432774621433</v>
      </c>
      <c r="M25">
        <v>-2.0824379998042279</v>
      </c>
      <c r="N25">
        <v>-1.8174296193043631</v>
      </c>
      <c r="O25">
        <v>-1.395747127457327</v>
      </c>
      <c r="P25">
        <v>-1.2256096657903579</v>
      </c>
      <c r="Q25">
        <v>-0.79002376514372941</v>
      </c>
      <c r="R25">
        <v>-0.56542572032910243</v>
      </c>
      <c r="S25">
        <v>-0.81839274208689972</v>
      </c>
      <c r="T25">
        <v>-0.37919176394589732</v>
      </c>
      <c r="U25">
        <v>0.70509839636162042</v>
      </c>
    </row>
    <row r="26" spans="1:21" x14ac:dyDescent="0.35">
      <c r="A26" t="s">
        <v>23</v>
      </c>
      <c r="B26">
        <v>-1.8916370902717119</v>
      </c>
      <c r="C26">
        <v>-1.7700633409996529</v>
      </c>
      <c r="D26">
        <v>-1.7902697263487379</v>
      </c>
      <c r="E26">
        <v>-1.4401468914733639</v>
      </c>
      <c r="F26">
        <v>-2.0972343212805682</v>
      </c>
      <c r="G26">
        <v>-2.016313128287837</v>
      </c>
      <c r="H26">
        <v>-2.0157738702651651</v>
      </c>
      <c r="I26">
        <v>-1.718590859218676</v>
      </c>
      <c r="J26">
        <v>-1.9752301272075239</v>
      </c>
      <c r="K26">
        <v>-1.837591406314111</v>
      </c>
      <c r="L26">
        <v>-1.091218326529827</v>
      </c>
      <c r="M26">
        <v>0.23692400714329651</v>
      </c>
      <c r="N26">
        <v>0.41491983885023132</v>
      </c>
      <c r="O26">
        <v>-4.3358356938625803E-2</v>
      </c>
      <c r="P26">
        <v>0.85986581771765846</v>
      </c>
      <c r="Q26">
        <v>2.9191158121299461</v>
      </c>
      <c r="R26">
        <v>2.025890098327741</v>
      </c>
      <c r="S26">
        <v>1.3874875273945999</v>
      </c>
      <c r="T26">
        <v>1.4263510620878259</v>
      </c>
      <c r="U26">
        <v>1.182020545168246</v>
      </c>
    </row>
    <row r="27" spans="1:21" x14ac:dyDescent="0.35">
      <c r="A27" t="s">
        <v>24</v>
      </c>
      <c r="B27">
        <v>2.427419355969167</v>
      </c>
      <c r="C27">
        <v>2.33624502157716</v>
      </c>
      <c r="D27">
        <v>2.2513681186986898</v>
      </c>
      <c r="E27">
        <v>2.0933172049054982</v>
      </c>
      <c r="F27">
        <v>1.7840018595250171</v>
      </c>
      <c r="G27">
        <v>4.4169194101561899</v>
      </c>
      <c r="H27">
        <v>4.602271220248781</v>
      </c>
      <c r="I27">
        <v>4.948749603626311</v>
      </c>
      <c r="J27">
        <v>4.7675462591198494</v>
      </c>
      <c r="K27">
        <v>4.9606389653863454</v>
      </c>
      <c r="L27">
        <v>4.7198857687119187</v>
      </c>
      <c r="M27">
        <v>4.7021877809164208</v>
      </c>
      <c r="N27">
        <v>4.7431925195695408</v>
      </c>
      <c r="O27">
        <v>5.2731575362775311</v>
      </c>
      <c r="P27">
        <v>5.257515588449893</v>
      </c>
      <c r="Q27">
        <v>5.2361293052619891</v>
      </c>
      <c r="R27">
        <v>3.8453611629266731</v>
      </c>
      <c r="S27">
        <v>3.4263625385426839</v>
      </c>
      <c r="T27">
        <v>3.310213147599816</v>
      </c>
      <c r="U27">
        <v>4.6162527457376097</v>
      </c>
    </row>
    <row r="28" spans="1:21" x14ac:dyDescent="0.35">
      <c r="A28" t="s">
        <v>25</v>
      </c>
      <c r="B28">
        <v>-0.88076819789434924</v>
      </c>
      <c r="C28">
        <v>-0.80350374154575133</v>
      </c>
      <c r="D28">
        <v>-0.60877213861209867</v>
      </c>
      <c r="E28">
        <v>-0.43081239708292701</v>
      </c>
      <c r="F28">
        <v>-0.49109372295419562</v>
      </c>
      <c r="G28">
        <v>-0.55961768209440432</v>
      </c>
      <c r="H28">
        <v>-0.3044438792084081</v>
      </c>
      <c r="I28">
        <v>-0.15214762908128901</v>
      </c>
      <c r="J28">
        <v>2.6141527598286252E-3</v>
      </c>
      <c r="K28">
        <v>3.3318110996103663E-2</v>
      </c>
      <c r="L28">
        <v>-0.12402209352993571</v>
      </c>
      <c r="M28">
        <v>-0.63602282779905428</v>
      </c>
      <c r="N28">
        <v>-0.50969555831518465</v>
      </c>
      <c r="O28">
        <v>-0.4165241080352966</v>
      </c>
      <c r="P28">
        <v>-0.53709896620378172</v>
      </c>
      <c r="Q28">
        <v>-0.88050643455705224</v>
      </c>
      <c r="R28">
        <v>-0.62638756969101816</v>
      </c>
      <c r="S28">
        <v>-0.58765046787014608</v>
      </c>
      <c r="T28">
        <v>-0.6801554874911564</v>
      </c>
      <c r="U28">
        <v>-0.32330903787203602</v>
      </c>
    </row>
    <row r="29" spans="1:21" x14ac:dyDescent="0.35">
      <c r="A29" t="s">
        <v>26</v>
      </c>
      <c r="B29">
        <v>131.3223658969375</v>
      </c>
      <c r="C29">
        <v>135.07868155813699</v>
      </c>
      <c r="D29">
        <v>136.85156527794729</v>
      </c>
      <c r="E29">
        <v>139.13933268650709</v>
      </c>
      <c r="F29">
        <v>139.79863726057991</v>
      </c>
      <c r="G29">
        <v>141.99909047887249</v>
      </c>
      <c r="H29">
        <v>142.9725195226406</v>
      </c>
      <c r="I29">
        <v>141.19296530491641</v>
      </c>
      <c r="J29">
        <v>139.41333603397459</v>
      </c>
      <c r="K29">
        <v>142.3529953606249</v>
      </c>
      <c r="L29">
        <v>144.58060550153931</v>
      </c>
      <c r="M29">
        <v>142.98381388947229</v>
      </c>
      <c r="N29">
        <v>144.0976049501746</v>
      </c>
      <c r="O29">
        <v>145.0024605429191</v>
      </c>
      <c r="P29">
        <v>146.66272740573649</v>
      </c>
      <c r="Q29">
        <v>149.29033634299529</v>
      </c>
      <c r="R29">
        <v>148.37999829764141</v>
      </c>
      <c r="S29">
        <v>147.9522033859692</v>
      </c>
      <c r="T29">
        <v>149.23193160266999</v>
      </c>
      <c r="U29">
        <v>152.83695312832111</v>
      </c>
    </row>
    <row r="30" spans="1:21" x14ac:dyDescent="0.35">
      <c r="A30" t="s">
        <v>27</v>
      </c>
      <c r="B30">
        <v>28041972.780000001</v>
      </c>
      <c r="C30">
        <v>26922609.469999999</v>
      </c>
      <c r="D30">
        <v>23038298.32</v>
      </c>
      <c r="E30">
        <v>13424750.390000001</v>
      </c>
      <c r="F30">
        <v>7860673.2100000009</v>
      </c>
      <c r="G30">
        <v>10614149.98</v>
      </c>
      <c r="H30">
        <v>19388832.18</v>
      </c>
      <c r="I30">
        <v>35686376.18</v>
      </c>
      <c r="J30">
        <v>52731549.510000013</v>
      </c>
      <c r="K30">
        <v>64858061.219999999</v>
      </c>
      <c r="L30">
        <v>48550330.479999997</v>
      </c>
      <c r="M30">
        <v>50532360.450000003</v>
      </c>
      <c r="N30">
        <v>66067307.380000003</v>
      </c>
      <c r="O30">
        <v>73833093.110000014</v>
      </c>
      <c r="P30">
        <v>52852710.32</v>
      </c>
      <c r="Q30">
        <v>37357135.560000002</v>
      </c>
      <c r="R30">
        <v>47703174.469999999</v>
      </c>
      <c r="S30">
        <v>42803923.479999997</v>
      </c>
      <c r="T30">
        <v>22494549.780000001</v>
      </c>
      <c r="U30">
        <v>2065043.73</v>
      </c>
    </row>
    <row r="31" spans="1:21" x14ac:dyDescent="0.35">
      <c r="A31" t="s">
        <v>28</v>
      </c>
      <c r="B31">
        <v>1.697600664077225</v>
      </c>
      <c r="C31">
        <v>1.705605197037888</v>
      </c>
      <c r="D31">
        <v>1.7131249995664879</v>
      </c>
      <c r="E31">
        <v>1.727305928355221</v>
      </c>
      <c r="F31">
        <v>1.755749400294935</v>
      </c>
      <c r="G31">
        <v>1.539904006192433</v>
      </c>
      <c r="H31">
        <v>1.526691321655399</v>
      </c>
      <c r="I31">
        <v>1.5025912908747721</v>
      </c>
      <c r="J31">
        <v>1.5150995710498389</v>
      </c>
      <c r="K31">
        <v>1.501777796719941</v>
      </c>
      <c r="L31">
        <v>1.518424192060374</v>
      </c>
      <c r="M31">
        <v>1.5196624567501249</v>
      </c>
      <c r="N31">
        <v>1.516796577610072</v>
      </c>
      <c r="O31">
        <v>1.4807060896634721</v>
      </c>
      <c r="P31">
        <v>1.481746687717219</v>
      </c>
      <c r="Q31">
        <v>1.48317180329562</v>
      </c>
      <c r="R31">
        <v>1.5821265816518779</v>
      </c>
      <c r="S31">
        <v>1.6145801748975011</v>
      </c>
      <c r="T31">
        <v>1.6238135838518979</v>
      </c>
      <c r="U31">
        <v>1.525703848300124</v>
      </c>
    </row>
    <row r="32" spans="1:21" x14ac:dyDescent="0.35">
      <c r="A32" t="s">
        <v>29</v>
      </c>
      <c r="B32">
        <v>0.26258240282706208</v>
      </c>
      <c r="C32">
        <v>0.26147862487922502</v>
      </c>
      <c r="D32">
        <v>0.2586967448373157</v>
      </c>
      <c r="E32">
        <v>0.25615446281547039</v>
      </c>
      <c r="F32">
        <v>0.25701562461363142</v>
      </c>
      <c r="G32">
        <v>0.25799453831563429</v>
      </c>
      <c r="H32">
        <v>0.25434919827440577</v>
      </c>
      <c r="I32">
        <v>0.25217353755830407</v>
      </c>
      <c r="J32">
        <v>0.2499626549605739</v>
      </c>
      <c r="K32">
        <v>0.24952402698576989</v>
      </c>
      <c r="L32">
        <v>0.2517717441932848</v>
      </c>
      <c r="M32">
        <v>0.25908604039712929</v>
      </c>
      <c r="N32">
        <v>0.25728136511878841</v>
      </c>
      <c r="O32">
        <v>0.25595034440050418</v>
      </c>
      <c r="P32">
        <v>0.25767284237433968</v>
      </c>
      <c r="Q32">
        <v>0.26257866335081498</v>
      </c>
      <c r="R32">
        <v>0.25894839385272878</v>
      </c>
      <c r="S32">
        <v>0.25839500668385917</v>
      </c>
      <c r="T32">
        <v>0.25971650696415938</v>
      </c>
      <c r="U32">
        <v>0.25461870054102909</v>
      </c>
    </row>
    <row r="34" spans="1:21" x14ac:dyDescent="0.35">
      <c r="A34" t="s">
        <v>32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15</v>
      </c>
      <c r="Q34" t="s">
        <v>16</v>
      </c>
      <c r="R34" t="s">
        <v>17</v>
      </c>
      <c r="S34" t="s">
        <v>18</v>
      </c>
      <c r="T34" t="s">
        <v>19</v>
      </c>
      <c r="U34" t="s">
        <v>20</v>
      </c>
    </row>
    <row r="35" spans="1:21" x14ac:dyDescent="0.35">
      <c r="A35" t="s">
        <v>21</v>
      </c>
      <c r="B35">
        <v>134.04137444076721</v>
      </c>
      <c r="C35">
        <v>136.77501676159221</v>
      </c>
      <c r="D35">
        <v>137.96277803290209</v>
      </c>
      <c r="E35">
        <v>139.73005637771911</v>
      </c>
      <c r="F35">
        <v>141.32138578435541</v>
      </c>
      <c r="G35">
        <v>140.62754917011841</v>
      </c>
      <c r="H35">
        <v>140.7027233026499</v>
      </c>
      <c r="I35">
        <v>138.97934002751879</v>
      </c>
      <c r="J35">
        <v>138.41333192363001</v>
      </c>
      <c r="K35">
        <v>140.3416060277128</v>
      </c>
      <c r="L35">
        <v>141.71286099161449</v>
      </c>
      <c r="M35">
        <v>140.19309463422991</v>
      </c>
      <c r="N35">
        <v>140.10639163497629</v>
      </c>
      <c r="O35">
        <v>140.72315193503829</v>
      </c>
      <c r="P35">
        <v>141.14751888642741</v>
      </c>
      <c r="Q35">
        <v>141.86817716739159</v>
      </c>
      <c r="R35">
        <v>142.84067306827441</v>
      </c>
      <c r="S35">
        <v>143.1873320968231</v>
      </c>
      <c r="T35">
        <v>143.71290628126039</v>
      </c>
      <c r="U35">
        <v>144.0131467413083</v>
      </c>
    </row>
    <row r="36" spans="1:21" x14ac:dyDescent="0.35">
      <c r="A36" t="s">
        <v>22</v>
      </c>
      <c r="B36">
        <v>-0.86049674371235618</v>
      </c>
      <c r="C36">
        <v>0.31068719672624129</v>
      </c>
      <c r="D36">
        <v>0.16250799985866421</v>
      </c>
      <c r="E36">
        <v>-4.073677542305406E-2</v>
      </c>
      <c r="F36">
        <v>0.38049617768321808</v>
      </c>
      <c r="G36">
        <v>0.70708509093974825</v>
      </c>
      <c r="H36">
        <v>0.65225380230041419</v>
      </c>
      <c r="I36">
        <v>6.8792043358944774E-2</v>
      </c>
      <c r="J36">
        <v>-0.62085703964598071</v>
      </c>
      <c r="K36">
        <v>-0.26269427742382517</v>
      </c>
      <c r="L36">
        <v>8.9910891018185446E-2</v>
      </c>
      <c r="M36">
        <v>-0.65449274978424976</v>
      </c>
      <c r="N36">
        <v>-0.6697051630523555</v>
      </c>
      <c r="O36">
        <v>-4.9813651234470388E-2</v>
      </c>
      <c r="P36">
        <v>0.2723840877174451</v>
      </c>
      <c r="Q36">
        <v>0.85123175358653347</v>
      </c>
      <c r="R36">
        <v>0.80939317793878529</v>
      </c>
      <c r="S36">
        <v>1.0594608191341031</v>
      </c>
      <c r="T36">
        <v>1.1355123078994851</v>
      </c>
      <c r="U36">
        <v>1.383949543639208</v>
      </c>
    </row>
    <row r="37" spans="1:21" x14ac:dyDescent="0.35">
      <c r="A37" t="s">
        <v>23</v>
      </c>
      <c r="B37">
        <v>-1.485332459420637</v>
      </c>
      <c r="C37">
        <v>-1.432052223104475</v>
      </c>
      <c r="D37">
        <v>-1.482774810443318</v>
      </c>
      <c r="E37">
        <v>-1.25027956813337</v>
      </c>
      <c r="F37">
        <v>-1.614639787763593</v>
      </c>
      <c r="G37">
        <v>-1.0716966676958759</v>
      </c>
      <c r="H37">
        <v>-1.105087677670576</v>
      </c>
      <c r="I37">
        <v>-1.237718962454845</v>
      </c>
      <c r="J37">
        <v>-1.25274880483357</v>
      </c>
      <c r="K37">
        <v>-0.69359532113950029</v>
      </c>
      <c r="L37">
        <v>-9.269597339553258E-2</v>
      </c>
      <c r="M37">
        <v>1.4732398196490251</v>
      </c>
      <c r="N37">
        <v>1.4512207777058419</v>
      </c>
      <c r="O37">
        <v>1.825409185083402</v>
      </c>
      <c r="P37">
        <v>2.589459072710425</v>
      </c>
      <c r="Q37">
        <v>3.7649362751307258</v>
      </c>
      <c r="R37">
        <v>2.6436072844823748</v>
      </c>
      <c r="S37">
        <v>2.7774101897533119</v>
      </c>
      <c r="T37">
        <v>2.909198031735952</v>
      </c>
      <c r="U37">
        <v>2.989041531728263</v>
      </c>
    </row>
    <row r="38" spans="1:21" x14ac:dyDescent="0.35">
      <c r="A38" t="s">
        <v>24</v>
      </c>
      <c r="B38">
        <v>2.902280553044299</v>
      </c>
      <c r="C38">
        <v>2.8906893267059228</v>
      </c>
      <c r="D38">
        <v>2.86735764932327</v>
      </c>
      <c r="E38">
        <v>2.574436656696462</v>
      </c>
      <c r="F38">
        <v>2.4847322917538008</v>
      </c>
      <c r="G38">
        <v>4.6828377518358426</v>
      </c>
      <c r="H38">
        <v>5.0061754325179164</v>
      </c>
      <c r="I38">
        <v>5.5289598707223693</v>
      </c>
      <c r="J38">
        <v>5.1969893628873836</v>
      </c>
      <c r="K38">
        <v>5.2899051819732046</v>
      </c>
      <c r="L38">
        <v>5.2152968155759849</v>
      </c>
      <c r="M38">
        <v>5.1831441674090604</v>
      </c>
      <c r="N38">
        <v>5.0393316077408032</v>
      </c>
      <c r="O38">
        <v>5.9998803788613824</v>
      </c>
      <c r="P38">
        <v>6.0750030657514671</v>
      </c>
      <c r="Q38">
        <v>5.995235216548215</v>
      </c>
      <c r="R38">
        <v>4.9813321102178616</v>
      </c>
      <c r="S38">
        <v>4.9613929803485517</v>
      </c>
      <c r="T38">
        <v>4.8031710703068917</v>
      </c>
      <c r="U38">
        <v>5.4196996602657546</v>
      </c>
    </row>
    <row r="39" spans="1:21" x14ac:dyDescent="0.35">
      <c r="A39" t="s">
        <v>25</v>
      </c>
      <c r="B39">
        <v>-0.49240210887389402</v>
      </c>
      <c r="C39">
        <v>-0.32517203053694582</v>
      </c>
      <c r="D39">
        <v>-0.2573368748159986</v>
      </c>
      <c r="E39">
        <v>-0.28130997361707921</v>
      </c>
      <c r="F39">
        <v>-0.36957818082941302</v>
      </c>
      <c r="G39">
        <v>-0.44226032145172411</v>
      </c>
      <c r="H39">
        <v>-0.26948170290269308</v>
      </c>
      <c r="I39">
        <v>5.3718208336149931E-2</v>
      </c>
      <c r="J39">
        <v>5.2603227960596591E-2</v>
      </c>
      <c r="K39">
        <v>5.7688486385250613E-2</v>
      </c>
      <c r="L39">
        <v>-0.17249132475717441</v>
      </c>
      <c r="M39">
        <v>-0.49945830096789112</v>
      </c>
      <c r="N39">
        <v>-0.50663388066325787</v>
      </c>
      <c r="O39">
        <v>-0.41562415158278332</v>
      </c>
      <c r="P39">
        <v>-0.46174124827627178</v>
      </c>
      <c r="Q39">
        <v>-0.59002859194713653</v>
      </c>
      <c r="R39">
        <v>-0.38646313918872088</v>
      </c>
      <c r="S39">
        <v>-0.36273775392410068</v>
      </c>
      <c r="T39">
        <v>-0.4475815182029807</v>
      </c>
      <c r="U39">
        <v>-0.25502452361716588</v>
      </c>
    </row>
    <row r="40" spans="1:21" x14ac:dyDescent="0.35">
      <c r="A40" t="s">
        <v>26</v>
      </c>
      <c r="B40">
        <v>134.10542368180461</v>
      </c>
      <c r="C40">
        <v>138.2191690313829</v>
      </c>
      <c r="D40">
        <v>139.2525319968247</v>
      </c>
      <c r="E40">
        <v>140.73216671724211</v>
      </c>
      <c r="F40">
        <v>142.2023962851994</v>
      </c>
      <c r="G40">
        <v>144.50351502374639</v>
      </c>
      <c r="H40">
        <v>144.98658315689499</v>
      </c>
      <c r="I40">
        <v>143.3930911874815</v>
      </c>
      <c r="J40">
        <v>141.78931866999841</v>
      </c>
      <c r="K40">
        <v>144.73291009750801</v>
      </c>
      <c r="L40">
        <v>146.75288140005591</v>
      </c>
      <c r="M40">
        <v>145.6955275705358</v>
      </c>
      <c r="N40">
        <v>145.4206049767073</v>
      </c>
      <c r="O40">
        <v>148.0830036961658</v>
      </c>
      <c r="P40">
        <v>149.62262386433039</v>
      </c>
      <c r="Q40">
        <v>151.8895518207099</v>
      </c>
      <c r="R40">
        <v>150.88854250172469</v>
      </c>
      <c r="S40">
        <v>151.622858332135</v>
      </c>
      <c r="T40">
        <v>152.1132061729997</v>
      </c>
      <c r="U40">
        <v>153.5508129533244</v>
      </c>
    </row>
    <row r="41" spans="1:21" x14ac:dyDescent="0.35">
      <c r="A41" t="s">
        <v>27</v>
      </c>
      <c r="B41">
        <v>60664545.890000001</v>
      </c>
      <c r="C41">
        <v>60514767.93</v>
      </c>
      <c r="D41">
        <v>54288317.859999999</v>
      </c>
      <c r="E41">
        <v>30367769.440000001</v>
      </c>
      <c r="F41">
        <v>18881876.41</v>
      </c>
      <c r="G41">
        <v>24545894.73</v>
      </c>
      <c r="H41">
        <v>42317749.479999997</v>
      </c>
      <c r="I41">
        <v>72491133.629999995</v>
      </c>
      <c r="J41">
        <v>105807963.69</v>
      </c>
      <c r="K41">
        <v>122561878.75</v>
      </c>
      <c r="L41">
        <v>91234938.450000003</v>
      </c>
      <c r="M41">
        <v>97954734.280000001</v>
      </c>
      <c r="N41">
        <v>141460409.28999999</v>
      </c>
      <c r="O41">
        <v>154608434.62</v>
      </c>
      <c r="P41">
        <v>129260697.39</v>
      </c>
      <c r="Q41">
        <v>103510743.27</v>
      </c>
      <c r="R41">
        <v>144867018.00999999</v>
      </c>
      <c r="S41">
        <v>154125438.81</v>
      </c>
      <c r="T41">
        <v>110128950.55</v>
      </c>
      <c r="U41">
        <v>11414628.93</v>
      </c>
    </row>
    <row r="42" spans="1:21" x14ac:dyDescent="0.35">
      <c r="A42" t="s">
        <v>28</v>
      </c>
      <c r="B42">
        <v>1.6579105505400129</v>
      </c>
      <c r="C42">
        <v>1.6591011060993111</v>
      </c>
      <c r="D42">
        <v>1.661196348991796</v>
      </c>
      <c r="E42">
        <v>1.6856615583421359</v>
      </c>
      <c r="F42">
        <v>1.694186385041059</v>
      </c>
      <c r="G42">
        <v>1.5211934451273099</v>
      </c>
      <c r="H42">
        <v>1.499098481084159</v>
      </c>
      <c r="I42">
        <v>1.4648363850449051</v>
      </c>
      <c r="J42">
        <v>1.486339875424348</v>
      </c>
      <c r="K42">
        <v>1.4799558720702919</v>
      </c>
      <c r="L42">
        <v>1.4854003041354209</v>
      </c>
      <c r="M42">
        <v>1.487458416632494</v>
      </c>
      <c r="N42">
        <v>1.4966528049482</v>
      </c>
      <c r="O42">
        <v>1.435233796366105</v>
      </c>
      <c r="P42">
        <v>1.4305078924767021</v>
      </c>
      <c r="Q42">
        <v>1.435106183779129</v>
      </c>
      <c r="R42">
        <v>1.5023871818655781</v>
      </c>
      <c r="S42">
        <v>1.5046798943660999</v>
      </c>
      <c r="T42">
        <v>1.514544566359511</v>
      </c>
      <c r="U42">
        <v>1.4714571106896139</v>
      </c>
    </row>
    <row r="43" spans="1:21" x14ac:dyDescent="0.35">
      <c r="A43" t="s">
        <v>29</v>
      </c>
      <c r="B43">
        <v>0.25703431584105563</v>
      </c>
      <c r="C43">
        <v>0.2546453147219564</v>
      </c>
      <c r="D43">
        <v>0.25367624106879999</v>
      </c>
      <c r="E43">
        <v>0.25401871390881542</v>
      </c>
      <c r="F43">
        <v>0.25527968829756298</v>
      </c>
      <c r="G43">
        <v>0.25631800459216753</v>
      </c>
      <c r="H43">
        <v>0.25384973861289561</v>
      </c>
      <c r="I43">
        <v>0.24923259702376929</v>
      </c>
      <c r="J43">
        <v>0.24924852531484859</v>
      </c>
      <c r="K43">
        <v>0.24917587876592501</v>
      </c>
      <c r="L43">
        <v>0.25246416178224529</v>
      </c>
      <c r="M43">
        <v>0.25713511858525562</v>
      </c>
      <c r="N43">
        <v>0.257237626866618</v>
      </c>
      <c r="O43">
        <v>0.25593748787975412</v>
      </c>
      <c r="P43">
        <v>0.25659630354680391</v>
      </c>
      <c r="Q43">
        <v>0.25842897988495911</v>
      </c>
      <c r="R43">
        <v>0.25552090198841032</v>
      </c>
      <c r="S43">
        <v>0.25518196791320152</v>
      </c>
      <c r="T43">
        <v>0.25639402168861403</v>
      </c>
      <c r="U43">
        <v>0.25364320748024521</v>
      </c>
    </row>
    <row r="45" spans="1:21" x14ac:dyDescent="0.35">
      <c r="A45" t="s">
        <v>33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P45" t="s">
        <v>15</v>
      </c>
      <c r="Q45" t="s">
        <v>16</v>
      </c>
      <c r="R45" t="s">
        <v>17</v>
      </c>
      <c r="S45" t="s">
        <v>18</v>
      </c>
      <c r="T45" t="s">
        <v>19</v>
      </c>
      <c r="U45" t="s">
        <v>20</v>
      </c>
    </row>
    <row r="46" spans="1:21" x14ac:dyDescent="0.35">
      <c r="A46" t="s">
        <v>21</v>
      </c>
      <c r="B46">
        <v>134.37539887083719</v>
      </c>
      <c r="C46">
        <v>136.65124232345991</v>
      </c>
      <c r="D46">
        <v>137.16593696447319</v>
      </c>
      <c r="E46">
        <v>138.2685305180465</v>
      </c>
      <c r="F46">
        <v>139.31240126218589</v>
      </c>
      <c r="G46">
        <v>137.78733207044809</v>
      </c>
      <c r="H46">
        <v>138.3726676326182</v>
      </c>
      <c r="I46">
        <v>137.39842094961131</v>
      </c>
      <c r="J46">
        <v>136.90910689513939</v>
      </c>
      <c r="K46">
        <v>137.76015001822441</v>
      </c>
      <c r="L46">
        <v>138.8411929658927</v>
      </c>
      <c r="M46">
        <v>137.58411835012191</v>
      </c>
      <c r="N46">
        <v>136.82954509397291</v>
      </c>
      <c r="O46">
        <v>138.0474773686409</v>
      </c>
      <c r="P46">
        <v>138.71873345734991</v>
      </c>
      <c r="Q46">
        <v>139.96031673897539</v>
      </c>
      <c r="R46">
        <v>140.98665838700279</v>
      </c>
      <c r="S46">
        <v>141.18833442513821</v>
      </c>
      <c r="T46">
        <v>141.4460548137333</v>
      </c>
      <c r="U46">
        <v>141.23926056705349</v>
      </c>
    </row>
    <row r="47" spans="1:21" x14ac:dyDescent="0.35">
      <c r="A47" t="s">
        <v>22</v>
      </c>
      <c r="B47">
        <v>0.20809784367392581</v>
      </c>
      <c r="C47">
        <v>0.42546372948694972</v>
      </c>
      <c r="D47">
        <v>-4.9297553333218502E-2</v>
      </c>
      <c r="E47">
        <v>0.62157927326580875</v>
      </c>
      <c r="F47">
        <v>7.3192274127791279E-2</v>
      </c>
      <c r="G47">
        <v>-0.39298605477154069</v>
      </c>
      <c r="H47">
        <v>0.76687641238984838</v>
      </c>
      <c r="I47">
        <v>0.44706687409828311</v>
      </c>
      <c r="J47">
        <v>0.63020896487134337</v>
      </c>
      <c r="K47">
        <v>1.4280731078960121</v>
      </c>
      <c r="L47">
        <v>1.661814824454751</v>
      </c>
      <c r="M47">
        <v>1.237670259002954</v>
      </c>
      <c r="N47">
        <v>1.2935272145188039</v>
      </c>
      <c r="O47">
        <v>1.1547456250220589</v>
      </c>
      <c r="P47">
        <v>1.2976518175468641</v>
      </c>
      <c r="Q47">
        <v>1.349767864355357</v>
      </c>
      <c r="R47">
        <v>1.6259891341183561</v>
      </c>
      <c r="S47">
        <v>1.8256063847147741</v>
      </c>
      <c r="T47">
        <v>1.722602281206264</v>
      </c>
      <c r="U47">
        <v>1.831436377943561</v>
      </c>
    </row>
    <row r="48" spans="1:21" x14ac:dyDescent="0.35">
      <c r="A48" t="s">
        <v>23</v>
      </c>
      <c r="B48">
        <v>-1.270930246676423</v>
      </c>
      <c r="C48">
        <v>-1.229321679964009</v>
      </c>
      <c r="D48">
        <v>-1.426767602359666</v>
      </c>
      <c r="E48">
        <v>-1.141027984449003</v>
      </c>
      <c r="F48">
        <v>-1.081741637307144</v>
      </c>
      <c r="G48">
        <v>-1.0710424942258461</v>
      </c>
      <c r="H48">
        <v>-1.143754801370281</v>
      </c>
      <c r="I48">
        <v>-0.62150721362764894</v>
      </c>
      <c r="J48">
        <v>-0.71109486618102424</v>
      </c>
      <c r="K48">
        <v>0.49841704591301578</v>
      </c>
      <c r="L48">
        <v>1.439231896705355</v>
      </c>
      <c r="M48">
        <v>2.5129279808931422</v>
      </c>
      <c r="N48">
        <v>2.2476388043245819</v>
      </c>
      <c r="O48">
        <v>2.9040584133818439</v>
      </c>
      <c r="P48">
        <v>2.9495752326793889</v>
      </c>
      <c r="Q48">
        <v>3.9132481158429808</v>
      </c>
      <c r="R48">
        <v>3.3825492081343458</v>
      </c>
      <c r="S48">
        <v>4.2504684796349892</v>
      </c>
      <c r="T48">
        <v>4.132178068848563</v>
      </c>
      <c r="U48">
        <v>3.323464300387994</v>
      </c>
    </row>
    <row r="49" spans="1:21" x14ac:dyDescent="0.35">
      <c r="A49" t="s">
        <v>24</v>
      </c>
      <c r="B49">
        <v>4.0871799886048077</v>
      </c>
      <c r="C49">
        <v>4.5610749211776884</v>
      </c>
      <c r="D49">
        <v>4.3650611921725284</v>
      </c>
      <c r="E49">
        <v>5.370545644830294</v>
      </c>
      <c r="F49">
        <v>5.0862530391716563</v>
      </c>
      <c r="G49">
        <v>5.1174544655382066</v>
      </c>
      <c r="H49">
        <v>5.9694676014736539</v>
      </c>
      <c r="I49">
        <v>6.0327505311971397</v>
      </c>
      <c r="J49">
        <v>4.4478502078670061</v>
      </c>
      <c r="K49">
        <v>5.0984441212849623</v>
      </c>
      <c r="L49">
        <v>5.7239359084951182</v>
      </c>
      <c r="M49">
        <v>5.5852261177953819</v>
      </c>
      <c r="N49">
        <v>5.1583498452683543</v>
      </c>
      <c r="O49">
        <v>6.0062778990725736</v>
      </c>
      <c r="P49">
        <v>5.94203631092482</v>
      </c>
      <c r="Q49">
        <v>6.1764061810560174</v>
      </c>
      <c r="R49">
        <v>5.1687650715410367</v>
      </c>
      <c r="S49">
        <v>5.4141589315427332</v>
      </c>
      <c r="T49">
        <v>5.0253902069720571</v>
      </c>
      <c r="U49">
        <v>4.8076325506214248</v>
      </c>
    </row>
    <row r="50" spans="1:21" x14ac:dyDescent="0.35">
      <c r="A50" t="s">
        <v>25</v>
      </c>
      <c r="B50">
        <v>-0.31209926179408432</v>
      </c>
      <c r="C50">
        <v>-8.7381405741052687E-2</v>
      </c>
      <c r="D50">
        <v>-0.29181531908969988</v>
      </c>
      <c r="E50">
        <v>-4.3786507485551462E-2</v>
      </c>
      <c r="F50">
        <v>-0.63173930418967017</v>
      </c>
      <c r="G50">
        <v>-0.73760018220533186</v>
      </c>
      <c r="H50">
        <v>-0.28156557573319529</v>
      </c>
      <c r="I50">
        <v>-5.6766451818207601E-2</v>
      </c>
      <c r="J50">
        <v>-0.27887214276485661</v>
      </c>
      <c r="K50">
        <v>0.17997989070754419</v>
      </c>
      <c r="L50">
        <v>0.23749205434367529</v>
      </c>
      <c r="M50">
        <v>0.11190157276411571</v>
      </c>
      <c r="N50">
        <v>4.9169715876153652E-2</v>
      </c>
      <c r="O50">
        <v>0.37584053813018298</v>
      </c>
      <c r="P50">
        <v>0.29076022287533981</v>
      </c>
      <c r="Q50">
        <v>0.46110844509390919</v>
      </c>
      <c r="R50">
        <v>0.73297635606736755</v>
      </c>
      <c r="S50">
        <v>0.95238489860135933</v>
      </c>
      <c r="T50">
        <v>0.95523709060352779</v>
      </c>
      <c r="U50">
        <v>0.99118063290634706</v>
      </c>
    </row>
    <row r="51" spans="1:21" x14ac:dyDescent="0.35">
      <c r="A51" t="s">
        <v>26</v>
      </c>
      <c r="B51">
        <v>137.08764719464551</v>
      </c>
      <c r="C51">
        <v>140.3210778884195</v>
      </c>
      <c r="D51">
        <v>139.76311768186309</v>
      </c>
      <c r="E51">
        <v>143.0758409442081</v>
      </c>
      <c r="F51">
        <v>142.75836563398849</v>
      </c>
      <c r="G51">
        <v>140.7031578047835</v>
      </c>
      <c r="H51">
        <v>143.6836912693783</v>
      </c>
      <c r="I51">
        <v>143.19996468946081</v>
      </c>
      <c r="J51">
        <v>140.9971990589319</v>
      </c>
      <c r="K51">
        <v>144.96506418402589</v>
      </c>
      <c r="L51">
        <v>147.90366764989159</v>
      </c>
      <c r="M51">
        <v>147.0318442805775</v>
      </c>
      <c r="N51">
        <v>145.5782306739608</v>
      </c>
      <c r="O51">
        <v>148.4883998442476</v>
      </c>
      <c r="P51">
        <v>149.19875704137641</v>
      </c>
      <c r="Q51">
        <v>151.86084734532361</v>
      </c>
      <c r="R51">
        <v>151.89693815686391</v>
      </c>
      <c r="S51">
        <v>153.6309531196321</v>
      </c>
      <c r="T51">
        <v>153.2814624613637</v>
      </c>
      <c r="U51">
        <v>152.19297442891281</v>
      </c>
    </row>
    <row r="52" spans="1:21" x14ac:dyDescent="0.35">
      <c r="A52" t="s">
        <v>27</v>
      </c>
      <c r="B52">
        <v>53449344.059999987</v>
      </c>
      <c r="C52">
        <v>51946068.549999997</v>
      </c>
      <c r="D52">
        <v>36177207.590000004</v>
      </c>
      <c r="E52">
        <v>19154849.670000002</v>
      </c>
      <c r="F52">
        <v>11885621.43</v>
      </c>
      <c r="G52">
        <v>15403610.449999999</v>
      </c>
      <c r="H52">
        <v>27556919.41</v>
      </c>
      <c r="I52">
        <v>43269495.880000003</v>
      </c>
      <c r="J52">
        <v>56083060.859999999</v>
      </c>
      <c r="K52">
        <v>79053382.090000004</v>
      </c>
      <c r="L52">
        <v>57468545.850000001</v>
      </c>
      <c r="M52">
        <v>55908834.350000001</v>
      </c>
      <c r="N52">
        <v>86727219.829999998</v>
      </c>
      <c r="O52">
        <v>97355511.870000005</v>
      </c>
      <c r="P52">
        <v>74704598.670000002</v>
      </c>
      <c r="Q52">
        <v>61960190.799999997</v>
      </c>
      <c r="R52">
        <v>91654401.280000001</v>
      </c>
      <c r="S52">
        <v>103648992.09</v>
      </c>
      <c r="T52">
        <v>91970323.900000006</v>
      </c>
      <c r="U52">
        <v>8786448.4499999993</v>
      </c>
    </row>
    <row r="53" spans="1:21" x14ac:dyDescent="0.35">
      <c r="A53" t="s">
        <v>28</v>
      </c>
      <c r="B53">
        <v>1.5639834258455561</v>
      </c>
      <c r="C53">
        <v>1.5296083391281401</v>
      </c>
      <c r="D53">
        <v>1.543641729052609</v>
      </c>
      <c r="E53">
        <v>1.474259972180048</v>
      </c>
      <c r="F53">
        <v>1.493236536840697</v>
      </c>
      <c r="G53">
        <v>1.4911300055522669</v>
      </c>
      <c r="H53">
        <v>1.435819086981541</v>
      </c>
      <c r="I53">
        <v>1.431874146135071</v>
      </c>
      <c r="J53">
        <v>1.537683249387066</v>
      </c>
      <c r="K53">
        <v>1.4924127607804769</v>
      </c>
      <c r="L53">
        <v>1.4513330847615511</v>
      </c>
      <c r="M53">
        <v>1.46024661555256</v>
      </c>
      <c r="N53">
        <v>1.488377980774704</v>
      </c>
      <c r="O53">
        <v>1.433521760655142</v>
      </c>
      <c r="P53">
        <v>1.437535864429575</v>
      </c>
      <c r="Q53">
        <v>1.422998878357477</v>
      </c>
      <c r="R53">
        <v>1.487678717942561</v>
      </c>
      <c r="S53">
        <v>1.4713913692111951</v>
      </c>
      <c r="T53">
        <v>1.497362802206351</v>
      </c>
      <c r="U53">
        <v>1.5123145496625769</v>
      </c>
    </row>
    <row r="54" spans="1:21" x14ac:dyDescent="0.35">
      <c r="A54" t="s">
        <v>29</v>
      </c>
      <c r="B54">
        <v>0.25445856088277258</v>
      </c>
      <c r="C54">
        <v>0.25124830579630081</v>
      </c>
      <c r="D54">
        <v>0.25416879027271</v>
      </c>
      <c r="E54">
        <v>0.25062552153550788</v>
      </c>
      <c r="F54">
        <v>0.25902484720270957</v>
      </c>
      <c r="G54">
        <v>0.26053714546007622</v>
      </c>
      <c r="H54">
        <v>0.25402236536761708</v>
      </c>
      <c r="I54">
        <v>0.25081094931168868</v>
      </c>
      <c r="J54">
        <v>0.25398388775378372</v>
      </c>
      <c r="K54">
        <v>0.24742885870417791</v>
      </c>
      <c r="L54">
        <v>0.2466072563665189</v>
      </c>
      <c r="M54">
        <v>0.2484014061033698</v>
      </c>
      <c r="N54">
        <v>0.24929757548748349</v>
      </c>
      <c r="O54">
        <v>0.2446308494552831</v>
      </c>
      <c r="P54">
        <v>0.24584628253035229</v>
      </c>
      <c r="Q54">
        <v>0.24341273649865841</v>
      </c>
      <c r="R54">
        <v>0.2395289091990376</v>
      </c>
      <c r="S54">
        <v>0.23639450144855201</v>
      </c>
      <c r="T54">
        <v>0.236353755848521</v>
      </c>
      <c r="U54">
        <v>0.2358402766727665</v>
      </c>
    </row>
    <row r="56" spans="1:21" x14ac:dyDescent="0.35">
      <c r="A56" t="s">
        <v>34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14</v>
      </c>
      <c r="P56" t="s">
        <v>15</v>
      </c>
      <c r="Q56" t="s">
        <v>16</v>
      </c>
      <c r="R56" t="s">
        <v>17</v>
      </c>
      <c r="S56" t="s">
        <v>18</v>
      </c>
      <c r="T56" t="s">
        <v>19</v>
      </c>
      <c r="U56" t="s">
        <v>20</v>
      </c>
    </row>
    <row r="57" spans="1:21" x14ac:dyDescent="0.35">
      <c r="A57" t="s">
        <v>21</v>
      </c>
      <c r="B57">
        <v>133.82649272373871</v>
      </c>
      <c r="C57">
        <v>135.79140708679569</v>
      </c>
      <c r="D57">
        <v>136.88827448430351</v>
      </c>
      <c r="E57">
        <v>138.64480554234149</v>
      </c>
      <c r="F57">
        <v>140.98026639416949</v>
      </c>
      <c r="G57">
        <v>138.89853917693179</v>
      </c>
      <c r="H57">
        <v>137.96849150772411</v>
      </c>
      <c r="I57">
        <v>139.6086216842555</v>
      </c>
      <c r="J57">
        <v>138.87847227185549</v>
      </c>
      <c r="K57">
        <v>138.55659904733781</v>
      </c>
      <c r="L57">
        <v>140.55916782161449</v>
      </c>
      <c r="M57">
        <v>138.90732547612899</v>
      </c>
      <c r="N57">
        <v>136.99456865853</v>
      </c>
      <c r="O57">
        <v>138.52436288213869</v>
      </c>
      <c r="P57">
        <v>138.28416469593341</v>
      </c>
      <c r="Q57">
        <v>138.93880586417899</v>
      </c>
      <c r="R57">
        <v>140.99742337740111</v>
      </c>
      <c r="S57">
        <v>141.82688513359989</v>
      </c>
      <c r="T57">
        <v>142.86789952047479</v>
      </c>
      <c r="U57">
        <v>144.019621383588</v>
      </c>
    </row>
    <row r="58" spans="1:21" x14ac:dyDescent="0.35">
      <c r="A58" t="s">
        <v>22</v>
      </c>
      <c r="B58">
        <v>-0.1164894278320787</v>
      </c>
      <c r="C58">
        <v>0.45858705234215341</v>
      </c>
      <c r="D58">
        <v>0.73545047533420416</v>
      </c>
      <c r="E58">
        <v>0.72972623616539067</v>
      </c>
      <c r="F58">
        <v>1.4024738281410409</v>
      </c>
      <c r="G58">
        <v>6.6826336251210705E-2</v>
      </c>
      <c r="H58">
        <v>0.92711071506334974</v>
      </c>
      <c r="I58">
        <v>1.225457682681736</v>
      </c>
      <c r="J58">
        <v>0.98991809849948709</v>
      </c>
      <c r="K58">
        <v>2.0486106894816771</v>
      </c>
      <c r="L58">
        <v>2.7330126787944948</v>
      </c>
      <c r="M58">
        <v>2.325799492963057</v>
      </c>
      <c r="N58">
        <v>2.0264174736805098</v>
      </c>
      <c r="O58">
        <v>1.617358875778109</v>
      </c>
      <c r="P58">
        <v>2.2410016852589081</v>
      </c>
      <c r="Q58">
        <v>0.99337514242631642</v>
      </c>
      <c r="R58">
        <v>1.392926675881597</v>
      </c>
      <c r="S58">
        <v>1.583541430143498</v>
      </c>
      <c r="T58">
        <v>2.0797689372392938</v>
      </c>
      <c r="U58">
        <v>1.489552215809169</v>
      </c>
    </row>
    <row r="59" spans="1:21" x14ac:dyDescent="0.35">
      <c r="A59" t="s">
        <v>23</v>
      </c>
      <c r="B59">
        <v>-0.77270068240179401</v>
      </c>
      <c r="C59">
        <v>-1.647761223958486</v>
      </c>
      <c r="D59">
        <v>-1.3000591595396651</v>
      </c>
      <c r="E59">
        <v>-0.98981575127541355</v>
      </c>
      <c r="F59">
        <v>-0.50671693862851797</v>
      </c>
      <c r="G59">
        <v>-0.71908416694452215</v>
      </c>
      <c r="H59">
        <v>-0.2654275421908644</v>
      </c>
      <c r="I59">
        <v>0.44921861715415351</v>
      </c>
      <c r="J59">
        <v>-4.6426529124159607E-2</v>
      </c>
      <c r="K59">
        <v>-2.3184356517172319E-2</v>
      </c>
      <c r="L59">
        <v>0.15599685829325269</v>
      </c>
      <c r="M59">
        <v>1.8753355708237629</v>
      </c>
      <c r="N59">
        <v>2.4394598741141</v>
      </c>
      <c r="O59">
        <v>1.570245594265097</v>
      </c>
      <c r="P59">
        <v>2.3700081979863921</v>
      </c>
      <c r="Q59">
        <v>2.6765999988673119</v>
      </c>
      <c r="R59">
        <v>1.3542453712728599</v>
      </c>
      <c r="S59">
        <v>0.49153649288136919</v>
      </c>
      <c r="T59">
        <v>0.19334076048451221</v>
      </c>
      <c r="U59">
        <v>-2.4958246231669409E-2</v>
      </c>
    </row>
    <row r="60" spans="1:21" x14ac:dyDescent="0.35">
      <c r="A60" t="s">
        <v>24</v>
      </c>
      <c r="B60">
        <v>1.206268407974501</v>
      </c>
      <c r="C60">
        <v>1.1905476253569049</v>
      </c>
      <c r="D60">
        <v>1.666144134923512</v>
      </c>
      <c r="E60">
        <v>1.4753000493820629</v>
      </c>
      <c r="F60">
        <v>2.112295213261155</v>
      </c>
      <c r="G60">
        <v>1.6555311483808151</v>
      </c>
      <c r="H60">
        <v>2.3582243436038239</v>
      </c>
      <c r="I60">
        <v>1.9666196570757071</v>
      </c>
      <c r="J60">
        <v>0.67029590103476999</v>
      </c>
      <c r="K60">
        <v>1.0022958137074041</v>
      </c>
      <c r="L60">
        <v>1.1818149309678041</v>
      </c>
      <c r="M60">
        <v>1.2314359977336251</v>
      </c>
      <c r="N60">
        <v>0.80198288605776136</v>
      </c>
      <c r="O60">
        <v>0.38715200969901181</v>
      </c>
      <c r="P60">
        <v>0.35175892638573369</v>
      </c>
      <c r="Q60">
        <v>0.3156721841894452</v>
      </c>
      <c r="R60">
        <v>-0.31818753656715981</v>
      </c>
      <c r="S60">
        <v>-0.43801521492650869</v>
      </c>
      <c r="T60">
        <v>-0.84709042899295739</v>
      </c>
      <c r="U60">
        <v>-0.2736849991800776</v>
      </c>
    </row>
    <row r="61" spans="1:21" x14ac:dyDescent="0.35">
      <c r="A61" t="s">
        <v>25</v>
      </c>
      <c r="B61">
        <v>-0.75422591521748183</v>
      </c>
      <c r="C61">
        <v>-0.5196200770512166</v>
      </c>
      <c r="D61">
        <v>-0.23529775894930161</v>
      </c>
      <c r="E61">
        <v>-6.0899910703939013E-2</v>
      </c>
      <c r="F61">
        <v>-0.45454979157889008</v>
      </c>
      <c r="G61">
        <v>-0.49064556662123471</v>
      </c>
      <c r="H61">
        <v>0.2209310446818735</v>
      </c>
      <c r="I61">
        <v>0.22860885887920621</v>
      </c>
      <c r="J61">
        <v>-5.6605594260977492E-2</v>
      </c>
      <c r="K61">
        <v>0.1881940757979064</v>
      </c>
      <c r="L61">
        <v>9.3201120315609953E-2</v>
      </c>
      <c r="M61">
        <v>-0.23343394889742819</v>
      </c>
      <c r="N61">
        <v>-0.45182970994531751</v>
      </c>
      <c r="O61">
        <v>-0.49859806219281949</v>
      </c>
      <c r="P61">
        <v>-0.49954677008975151</v>
      </c>
      <c r="Q61">
        <v>-0.50665860751080039</v>
      </c>
      <c r="R61">
        <v>-0.39571847863319298</v>
      </c>
      <c r="S61">
        <v>-0.283990822605171</v>
      </c>
      <c r="T61">
        <v>-0.56526744111432181</v>
      </c>
      <c r="U61">
        <v>-0.31879988517801378</v>
      </c>
    </row>
    <row r="62" spans="1:21" x14ac:dyDescent="0.35">
      <c r="A62" t="s">
        <v>26</v>
      </c>
      <c r="B62">
        <v>133.3893451062618</v>
      </c>
      <c r="C62">
        <v>135.27316046348511</v>
      </c>
      <c r="D62">
        <v>137.7545121760723</v>
      </c>
      <c r="E62">
        <v>139.7991161659096</v>
      </c>
      <c r="F62">
        <v>143.53376870536431</v>
      </c>
      <c r="G62">
        <v>139.4111669279981</v>
      </c>
      <c r="H62">
        <v>141.20933006888231</v>
      </c>
      <c r="I62">
        <v>143.47852650004631</v>
      </c>
      <c r="J62">
        <v>140.4356541480046</v>
      </c>
      <c r="K62">
        <v>141.77251526980751</v>
      </c>
      <c r="L62">
        <v>144.7231934099857</v>
      </c>
      <c r="M62">
        <v>144.10646258875201</v>
      </c>
      <c r="N62">
        <v>141.81059918243699</v>
      </c>
      <c r="O62">
        <v>141.6005212996881</v>
      </c>
      <c r="P62">
        <v>142.74738673547469</v>
      </c>
      <c r="Q62">
        <v>142.4177945821512</v>
      </c>
      <c r="R62">
        <v>143.0306894093552</v>
      </c>
      <c r="S62">
        <v>143.179957019093</v>
      </c>
      <c r="T62">
        <v>143.72865134809129</v>
      </c>
      <c r="U62">
        <v>144.8917304688074</v>
      </c>
    </row>
    <row r="63" spans="1:21" x14ac:dyDescent="0.35">
      <c r="A63" t="s">
        <v>27</v>
      </c>
      <c r="B63">
        <v>18833066.260000002</v>
      </c>
      <c r="C63">
        <v>17036863.449999999</v>
      </c>
      <c r="D63">
        <v>15024681.51</v>
      </c>
      <c r="E63">
        <v>8740821.9899999984</v>
      </c>
      <c r="F63">
        <v>5852876.46</v>
      </c>
      <c r="G63">
        <v>8583699.370000001</v>
      </c>
      <c r="H63">
        <v>14135236.07</v>
      </c>
      <c r="I63">
        <v>13720076.68</v>
      </c>
      <c r="J63">
        <v>21050799.109999999</v>
      </c>
      <c r="K63">
        <v>27386608.93</v>
      </c>
      <c r="L63">
        <v>16663486.48</v>
      </c>
      <c r="M63">
        <v>16054610.880000001</v>
      </c>
      <c r="N63">
        <v>32031519.34</v>
      </c>
      <c r="O63">
        <v>30656278.210000001</v>
      </c>
      <c r="P63">
        <v>34016194.079999998</v>
      </c>
      <c r="Q63">
        <v>34160232.719999999</v>
      </c>
      <c r="R63">
        <v>49954843.320000008</v>
      </c>
      <c r="S63">
        <v>43045372.600000001</v>
      </c>
      <c r="T63">
        <v>27223252.41</v>
      </c>
      <c r="U63">
        <v>2372350.61</v>
      </c>
    </row>
    <row r="64" spans="1:21" x14ac:dyDescent="0.35">
      <c r="A64" t="s">
        <v>28</v>
      </c>
      <c r="B64">
        <v>1.35392928675066</v>
      </c>
      <c r="C64">
        <v>1.3550993905009689</v>
      </c>
      <c r="D64">
        <v>1.3205726807756171</v>
      </c>
      <c r="E64">
        <v>1.334213784572579</v>
      </c>
      <c r="F64">
        <v>1.2897456702581951</v>
      </c>
      <c r="G64">
        <v>1.321323944300534</v>
      </c>
      <c r="H64">
        <v>1.2733605914710171</v>
      </c>
      <c r="I64">
        <v>1.299651727386437</v>
      </c>
      <c r="J64">
        <v>1.3949964470349641</v>
      </c>
      <c r="K64">
        <v>1.3692698006456969</v>
      </c>
      <c r="L64">
        <v>1.3557502424037651</v>
      </c>
      <c r="M64">
        <v>1.3520602547744609</v>
      </c>
      <c r="N64">
        <v>1.384677210273328</v>
      </c>
      <c r="O64">
        <v>1.4177134924828161</v>
      </c>
      <c r="P64">
        <v>1.4206052599380159</v>
      </c>
      <c r="Q64">
        <v>1.4235658736082659</v>
      </c>
      <c r="R64">
        <v>1.477657182277629</v>
      </c>
      <c r="S64">
        <v>1.488348185310244</v>
      </c>
      <c r="T64">
        <v>1.526040859180221</v>
      </c>
      <c r="U64">
        <v>1.4737256830803229</v>
      </c>
    </row>
    <row r="65" spans="1:21" x14ac:dyDescent="0.35">
      <c r="A65" t="s">
        <v>29</v>
      </c>
      <c r="B65">
        <v>0.2457746559316783</v>
      </c>
      <c r="C65">
        <v>0.24242314395787451</v>
      </c>
      <c r="D65">
        <v>0.23836139655641861</v>
      </c>
      <c r="E65">
        <v>0.235869998724342</v>
      </c>
      <c r="F65">
        <v>0.24149356845112699</v>
      </c>
      <c r="G65">
        <v>0.24200922238030331</v>
      </c>
      <c r="H65">
        <v>0.23184384221883039</v>
      </c>
      <c r="I65">
        <v>0.2317341591588685</v>
      </c>
      <c r="J65">
        <v>0.23580865134658541</v>
      </c>
      <c r="K65">
        <v>0.23231151320288701</v>
      </c>
      <c r="L65">
        <v>0.2336685554240627</v>
      </c>
      <c r="M65">
        <v>0.2383347706985347</v>
      </c>
      <c r="N65">
        <v>0.24145471014207601</v>
      </c>
      <c r="O65">
        <v>0.24212282945989741</v>
      </c>
      <c r="P65">
        <v>0.24213638242985361</v>
      </c>
      <c r="Q65">
        <v>0.24223798010729711</v>
      </c>
      <c r="R65">
        <v>0.24065312112333129</v>
      </c>
      <c r="S65">
        <v>0.2390570117515024</v>
      </c>
      <c r="T65">
        <v>0.24307524915877601</v>
      </c>
      <c r="U65">
        <v>0.23955428407397161</v>
      </c>
    </row>
    <row r="67" spans="1:21" x14ac:dyDescent="0.35">
      <c r="A67" t="s">
        <v>35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t="s">
        <v>14</v>
      </c>
      <c r="P67" t="s">
        <v>15</v>
      </c>
      <c r="Q67" t="s">
        <v>16</v>
      </c>
      <c r="R67" t="s">
        <v>17</v>
      </c>
      <c r="S67" t="s">
        <v>18</v>
      </c>
      <c r="T67" t="s">
        <v>19</v>
      </c>
      <c r="U67" t="s">
        <v>20</v>
      </c>
    </row>
    <row r="68" spans="1:21" x14ac:dyDescent="0.35">
      <c r="A68" t="s">
        <v>21</v>
      </c>
      <c r="B68">
        <v>129.33986697515539</v>
      </c>
      <c r="C68">
        <v>131.44573372329489</v>
      </c>
      <c r="D68">
        <v>131.74196172778011</v>
      </c>
      <c r="E68">
        <v>131.31126743673161</v>
      </c>
      <c r="F68">
        <v>132.7533911544499</v>
      </c>
      <c r="G68">
        <v>133.42888773635821</v>
      </c>
      <c r="H68">
        <v>133.7979866091398</v>
      </c>
      <c r="I68">
        <v>135.3100579665855</v>
      </c>
      <c r="J68">
        <v>136.31916880517531</v>
      </c>
      <c r="K68">
        <v>136.9564375339213</v>
      </c>
      <c r="L68">
        <v>136.85138439636381</v>
      </c>
      <c r="M68">
        <v>135.10388202038311</v>
      </c>
      <c r="N68">
        <v>134.60924831017991</v>
      </c>
      <c r="O68">
        <v>136.48016085126349</v>
      </c>
      <c r="P68">
        <v>137.06937836716031</v>
      </c>
      <c r="Q68">
        <v>137.11673505410911</v>
      </c>
      <c r="R68">
        <v>139.62345947600241</v>
      </c>
      <c r="S68">
        <v>141.78304954790929</v>
      </c>
      <c r="T68">
        <v>145.40477425626381</v>
      </c>
      <c r="U68">
        <v>146.14363152979581</v>
      </c>
    </row>
    <row r="69" spans="1:21" x14ac:dyDescent="0.35">
      <c r="A69" t="s">
        <v>22</v>
      </c>
      <c r="B69">
        <v>-0.98183499159938492</v>
      </c>
      <c r="C69">
        <v>-0.86214966989615505</v>
      </c>
      <c r="D69">
        <v>-1.5333865924918371</v>
      </c>
      <c r="E69">
        <v>-1.438953560056746</v>
      </c>
      <c r="F69">
        <v>-1.886424214829191</v>
      </c>
      <c r="G69">
        <v>-1.5226787081358</v>
      </c>
      <c r="H69">
        <v>-1.3563021842635981</v>
      </c>
      <c r="I69">
        <v>-0.34630469091916888</v>
      </c>
      <c r="J69">
        <v>-0.79699853976239865</v>
      </c>
      <c r="K69">
        <v>-0.5973015035057756</v>
      </c>
      <c r="L69">
        <v>-0.76090319670524309</v>
      </c>
      <c r="M69">
        <v>-0.62651592021288138</v>
      </c>
      <c r="N69">
        <v>-1.4023458731788589</v>
      </c>
      <c r="O69">
        <v>-0.77515530936099708</v>
      </c>
      <c r="P69">
        <v>-0.9180961326877366</v>
      </c>
      <c r="Q69">
        <v>-0.46893756708391271</v>
      </c>
      <c r="R69">
        <v>-0.49088020686312461</v>
      </c>
      <c r="S69">
        <v>-0.82173684461272956</v>
      </c>
      <c r="T69">
        <v>-0.45995975321858401</v>
      </c>
      <c r="U69">
        <v>-0.34712121599235962</v>
      </c>
    </row>
    <row r="70" spans="1:21" x14ac:dyDescent="0.35">
      <c r="A70" t="s">
        <v>23</v>
      </c>
      <c r="B70">
        <v>-1.6741890913535811</v>
      </c>
      <c r="C70">
        <v>-1.8911726954467889</v>
      </c>
      <c r="D70">
        <v>-2.6126422777830238</v>
      </c>
      <c r="E70">
        <v>-2.786588735453106</v>
      </c>
      <c r="F70">
        <v>-2.545282828302371</v>
      </c>
      <c r="G70">
        <v>-1.9974525030382679</v>
      </c>
      <c r="H70">
        <v>-1.8103633952360569</v>
      </c>
      <c r="I70">
        <v>-1.1227094699501221</v>
      </c>
      <c r="J70">
        <v>-1.5349403422876491</v>
      </c>
      <c r="K70">
        <v>-1.099909615284212</v>
      </c>
      <c r="L70">
        <v>-0.2017606937667944</v>
      </c>
      <c r="M70">
        <v>2.3353976964302001</v>
      </c>
      <c r="N70">
        <v>3.912628016642254</v>
      </c>
      <c r="O70">
        <v>2.7010934541469731</v>
      </c>
      <c r="P70">
        <v>2.9769778320844118</v>
      </c>
      <c r="Q70">
        <v>3.6589062231737679</v>
      </c>
      <c r="R70">
        <v>3.075778284359783</v>
      </c>
      <c r="S70">
        <v>1.440905104300318</v>
      </c>
      <c r="T70">
        <v>-0.99663611255216167</v>
      </c>
      <c r="U70">
        <v>0.60727274716816881</v>
      </c>
    </row>
    <row r="71" spans="1:21" x14ac:dyDescent="0.35">
      <c r="A71" t="s">
        <v>24</v>
      </c>
      <c r="B71">
        <v>0.69572110400337461</v>
      </c>
      <c r="C71">
        <v>1.2987065381858991</v>
      </c>
      <c r="D71">
        <v>2.061010279002534</v>
      </c>
      <c r="E71">
        <v>1.292113924921543</v>
      </c>
      <c r="F71">
        <v>0.88362944510676433</v>
      </c>
      <c r="G71">
        <v>1.52632099370498</v>
      </c>
      <c r="H71">
        <v>2.6333792309720319</v>
      </c>
      <c r="I71">
        <v>1.852451062120791</v>
      </c>
      <c r="J71">
        <v>1.6878260315049589</v>
      </c>
      <c r="K71">
        <v>1.9745316997804521</v>
      </c>
      <c r="L71">
        <v>1.7360733062225899</v>
      </c>
      <c r="M71">
        <v>1.3716226213051379</v>
      </c>
      <c r="N71">
        <v>1.493008859230202</v>
      </c>
      <c r="O71">
        <v>1.920531889489286</v>
      </c>
      <c r="P71">
        <v>1.82308132919149</v>
      </c>
      <c r="Q71">
        <v>1.6523392791049449</v>
      </c>
      <c r="R71">
        <v>1.44142260162923</v>
      </c>
      <c r="S71">
        <v>1.7679542017151471</v>
      </c>
      <c r="T71">
        <v>1.6856656779434329</v>
      </c>
      <c r="U71">
        <v>2.6830633724957109</v>
      </c>
    </row>
    <row r="72" spans="1:21" x14ac:dyDescent="0.35">
      <c r="A72" t="s">
        <v>25</v>
      </c>
      <c r="B72">
        <v>6.2420176447428033E-3</v>
      </c>
      <c r="C72">
        <v>2.6505681727620471E-3</v>
      </c>
      <c r="D72">
        <v>1.7183805775800309E-2</v>
      </c>
      <c r="E72">
        <v>-0.78963037180576134</v>
      </c>
      <c r="F72">
        <v>-0.17829865645392681</v>
      </c>
      <c r="G72">
        <v>-0.1193570314909187</v>
      </c>
      <c r="H72">
        <v>6.8607640992638663E-2</v>
      </c>
      <c r="I72">
        <v>-5.9600501180190051E-2</v>
      </c>
      <c r="J72">
        <v>-0.21212626600910719</v>
      </c>
      <c r="K72">
        <v>-0.22386640271623151</v>
      </c>
      <c r="L72">
        <v>-0.18673973630918189</v>
      </c>
      <c r="M72">
        <v>-0.22829835307839269</v>
      </c>
      <c r="N72">
        <v>-0.23932585966312869</v>
      </c>
      <c r="O72">
        <v>-0.19870818976623961</v>
      </c>
      <c r="P72">
        <v>-0.1841971935970427</v>
      </c>
      <c r="Q72">
        <v>-0.1802992269603976</v>
      </c>
      <c r="R72">
        <v>-0.16032430169050091</v>
      </c>
      <c r="S72">
        <v>-9.0019963831976801E-2</v>
      </c>
      <c r="T72">
        <v>-0.27074195390229761</v>
      </c>
      <c r="U72">
        <v>0.25742822163178519</v>
      </c>
    </row>
    <row r="73" spans="1:21" x14ac:dyDescent="0.35">
      <c r="A73" t="s">
        <v>26</v>
      </c>
      <c r="B73">
        <v>127.3858060138505</v>
      </c>
      <c r="C73">
        <v>129.99376846431059</v>
      </c>
      <c r="D73">
        <v>129.67412694228361</v>
      </c>
      <c r="E73">
        <v>127.5882086943375</v>
      </c>
      <c r="F73">
        <v>129.02701489997119</v>
      </c>
      <c r="G73">
        <v>131.31572048739821</v>
      </c>
      <c r="H73">
        <v>133.3333079016048</v>
      </c>
      <c r="I73">
        <v>135.63389436665679</v>
      </c>
      <c r="J73">
        <v>135.4629296886211</v>
      </c>
      <c r="K73">
        <v>137.00989171219561</v>
      </c>
      <c r="L73">
        <v>137.43805407580521</v>
      </c>
      <c r="M73">
        <v>137.95608806482721</v>
      </c>
      <c r="N73">
        <v>138.37321345321041</v>
      </c>
      <c r="O73">
        <v>140.1279226957725</v>
      </c>
      <c r="P73">
        <v>140.7671442021514</v>
      </c>
      <c r="Q73">
        <v>141.77874376234351</v>
      </c>
      <c r="R73">
        <v>143.48945585343779</v>
      </c>
      <c r="S73">
        <v>144.08015204548011</v>
      </c>
      <c r="T73">
        <v>145.3631021145342</v>
      </c>
      <c r="U73">
        <v>149.34427465509921</v>
      </c>
    </row>
    <row r="74" spans="1:21" x14ac:dyDescent="0.35">
      <c r="A74" t="s">
        <v>27</v>
      </c>
      <c r="B74">
        <v>75853786.320000008</v>
      </c>
      <c r="C74">
        <v>66477600.520000003</v>
      </c>
      <c r="D74">
        <v>53962810.400000013</v>
      </c>
      <c r="E74">
        <v>61859543.119999997</v>
      </c>
      <c r="F74">
        <v>64664830.329999998</v>
      </c>
      <c r="G74">
        <v>57405625.670000002</v>
      </c>
      <c r="H74">
        <v>72153070.170000002</v>
      </c>
      <c r="I74">
        <v>75628301.539999992</v>
      </c>
      <c r="J74">
        <v>85908333.419999987</v>
      </c>
      <c r="K74">
        <v>75776773.780000001</v>
      </c>
      <c r="L74">
        <v>60205691.200000003</v>
      </c>
      <c r="M74">
        <v>66814013.039999992</v>
      </c>
      <c r="N74">
        <v>108267958.18000001</v>
      </c>
      <c r="O74">
        <v>98567547.920000002</v>
      </c>
      <c r="P74">
        <v>83467858.829999998</v>
      </c>
      <c r="Q74">
        <v>74342272.769999996</v>
      </c>
      <c r="R74">
        <v>80089126.640000001</v>
      </c>
      <c r="S74">
        <v>50668793.509999998</v>
      </c>
      <c r="T74">
        <v>34911042.640000001</v>
      </c>
      <c r="U74">
        <v>3759423.649999999</v>
      </c>
    </row>
    <row r="75" spans="1:21" x14ac:dyDescent="0.35">
      <c r="A75" t="s">
        <v>28</v>
      </c>
      <c r="B75">
        <v>1.3929921168583139</v>
      </c>
      <c r="C75">
        <v>1.347089749133916</v>
      </c>
      <c r="D75">
        <v>1.293215818006995</v>
      </c>
      <c r="E75">
        <v>1.347575250251221</v>
      </c>
      <c r="F75">
        <v>1.378355555602536</v>
      </c>
      <c r="G75">
        <v>1.3305393989651679</v>
      </c>
      <c r="H75">
        <v>1.2555148917571031</v>
      </c>
      <c r="I75">
        <v>1.307522290803232</v>
      </c>
      <c r="J75">
        <v>1.319040532507296</v>
      </c>
      <c r="K75">
        <v>1.2991097956997391</v>
      </c>
      <c r="L75">
        <v>1.3156438703628091</v>
      </c>
      <c r="M75">
        <v>1.341743214963167</v>
      </c>
      <c r="N75">
        <v>1.3329361483378479</v>
      </c>
      <c r="O75">
        <v>1.302817497096556</v>
      </c>
      <c r="P75">
        <v>1.3095624233303349</v>
      </c>
      <c r="Q75">
        <v>1.32155005499036</v>
      </c>
      <c r="R75">
        <v>1.336664775407417</v>
      </c>
      <c r="S75">
        <v>1.313409002124873</v>
      </c>
      <c r="T75">
        <v>1.3191930341072551</v>
      </c>
      <c r="U75">
        <v>1.252345711310612</v>
      </c>
    </row>
    <row r="76" spans="1:21" x14ac:dyDescent="0.35">
      <c r="A76" t="s">
        <v>29</v>
      </c>
      <c r="B76">
        <v>0.2349108283193608</v>
      </c>
      <c r="C76">
        <v>0.2349621347403891</v>
      </c>
      <c r="D76">
        <v>0.2347545170603457</v>
      </c>
      <c r="E76">
        <v>0.24628043388293941</v>
      </c>
      <c r="F76">
        <v>0.23754712366362751</v>
      </c>
      <c r="G76">
        <v>0.23670510044987031</v>
      </c>
      <c r="H76">
        <v>0.23401989084296229</v>
      </c>
      <c r="I76">
        <v>0.23585143573114559</v>
      </c>
      <c r="J76">
        <v>0.23803037522870149</v>
      </c>
      <c r="K76">
        <v>0.2381980914673747</v>
      </c>
      <c r="L76">
        <v>0.23766771051870261</v>
      </c>
      <c r="M76">
        <v>0.238261405043977</v>
      </c>
      <c r="N76">
        <v>0.2384189408523304</v>
      </c>
      <c r="O76">
        <v>0.23783868842523201</v>
      </c>
      <c r="P76">
        <v>0.23763138847995771</v>
      </c>
      <c r="Q76">
        <v>0.23757570324229141</v>
      </c>
      <c r="R76">
        <v>0.23729034716700709</v>
      </c>
      <c r="S76">
        <v>0.23628599948331391</v>
      </c>
      <c r="T76">
        <v>0.23886774219860421</v>
      </c>
      <c r="U76">
        <v>0.2313224539766888</v>
      </c>
    </row>
    <row r="78" spans="1:21" x14ac:dyDescent="0.35">
      <c r="A78" t="s">
        <v>36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14</v>
      </c>
      <c r="P78" t="s">
        <v>15</v>
      </c>
      <c r="Q78" t="s">
        <v>16</v>
      </c>
      <c r="R78" t="s">
        <v>17</v>
      </c>
      <c r="S78" t="s">
        <v>18</v>
      </c>
      <c r="T78" t="s">
        <v>19</v>
      </c>
      <c r="U78" t="s">
        <v>20</v>
      </c>
    </row>
    <row r="79" spans="1:21" x14ac:dyDescent="0.35">
      <c r="A79" t="s">
        <v>21</v>
      </c>
      <c r="B79">
        <v>133.27106309129621</v>
      </c>
      <c r="C79">
        <v>134.75049755869179</v>
      </c>
      <c r="D79">
        <v>136.09634359668911</v>
      </c>
      <c r="E79">
        <v>138.380846398812</v>
      </c>
      <c r="F79">
        <v>140.13811416512101</v>
      </c>
      <c r="G79">
        <v>140.6884099696542</v>
      </c>
      <c r="H79">
        <v>140.51429300874011</v>
      </c>
      <c r="I79">
        <v>140.62876514538769</v>
      </c>
      <c r="J79">
        <v>140.04105235079149</v>
      </c>
      <c r="K79">
        <v>140.86276655444161</v>
      </c>
      <c r="L79">
        <v>140.3163342517596</v>
      </c>
      <c r="M79">
        <v>140.3003529930954</v>
      </c>
      <c r="N79">
        <v>140.04065806947261</v>
      </c>
      <c r="O79">
        <v>140.0239382908353</v>
      </c>
      <c r="P79">
        <v>139.9615990177993</v>
      </c>
      <c r="Q79">
        <v>140.58749397105609</v>
      </c>
      <c r="R79">
        <v>141.8376374366668</v>
      </c>
      <c r="S79">
        <v>142.7744979080459</v>
      </c>
      <c r="T79">
        <v>143.7264084629914</v>
      </c>
      <c r="U79">
        <v>143.7772881306885</v>
      </c>
    </row>
    <row r="80" spans="1:21" x14ac:dyDescent="0.35">
      <c r="A80" t="s">
        <v>22</v>
      </c>
      <c r="B80">
        <v>0.52905383952804641</v>
      </c>
      <c r="C80">
        <v>0.54117398517706761</v>
      </c>
      <c r="D80">
        <v>0.36657491321929569</v>
      </c>
      <c r="E80">
        <v>0.56442547747084859</v>
      </c>
      <c r="F80">
        <v>0.27736582407240462</v>
      </c>
      <c r="G80">
        <v>0.49237457323755512</v>
      </c>
      <c r="H80">
        <v>0.58215719692941548</v>
      </c>
      <c r="I80">
        <v>0.92491949582824873</v>
      </c>
      <c r="J80">
        <v>1.074394349489779</v>
      </c>
      <c r="K80">
        <v>1.9608309831200761</v>
      </c>
      <c r="L80">
        <v>1.585503426073444</v>
      </c>
      <c r="M80">
        <v>1.2255409443730509</v>
      </c>
      <c r="N80">
        <v>0.67526501724361765</v>
      </c>
      <c r="O80">
        <v>1.675591023476898</v>
      </c>
      <c r="P80">
        <v>1.1816530398399721</v>
      </c>
      <c r="Q80">
        <v>0.93354447153546971</v>
      </c>
      <c r="R80">
        <v>-5.6236139904825677E-2</v>
      </c>
      <c r="S80">
        <v>-0.12980709385774961</v>
      </c>
      <c r="T80">
        <v>-0.20186914208034071</v>
      </c>
      <c r="U80">
        <v>-2.2957826914193902E-3</v>
      </c>
    </row>
    <row r="81" spans="1:21" x14ac:dyDescent="0.35">
      <c r="A81" t="s">
        <v>23</v>
      </c>
      <c r="B81">
        <v>0.79531290815720179</v>
      </c>
      <c r="C81">
        <v>0.13041083008382101</v>
      </c>
      <c r="D81">
        <v>-0.32329261491194411</v>
      </c>
      <c r="E81">
        <v>-0.48039298415368781</v>
      </c>
      <c r="F81">
        <v>-0.85704043950893505</v>
      </c>
      <c r="G81">
        <v>-0.25384600177588551</v>
      </c>
      <c r="H81">
        <v>-0.27337199787519628</v>
      </c>
      <c r="I81">
        <v>0.31589973438898572</v>
      </c>
      <c r="J81">
        <v>0.15321496004085219</v>
      </c>
      <c r="K81">
        <v>0.43537271831879237</v>
      </c>
      <c r="L81">
        <v>-0.13768320382378579</v>
      </c>
      <c r="M81">
        <v>-0.29369094625174558</v>
      </c>
      <c r="N81">
        <v>-0.34829579479679401</v>
      </c>
      <c r="O81">
        <v>0.30545346525965578</v>
      </c>
      <c r="P81">
        <v>0.77607784414239334</v>
      </c>
      <c r="Q81">
        <v>0.97680820582354289</v>
      </c>
      <c r="R81">
        <v>0.79311980165865625</v>
      </c>
      <c r="S81">
        <v>0.98662277699943823</v>
      </c>
      <c r="T81">
        <v>0.74862915074049186</v>
      </c>
      <c r="U81">
        <v>0.94195410701202908</v>
      </c>
    </row>
    <row r="82" spans="1:21" x14ac:dyDescent="0.35">
      <c r="A82" t="s">
        <v>24</v>
      </c>
      <c r="B82">
        <v>-0.23700933366267971</v>
      </c>
      <c r="C82">
        <v>0.65157957293909774</v>
      </c>
      <c r="D82">
        <v>-0.59210837441495434</v>
      </c>
      <c r="E82">
        <v>-2.3245040418781779</v>
      </c>
      <c r="F82">
        <v>-2.6598975472044701</v>
      </c>
      <c r="G82">
        <v>-1.331674935738937</v>
      </c>
      <c r="H82">
        <v>-3.6801404224729128</v>
      </c>
      <c r="I82">
        <v>-4.7807761479718289</v>
      </c>
      <c r="J82">
        <v>-4.2409624965869641</v>
      </c>
      <c r="K82">
        <v>-1.0492509006285979</v>
      </c>
      <c r="L82">
        <v>-1.6957903645621699</v>
      </c>
      <c r="M82">
        <v>-1.5997395805034871</v>
      </c>
      <c r="N82">
        <v>-0.87192426336326667</v>
      </c>
      <c r="O82">
        <v>-0.470612032840457</v>
      </c>
      <c r="P82">
        <v>-0.76938834332412831</v>
      </c>
      <c r="Q82">
        <v>-0.4253215305434272</v>
      </c>
      <c r="R82">
        <v>0.14021288152221531</v>
      </c>
      <c r="S82">
        <v>0.84208188468899781</v>
      </c>
      <c r="T82">
        <v>0.72855601793298896</v>
      </c>
      <c r="U82">
        <v>2.1970404242855471E-2</v>
      </c>
    </row>
    <row r="83" spans="1:21" x14ac:dyDescent="0.35">
      <c r="A83" t="s">
        <v>25</v>
      </c>
      <c r="B83">
        <v>0.35020527249352901</v>
      </c>
      <c r="C83">
        <v>0.15753156684211009</v>
      </c>
      <c r="D83">
        <v>0.13898414326996389</v>
      </c>
      <c r="E83">
        <v>0.28663897972008301</v>
      </c>
      <c r="F83">
        <v>-0.23693072456585529</v>
      </c>
      <c r="G83">
        <v>-0.15984687722660099</v>
      </c>
      <c r="H83">
        <v>1.1469803935528249E-2</v>
      </c>
      <c r="I83">
        <v>3.5723292521515882E-3</v>
      </c>
      <c r="J83">
        <v>-0.21811619389542691</v>
      </c>
      <c r="K83">
        <v>0.31172810033447917</v>
      </c>
      <c r="L83">
        <v>0.17954544776180351</v>
      </c>
      <c r="M83">
        <v>0.26275295165810603</v>
      </c>
      <c r="N83">
        <v>-0.1477387207463248</v>
      </c>
      <c r="O83">
        <v>-7.9454770771662048E-2</v>
      </c>
      <c r="P83">
        <v>-4.1766095833408221E-2</v>
      </c>
      <c r="Q83">
        <v>0.69103088351499764</v>
      </c>
      <c r="R83">
        <v>0.43301642730642759</v>
      </c>
      <c r="S83">
        <v>0.68616005542393865</v>
      </c>
      <c r="T83">
        <v>1.049222390865624</v>
      </c>
      <c r="U83">
        <v>0.72142358068034618</v>
      </c>
    </row>
    <row r="84" spans="1:21" x14ac:dyDescent="0.35">
      <c r="A84" t="s">
        <v>26</v>
      </c>
      <c r="B84">
        <v>134.7086257778123</v>
      </c>
      <c r="C84">
        <v>136.2311935137339</v>
      </c>
      <c r="D84">
        <v>135.6865016638514</v>
      </c>
      <c r="E84">
        <v>136.42701382997109</v>
      </c>
      <c r="F84">
        <v>136.66161127791409</v>
      </c>
      <c r="G84">
        <v>139.4354167281503</v>
      </c>
      <c r="H84">
        <v>137.154407589257</v>
      </c>
      <c r="I84">
        <v>137.09238055688519</v>
      </c>
      <c r="J84">
        <v>136.80958296983979</v>
      </c>
      <c r="K84">
        <v>142.52144745558641</v>
      </c>
      <c r="L84">
        <v>140.24790955720891</v>
      </c>
      <c r="M84">
        <v>139.89521636237129</v>
      </c>
      <c r="N84">
        <v>139.34796430780989</v>
      </c>
      <c r="O84">
        <v>141.45491597595969</v>
      </c>
      <c r="P84">
        <v>141.10817546262419</v>
      </c>
      <c r="Q84">
        <v>142.76355600138669</v>
      </c>
      <c r="R84">
        <v>143.1477504072493</v>
      </c>
      <c r="S84">
        <v>145.1595555313005</v>
      </c>
      <c r="T84">
        <v>146.0509468804502</v>
      </c>
      <c r="U84">
        <v>145.46034043993231</v>
      </c>
    </row>
    <row r="85" spans="1:21" x14ac:dyDescent="0.35">
      <c r="A85" t="s">
        <v>27</v>
      </c>
      <c r="B85">
        <v>221595422.65000001</v>
      </c>
      <c r="C85">
        <v>344982597.63999999</v>
      </c>
      <c r="D85">
        <v>282556575.75</v>
      </c>
      <c r="E85">
        <v>213292397.08000001</v>
      </c>
      <c r="F85">
        <v>249650794.19999999</v>
      </c>
      <c r="G85">
        <v>244863497.62</v>
      </c>
      <c r="H85">
        <v>143006845.16999999</v>
      </c>
      <c r="I85">
        <v>116393223.16</v>
      </c>
      <c r="J85">
        <v>281729195.11000001</v>
      </c>
      <c r="K85">
        <v>240081338.97</v>
      </c>
      <c r="L85">
        <v>223912536.50999999</v>
      </c>
      <c r="M85">
        <v>198962480.43000001</v>
      </c>
      <c r="N85">
        <v>296160366.58999997</v>
      </c>
      <c r="O85">
        <v>279454344.88</v>
      </c>
      <c r="P85">
        <v>275253278.70999998</v>
      </c>
      <c r="Q85">
        <v>271385354.69</v>
      </c>
      <c r="R85">
        <v>424269277.13999999</v>
      </c>
      <c r="S85">
        <v>373464544.88</v>
      </c>
      <c r="T85">
        <v>364878253.94</v>
      </c>
      <c r="U85">
        <v>32003730.57</v>
      </c>
    </row>
    <row r="86" spans="1:21" x14ac:dyDescent="0.35">
      <c r="A86" t="s">
        <v>28</v>
      </c>
      <c r="B86">
        <v>1.604540541468787</v>
      </c>
      <c r="C86">
        <v>1.551350678346513</v>
      </c>
      <c r="D86">
        <v>1.6268305286378979</v>
      </c>
      <c r="E86">
        <v>1.7451012784666871</v>
      </c>
      <c r="F86">
        <v>1.7700138908476</v>
      </c>
      <c r="G86">
        <v>1.675301286870519</v>
      </c>
      <c r="H86">
        <v>1.8503675309125081</v>
      </c>
      <c r="I86">
        <v>1.9456547596197451</v>
      </c>
      <c r="J86">
        <v>1.897724463609765</v>
      </c>
      <c r="K86">
        <v>1.6564543250019399</v>
      </c>
      <c r="L86">
        <v>1.7002420692341049</v>
      </c>
      <c r="M86">
        <v>1.693591060232752</v>
      </c>
      <c r="N86">
        <v>1.644836004349395</v>
      </c>
      <c r="O86">
        <v>1.619134692643881</v>
      </c>
      <c r="P86">
        <v>1.638191987200069</v>
      </c>
      <c r="Q86">
        <v>1.616284493318811</v>
      </c>
      <c r="R86">
        <v>1.5815213363855141</v>
      </c>
      <c r="S86">
        <v>1.5404032536038661</v>
      </c>
      <c r="T86">
        <v>1.546908461486767</v>
      </c>
      <c r="U86">
        <v>1.588665449741802</v>
      </c>
    </row>
    <row r="87" spans="1:21" x14ac:dyDescent="0.35">
      <c r="A87" t="s">
        <v>29</v>
      </c>
      <c r="B87">
        <v>0.2467480938982744</v>
      </c>
      <c r="C87">
        <v>0.24853720687932329</v>
      </c>
      <c r="D87">
        <v>0.24870943295535031</v>
      </c>
      <c r="E87">
        <v>0.24733835233117071</v>
      </c>
      <c r="F87">
        <v>0.2522000710138258</v>
      </c>
      <c r="G87">
        <v>0.25148429243138992</v>
      </c>
      <c r="H87">
        <v>0.2498934946777415</v>
      </c>
      <c r="I87">
        <v>0.24996682837122999</v>
      </c>
      <c r="J87">
        <v>0.25202536465760039</v>
      </c>
      <c r="K87">
        <v>0.24710538192546561</v>
      </c>
      <c r="L87">
        <v>0.24833279227078331</v>
      </c>
      <c r="M87">
        <v>0.2475601511631747</v>
      </c>
      <c r="N87">
        <v>0.2513718595497873</v>
      </c>
      <c r="O87">
        <v>0.25073779430002258</v>
      </c>
      <c r="P87">
        <v>0.25038782803273879</v>
      </c>
      <c r="Q87">
        <v>0.24358328465307499</v>
      </c>
      <c r="R87">
        <v>0.24597913317501169</v>
      </c>
      <c r="S87">
        <v>0.2436285137710634</v>
      </c>
      <c r="T87">
        <v>0.2402572206562478</v>
      </c>
      <c r="U87">
        <v>0.24330106675082541</v>
      </c>
    </row>
    <row r="89" spans="1:21" x14ac:dyDescent="0.35">
      <c r="A89" t="s">
        <v>37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12</v>
      </c>
      <c r="N89" t="s">
        <v>13</v>
      </c>
      <c r="O89" t="s">
        <v>14</v>
      </c>
      <c r="P89" t="s">
        <v>15</v>
      </c>
      <c r="Q89" t="s">
        <v>16</v>
      </c>
      <c r="R89" t="s">
        <v>17</v>
      </c>
      <c r="S89" t="s">
        <v>18</v>
      </c>
      <c r="T89" t="s">
        <v>19</v>
      </c>
      <c r="U89" t="s">
        <v>20</v>
      </c>
    </row>
    <row r="90" spans="1:21" x14ac:dyDescent="0.35">
      <c r="A90" t="s">
        <v>21</v>
      </c>
      <c r="B90">
        <v>134.13792271324161</v>
      </c>
      <c r="C90">
        <v>136.48513715064641</v>
      </c>
      <c r="D90">
        <v>137.3034500555637</v>
      </c>
      <c r="E90">
        <v>138.58167474636281</v>
      </c>
      <c r="F90">
        <v>139.4665782436729</v>
      </c>
      <c r="G90">
        <v>138.79851023084851</v>
      </c>
      <c r="H90">
        <v>138.838516025367</v>
      </c>
      <c r="I90">
        <v>138.2688352008966</v>
      </c>
      <c r="J90">
        <v>137.77888530753569</v>
      </c>
      <c r="K90">
        <v>138.99780157191691</v>
      </c>
      <c r="L90">
        <v>140.2920738367194</v>
      </c>
      <c r="M90">
        <v>138.92809941398929</v>
      </c>
      <c r="N90">
        <v>138.40625534946099</v>
      </c>
      <c r="O90">
        <v>139.35682284912721</v>
      </c>
      <c r="P90">
        <v>139.77473394781649</v>
      </c>
      <c r="Q90">
        <v>140.57592598776071</v>
      </c>
      <c r="R90">
        <v>141.69597810119629</v>
      </c>
      <c r="S90">
        <v>142.0783448039561</v>
      </c>
      <c r="T90">
        <v>142.47757682101729</v>
      </c>
      <c r="U90">
        <v>142.71006138051479</v>
      </c>
    </row>
    <row r="91" spans="1:21" x14ac:dyDescent="0.35">
      <c r="A91" t="s">
        <v>22</v>
      </c>
      <c r="B91">
        <v>-0.106521963160747</v>
      </c>
      <c r="C91">
        <v>0.46699537556313592</v>
      </c>
      <c r="D91">
        <v>0.33432674276382168</v>
      </c>
      <c r="E91">
        <v>0.41794923307492438</v>
      </c>
      <c r="F91">
        <v>0.38696495567034123</v>
      </c>
      <c r="G91">
        <v>0.31627215782039009</v>
      </c>
      <c r="H91">
        <v>0.56876580518177133</v>
      </c>
      <c r="I91">
        <v>0.24832628875068269</v>
      </c>
      <c r="J91">
        <v>-1.0509989416418279E-2</v>
      </c>
      <c r="K91">
        <v>0.5966299616608215</v>
      </c>
      <c r="L91">
        <v>0.7954927010517846</v>
      </c>
      <c r="M91">
        <v>0.24672208333648099</v>
      </c>
      <c r="N91">
        <v>0.37675976534233308</v>
      </c>
      <c r="O91">
        <v>0.70982980516938787</v>
      </c>
      <c r="P91">
        <v>1.031595835352862</v>
      </c>
      <c r="Q91">
        <v>1.1195089935263329</v>
      </c>
      <c r="R91">
        <v>1.264255057618328</v>
      </c>
      <c r="S91">
        <v>1.525839470944333</v>
      </c>
      <c r="T91">
        <v>1.6680160610337049</v>
      </c>
      <c r="U91">
        <v>1.6974716467589359</v>
      </c>
    </row>
    <row r="92" spans="1:21" x14ac:dyDescent="0.35">
      <c r="A92" t="s">
        <v>23</v>
      </c>
      <c r="B92">
        <v>-1.337309075672749</v>
      </c>
      <c r="C92">
        <v>-1.3985416205437029</v>
      </c>
      <c r="D92">
        <v>-1.5270890804885511</v>
      </c>
      <c r="E92">
        <v>-1.2173913914812751</v>
      </c>
      <c r="F92">
        <v>-1.3100692250689421</v>
      </c>
      <c r="G92">
        <v>-1.079815118317027</v>
      </c>
      <c r="H92">
        <v>-1.019377094149166</v>
      </c>
      <c r="I92">
        <v>-0.89509799831222503</v>
      </c>
      <c r="J92">
        <v>-0.88303977647124288</v>
      </c>
      <c r="K92">
        <v>-0.1940200492520143</v>
      </c>
      <c r="L92">
        <v>0.56838727383540166</v>
      </c>
      <c r="M92">
        <v>1.7977152609965461</v>
      </c>
      <c r="N92">
        <v>1.6949350429467149</v>
      </c>
      <c r="O92">
        <v>2.1017752224726971</v>
      </c>
      <c r="P92">
        <v>2.7077721235696748</v>
      </c>
      <c r="Q92">
        <v>3.5285887583274551</v>
      </c>
      <c r="R92">
        <v>2.5979008268077171</v>
      </c>
      <c r="S92">
        <v>3.020878453164511</v>
      </c>
      <c r="T92">
        <v>3.175336500429601</v>
      </c>
      <c r="U92">
        <v>2.5041395360866519</v>
      </c>
    </row>
    <row r="93" spans="1:21" x14ac:dyDescent="0.35">
      <c r="A93" t="s">
        <v>24</v>
      </c>
      <c r="B93">
        <v>3.1884533314364409</v>
      </c>
      <c r="C93">
        <v>3.209447624854886</v>
      </c>
      <c r="D93">
        <v>2.9769900073077542</v>
      </c>
      <c r="E93">
        <v>2.8698399133104591</v>
      </c>
      <c r="F93">
        <v>2.5941820685520072</v>
      </c>
      <c r="G93">
        <v>3.7829739313581321</v>
      </c>
      <c r="H93">
        <v>4.4335249580947584</v>
      </c>
      <c r="I93">
        <v>4.8137139980307779</v>
      </c>
      <c r="J93">
        <v>4.0564881021842156</v>
      </c>
      <c r="K93">
        <v>4.4202260397436666</v>
      </c>
      <c r="L93">
        <v>4.8253661314288259</v>
      </c>
      <c r="M93">
        <v>4.7446696767388286</v>
      </c>
      <c r="N93">
        <v>4.3892218096951794</v>
      </c>
      <c r="O93">
        <v>5.2000789733136239</v>
      </c>
      <c r="P93">
        <v>5.0184721652504072</v>
      </c>
      <c r="Q93">
        <v>4.9607217772427914</v>
      </c>
      <c r="R93">
        <v>4.1232736776207712</v>
      </c>
      <c r="S93">
        <v>4.3044336436577408</v>
      </c>
      <c r="T93">
        <v>4.2046585595353179</v>
      </c>
      <c r="U93">
        <v>4.3802711400703602</v>
      </c>
    </row>
    <row r="94" spans="1:21" x14ac:dyDescent="0.35">
      <c r="A94" t="s">
        <v>25</v>
      </c>
      <c r="B94">
        <v>-0.40642509119888143</v>
      </c>
      <c r="C94">
        <v>-0.26111947408918113</v>
      </c>
      <c r="D94">
        <v>-0.27602023008059401</v>
      </c>
      <c r="E94">
        <v>-0.23922750808232809</v>
      </c>
      <c r="F94">
        <v>-0.50077711384103807</v>
      </c>
      <c r="G94">
        <v>-0.59408585344528753</v>
      </c>
      <c r="H94">
        <v>-0.26010996235554712</v>
      </c>
      <c r="I94">
        <v>-5.3665533672626262E-2</v>
      </c>
      <c r="J94">
        <v>-0.14732051186480169</v>
      </c>
      <c r="K94">
        <v>7.8520900216555084E-2</v>
      </c>
      <c r="L94">
        <v>-1.6377209550242331E-2</v>
      </c>
      <c r="M94">
        <v>-0.24130112510929691</v>
      </c>
      <c r="N94">
        <v>-0.27879495314196379</v>
      </c>
      <c r="O94">
        <v>-6.5513537796116184E-2</v>
      </c>
      <c r="P94">
        <v>-8.1450956299411834E-2</v>
      </c>
      <c r="Q94">
        <v>-0.12775367954292249</v>
      </c>
      <c r="R94">
        <v>5.925755252193169E-2</v>
      </c>
      <c r="S94">
        <v>0.28912803726159869</v>
      </c>
      <c r="T94">
        <v>0.35456988485886032</v>
      </c>
      <c r="U94">
        <v>0.37249325755732599</v>
      </c>
    </row>
    <row r="95" spans="1:21" x14ac:dyDescent="0.35">
      <c r="A95" t="s">
        <v>26</v>
      </c>
      <c r="B95">
        <v>135.47611991464569</v>
      </c>
      <c r="C95">
        <v>138.50191905643149</v>
      </c>
      <c r="D95">
        <v>138.8116574950661</v>
      </c>
      <c r="E95">
        <v>140.41284499318459</v>
      </c>
      <c r="F95">
        <v>140.63687892898531</v>
      </c>
      <c r="G95">
        <v>141.22385534826469</v>
      </c>
      <c r="H95">
        <v>142.56131973213891</v>
      </c>
      <c r="I95">
        <v>142.3821119556932</v>
      </c>
      <c r="J95">
        <v>140.79450313196739</v>
      </c>
      <c r="K95">
        <v>143.89915842428599</v>
      </c>
      <c r="L95">
        <v>146.4649427334852</v>
      </c>
      <c r="M95">
        <v>145.47590530995191</v>
      </c>
      <c r="N95">
        <v>144.58837701430329</v>
      </c>
      <c r="O95">
        <v>147.30299331228679</v>
      </c>
      <c r="P95">
        <v>148.45112311569011</v>
      </c>
      <c r="Q95">
        <v>150.05699183731431</v>
      </c>
      <c r="R95">
        <v>149.74066521576509</v>
      </c>
      <c r="S95">
        <v>151.21862440898431</v>
      </c>
      <c r="T95">
        <v>151.88015782687481</v>
      </c>
      <c r="U95">
        <v>151.6644369609881</v>
      </c>
    </row>
    <row r="96" spans="1:21" x14ac:dyDescent="0.35">
      <c r="A96" t="s">
        <v>27</v>
      </c>
      <c r="B96">
        <v>156217840.66999999</v>
      </c>
      <c r="C96">
        <v>152585442.88</v>
      </c>
      <c r="D96">
        <v>128039324.81</v>
      </c>
      <c r="E96">
        <v>73771245.549999997</v>
      </c>
      <c r="F96">
        <v>52381880.869999997</v>
      </c>
      <c r="G96">
        <v>64627923.100000009</v>
      </c>
      <c r="H96">
        <v>106920648.81</v>
      </c>
      <c r="I96">
        <v>155798762.94</v>
      </c>
      <c r="J96">
        <v>218545717.40000001</v>
      </c>
      <c r="K96">
        <v>264170949.65000001</v>
      </c>
      <c r="L96">
        <v>190962727.00999999</v>
      </c>
      <c r="M96">
        <v>195746759.22</v>
      </c>
      <c r="N96">
        <v>303507320.24999988</v>
      </c>
      <c r="O96">
        <v>331121790.5</v>
      </c>
      <c r="P96">
        <v>280313307.66000003</v>
      </c>
      <c r="Q96">
        <v>234256932.96000001</v>
      </c>
      <c r="R96">
        <v>332272113.18000001</v>
      </c>
      <c r="S96">
        <v>357611109.56000012</v>
      </c>
      <c r="T96">
        <v>283116324.30000001</v>
      </c>
      <c r="U96">
        <v>26679515.670000002</v>
      </c>
    </row>
    <row r="97" spans="1:21" x14ac:dyDescent="0.35">
      <c r="A97" t="s">
        <v>28</v>
      </c>
      <c r="B97">
        <v>1.582107568906661</v>
      </c>
      <c r="C97">
        <v>1.5860263253809941</v>
      </c>
      <c r="D97">
        <v>1.6029707412325549</v>
      </c>
      <c r="E97">
        <v>1.6168497244095079</v>
      </c>
      <c r="F97">
        <v>1.644170116000458</v>
      </c>
      <c r="G97">
        <v>1.5349107880396251</v>
      </c>
      <c r="H97">
        <v>1.4884777438162691</v>
      </c>
      <c r="I97">
        <v>1.481994587436577</v>
      </c>
      <c r="J97">
        <v>1.5305727808141709</v>
      </c>
      <c r="K97">
        <v>1.500036676515212</v>
      </c>
      <c r="L97">
        <v>1.4773640118315119</v>
      </c>
      <c r="M97">
        <v>1.4851497242317979</v>
      </c>
      <c r="N97">
        <v>1.499834198934054</v>
      </c>
      <c r="O97">
        <v>1.452106139266143</v>
      </c>
      <c r="P97">
        <v>1.4533091876669131</v>
      </c>
      <c r="Q97">
        <v>1.447225786848739</v>
      </c>
      <c r="R97">
        <v>1.5023459389318601</v>
      </c>
      <c r="S97">
        <v>1.5024416496733759</v>
      </c>
      <c r="T97">
        <v>1.518822229284259</v>
      </c>
      <c r="U97">
        <v>1.509118792309146</v>
      </c>
    </row>
    <row r="98" spans="1:21" x14ac:dyDescent="0.35">
      <c r="A98" t="s">
        <v>29</v>
      </c>
      <c r="B98">
        <v>0.25399772617708571</v>
      </c>
      <c r="C98">
        <v>0.2520554595100114</v>
      </c>
      <c r="D98">
        <v>0.25218298204610778</v>
      </c>
      <c r="E98">
        <v>0.25164025351775049</v>
      </c>
      <c r="F98">
        <v>0.2554779374915353</v>
      </c>
      <c r="G98">
        <v>0.25649468286051108</v>
      </c>
      <c r="H98">
        <v>0.25173281082851667</v>
      </c>
      <c r="I98">
        <v>0.24944570834827329</v>
      </c>
      <c r="J98">
        <v>0.25065974609718161</v>
      </c>
      <c r="K98">
        <v>0.24732322248043981</v>
      </c>
      <c r="L98">
        <v>0.24892505393722961</v>
      </c>
      <c r="M98">
        <v>0.25221690018071802</v>
      </c>
      <c r="N98">
        <v>0.25239971683518198</v>
      </c>
      <c r="O98">
        <v>0.24954716134733509</v>
      </c>
      <c r="P98">
        <v>0.24934332576852231</v>
      </c>
      <c r="Q98">
        <v>0.24963769578392589</v>
      </c>
      <c r="R98">
        <v>0.24689831596183959</v>
      </c>
      <c r="S98">
        <v>0.24406406107210171</v>
      </c>
      <c r="T98">
        <v>0.24349238021519001</v>
      </c>
      <c r="U98">
        <v>0.24334486320826831</v>
      </c>
    </row>
    <row r="100" spans="1:21" x14ac:dyDescent="0.35">
      <c r="A100" t="s">
        <v>38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t="s">
        <v>13</v>
      </c>
      <c r="O100" t="s">
        <v>14</v>
      </c>
      <c r="P100" t="s">
        <v>15</v>
      </c>
      <c r="Q100" t="s">
        <v>16</v>
      </c>
      <c r="R100" t="s">
        <v>17</v>
      </c>
      <c r="S100" t="s">
        <v>18</v>
      </c>
      <c r="T100" t="s">
        <v>19</v>
      </c>
      <c r="U100" t="s">
        <v>20</v>
      </c>
    </row>
    <row r="101" spans="1:21" x14ac:dyDescent="0.35">
      <c r="A101" t="s">
        <v>21</v>
      </c>
      <c r="B101">
        <v>132.5696539014582</v>
      </c>
      <c r="C101">
        <v>134.9558630079016</v>
      </c>
      <c r="D101">
        <v>135.65449390552891</v>
      </c>
      <c r="E101">
        <v>135.26573093389729</v>
      </c>
      <c r="F101">
        <v>135.75774183428089</v>
      </c>
      <c r="G101">
        <v>136.27259385772979</v>
      </c>
      <c r="H101">
        <v>136.8075665664818</v>
      </c>
      <c r="I101">
        <v>137.30193317770861</v>
      </c>
      <c r="J101">
        <v>137.36699454226019</v>
      </c>
      <c r="K101">
        <v>138.54276695850919</v>
      </c>
      <c r="L101">
        <v>139.46733206608829</v>
      </c>
      <c r="M101">
        <v>137.95494828937581</v>
      </c>
      <c r="N101">
        <v>137.4079093562157</v>
      </c>
      <c r="O101">
        <v>138.69693791838469</v>
      </c>
      <c r="P101">
        <v>139.15400297411071</v>
      </c>
      <c r="Q101">
        <v>139.74259877505861</v>
      </c>
      <c r="R101">
        <v>141.2934518921148</v>
      </c>
      <c r="S101">
        <v>142.0416977531446</v>
      </c>
      <c r="T101">
        <v>142.79890613132429</v>
      </c>
      <c r="U101">
        <v>143.13413150619951</v>
      </c>
    </row>
    <row r="102" spans="1:21" x14ac:dyDescent="0.35">
      <c r="A102" t="s">
        <v>22</v>
      </c>
      <c r="B102">
        <v>-0.39262245844084231</v>
      </c>
      <c r="C102">
        <v>6.3648594683070867E-2</v>
      </c>
      <c r="D102">
        <v>-0.21944181866355569</v>
      </c>
      <c r="E102">
        <v>-0.4289614096174032</v>
      </c>
      <c r="F102">
        <v>-0.86901501572087281</v>
      </c>
      <c r="G102">
        <v>-0.54878606674674724</v>
      </c>
      <c r="H102">
        <v>-0.20688997789818819</v>
      </c>
      <c r="I102">
        <v>5.4006185626427949E-2</v>
      </c>
      <c r="J102">
        <v>-0.232434842878399</v>
      </c>
      <c r="K102">
        <v>0.33049411691414321</v>
      </c>
      <c r="L102">
        <v>0.4224207540565964</v>
      </c>
      <c r="M102">
        <v>2.450863212681147E-2</v>
      </c>
      <c r="N102">
        <v>-9.1019979968334636E-2</v>
      </c>
      <c r="O102">
        <v>0.36918523163824368</v>
      </c>
      <c r="P102">
        <v>0.5842482842946598</v>
      </c>
      <c r="Q102">
        <v>0.73684848988014573</v>
      </c>
      <c r="R102">
        <v>0.92337129626203784</v>
      </c>
      <c r="S102">
        <v>1.234498019436411</v>
      </c>
      <c r="T102">
        <v>1.4344202698819759</v>
      </c>
      <c r="U102">
        <v>1.444950010507374</v>
      </c>
    </row>
    <row r="103" spans="1:21" x14ac:dyDescent="0.35">
      <c r="A103" t="s">
        <v>23</v>
      </c>
      <c r="B103">
        <v>-1.4474200145081679</v>
      </c>
      <c r="C103">
        <v>-1.548037086747682</v>
      </c>
      <c r="D103">
        <v>-1.8489506965466509</v>
      </c>
      <c r="E103">
        <v>-1.9330830992054939</v>
      </c>
      <c r="F103">
        <v>-1.9924880410740651</v>
      </c>
      <c r="G103">
        <v>-1.511479596971075</v>
      </c>
      <c r="H103">
        <v>-1.338084330537133</v>
      </c>
      <c r="I103">
        <v>-0.96947939812677297</v>
      </c>
      <c r="J103">
        <v>-1.066987702320825</v>
      </c>
      <c r="K103">
        <v>-0.3959492989091879</v>
      </c>
      <c r="L103">
        <v>0.38378090076425347</v>
      </c>
      <c r="M103">
        <v>1.9345396652791049</v>
      </c>
      <c r="N103">
        <v>2.2780324329785091</v>
      </c>
      <c r="O103">
        <v>2.2392543806410168</v>
      </c>
      <c r="P103">
        <v>2.769540093284391</v>
      </c>
      <c r="Q103">
        <v>3.5599825413910948</v>
      </c>
      <c r="R103">
        <v>2.6907145651527542</v>
      </c>
      <c r="S103">
        <v>2.8247988941097089</v>
      </c>
      <c r="T103">
        <v>2.7173636058761681</v>
      </c>
      <c r="U103">
        <v>2.26986311166229</v>
      </c>
    </row>
    <row r="104" spans="1:21" x14ac:dyDescent="0.35">
      <c r="A104" t="s">
        <v>24</v>
      </c>
      <c r="B104">
        <v>2.3736911815557349</v>
      </c>
      <c r="C104">
        <v>2.6296077728868119</v>
      </c>
      <c r="D104">
        <v>2.7054061582955131</v>
      </c>
      <c r="E104">
        <v>2.1502583952249839</v>
      </c>
      <c r="F104">
        <v>1.649152566812166</v>
      </c>
      <c r="G104">
        <v>2.7214250776885649</v>
      </c>
      <c r="H104">
        <v>3.7082033324249508</v>
      </c>
      <c r="I104">
        <v>3.8459996697198799</v>
      </c>
      <c r="J104">
        <v>3.388118571940955</v>
      </c>
      <c r="K104">
        <v>3.875063316297513</v>
      </c>
      <c r="L104">
        <v>4.0848549987543556</v>
      </c>
      <c r="M104">
        <v>3.8863281659090569</v>
      </c>
      <c r="N104">
        <v>3.6277213529487899</v>
      </c>
      <c r="O104">
        <v>4.4477751914013428</v>
      </c>
      <c r="P104">
        <v>4.285304932366258</v>
      </c>
      <c r="Q104">
        <v>4.1637246705190396</v>
      </c>
      <c r="R104">
        <v>3.6024024372770769</v>
      </c>
      <c r="S104">
        <v>3.9896487323266672</v>
      </c>
      <c r="T104">
        <v>3.9281393758397152</v>
      </c>
      <c r="U104">
        <v>4.1706540127024727</v>
      </c>
    </row>
    <row r="105" spans="1:21" x14ac:dyDescent="0.35">
      <c r="A105" t="s">
        <v>25</v>
      </c>
      <c r="B105">
        <v>-0.27154275723366428</v>
      </c>
      <c r="C105">
        <v>-0.18107493884269879</v>
      </c>
      <c r="D105">
        <v>-0.18908655879603831</v>
      </c>
      <c r="E105">
        <v>-0.49025951944010149</v>
      </c>
      <c r="F105">
        <v>-0.32261734738347631</v>
      </c>
      <c r="G105">
        <v>-0.37076935300297581</v>
      </c>
      <c r="H105">
        <v>-0.12766180393457391</v>
      </c>
      <c r="I105">
        <v>-5.5605028144894118E-2</v>
      </c>
      <c r="J105">
        <v>-0.16560686515709239</v>
      </c>
      <c r="K105">
        <v>1.1116612236375681E-2</v>
      </c>
      <c r="L105">
        <v>-5.7213528667102123E-2</v>
      </c>
      <c r="M105">
        <v>-0.2379923011271344</v>
      </c>
      <c r="N105">
        <v>-0.26841735549097839</v>
      </c>
      <c r="O105">
        <v>-9.6067403267919543E-2</v>
      </c>
      <c r="P105">
        <v>-0.1050255918772217</v>
      </c>
      <c r="Q105">
        <v>-0.14041202521078741</v>
      </c>
      <c r="R105">
        <v>1.6610190860243849E-2</v>
      </c>
      <c r="S105">
        <v>0.24207460251576479</v>
      </c>
      <c r="T105">
        <v>0.2859270869879269</v>
      </c>
      <c r="U105">
        <v>0.35828191422505862</v>
      </c>
    </row>
    <row r="106" spans="1:21" x14ac:dyDescent="0.35">
      <c r="A106" t="s">
        <v>26</v>
      </c>
      <c r="B106">
        <v>132.83175985283131</v>
      </c>
      <c r="C106">
        <v>135.9200073498811</v>
      </c>
      <c r="D106">
        <v>136.1024209898182</v>
      </c>
      <c r="E106">
        <v>134.56368530085931</v>
      </c>
      <c r="F106">
        <v>134.22277399691461</v>
      </c>
      <c r="G106">
        <v>136.56298391869751</v>
      </c>
      <c r="H106">
        <v>138.8431337865369</v>
      </c>
      <c r="I106">
        <v>140.17685460678319</v>
      </c>
      <c r="J106">
        <v>139.29008370384491</v>
      </c>
      <c r="K106">
        <v>142.36349170504801</v>
      </c>
      <c r="L106">
        <v>144.3011751909963</v>
      </c>
      <c r="M106">
        <v>143.56233245156369</v>
      </c>
      <c r="N106">
        <v>142.95422580668381</v>
      </c>
      <c r="O106">
        <v>145.65708531879741</v>
      </c>
      <c r="P106">
        <v>146.6880706921788</v>
      </c>
      <c r="Q106">
        <v>148.06274245163809</v>
      </c>
      <c r="R106">
        <v>148.52655038166691</v>
      </c>
      <c r="S106">
        <v>150.33271800153321</v>
      </c>
      <c r="T106">
        <v>151.16475646991009</v>
      </c>
      <c r="U106">
        <v>151.37788055529671</v>
      </c>
    </row>
    <row r="107" spans="1:21" x14ac:dyDescent="0.35">
      <c r="A107" t="s">
        <v>27</v>
      </c>
      <c r="B107">
        <v>232071626.99000001</v>
      </c>
      <c r="C107">
        <v>219063043.40000001</v>
      </c>
      <c r="D107">
        <v>182002135.21000001</v>
      </c>
      <c r="E107">
        <v>135630788.66999999</v>
      </c>
      <c r="F107">
        <v>117046711.2</v>
      </c>
      <c r="G107">
        <v>122033548.77</v>
      </c>
      <c r="H107">
        <v>179073718.97999999</v>
      </c>
      <c r="I107">
        <v>231427064.47999999</v>
      </c>
      <c r="J107">
        <v>304454050.82000011</v>
      </c>
      <c r="K107">
        <v>339947723.43000001</v>
      </c>
      <c r="L107">
        <v>251168418.21000001</v>
      </c>
      <c r="M107">
        <v>262560772.25999999</v>
      </c>
      <c r="N107">
        <v>411775278.42999989</v>
      </c>
      <c r="O107">
        <v>429689338.42000002</v>
      </c>
      <c r="P107">
        <v>363781166.48999989</v>
      </c>
      <c r="Q107">
        <v>308599205.73000002</v>
      </c>
      <c r="R107">
        <v>412361239.81999999</v>
      </c>
      <c r="S107">
        <v>408279903.07000011</v>
      </c>
      <c r="T107">
        <v>318027366.94</v>
      </c>
      <c r="U107">
        <v>30438939.32</v>
      </c>
    </row>
    <row r="108" spans="1:21" x14ac:dyDescent="0.35">
      <c r="A108" t="s">
        <v>28</v>
      </c>
      <c r="B108">
        <v>1.5202942258644989</v>
      </c>
      <c r="C108">
        <v>1.513517836414344</v>
      </c>
      <c r="D108">
        <v>1.5111298066567</v>
      </c>
      <c r="E108">
        <v>1.4940369316162869</v>
      </c>
      <c r="F108">
        <v>1.4973154690723249</v>
      </c>
      <c r="G108">
        <v>1.438772737666461</v>
      </c>
      <c r="H108">
        <v>1.3946114573093931</v>
      </c>
      <c r="I108">
        <v>1.4249785962870061</v>
      </c>
      <c r="J108">
        <v>1.4708843553598709</v>
      </c>
      <c r="K108">
        <v>1.4552486407541481</v>
      </c>
      <c r="L108">
        <v>1.438599293848758</v>
      </c>
      <c r="M108">
        <v>1.44865697515195</v>
      </c>
      <c r="N108">
        <v>1.45595174141701</v>
      </c>
      <c r="O108">
        <v>1.417860431785779</v>
      </c>
      <c r="P108">
        <v>1.4203271761222209</v>
      </c>
      <c r="Q108">
        <v>1.416950208153442</v>
      </c>
      <c r="R108">
        <v>1.4701672121117451</v>
      </c>
      <c r="S108">
        <v>1.4789821158749621</v>
      </c>
      <c r="T108">
        <v>1.4969081927280019</v>
      </c>
      <c r="U108">
        <v>1.4774055061383959</v>
      </c>
    </row>
    <row r="109" spans="1:21" x14ac:dyDescent="0.35">
      <c r="A109" t="s">
        <v>29</v>
      </c>
      <c r="B109">
        <v>0.24775907697041669</v>
      </c>
      <c r="C109">
        <v>0.24686826226324129</v>
      </c>
      <c r="D109">
        <v>0.24701552095833229</v>
      </c>
      <c r="E109">
        <v>0.2491957053656218</v>
      </c>
      <c r="F109">
        <v>0.24557169559910641</v>
      </c>
      <c r="G109">
        <v>0.24718549394089709</v>
      </c>
      <c r="H109">
        <v>0.24459585312242221</v>
      </c>
      <c r="I109">
        <v>0.24500322124757401</v>
      </c>
      <c r="J109">
        <v>0.24709609437196381</v>
      </c>
      <c r="K109">
        <v>0.24528916565101591</v>
      </c>
      <c r="L109">
        <v>0.24622664087073681</v>
      </c>
      <c r="M109">
        <v>0.2486656361208967</v>
      </c>
      <c r="N109">
        <v>0.24872375533694299</v>
      </c>
      <c r="O109">
        <v>0.24686132448188469</v>
      </c>
      <c r="P109">
        <v>0.24665607744926499</v>
      </c>
      <c r="Q109">
        <v>0.24673193347789951</v>
      </c>
      <c r="R109">
        <v>0.245032248651783</v>
      </c>
      <c r="S109">
        <v>0.2430987796718003</v>
      </c>
      <c r="T109">
        <v>0.24298471656175971</v>
      </c>
      <c r="U109">
        <v>0.2418600108906489</v>
      </c>
    </row>
    <row r="111" spans="1:21" x14ac:dyDescent="0.35">
      <c r="A111" t="s">
        <v>39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12</v>
      </c>
      <c r="N111" t="s">
        <v>13</v>
      </c>
      <c r="O111" t="s">
        <v>14</v>
      </c>
      <c r="P111" t="s">
        <v>15</v>
      </c>
      <c r="Q111" t="s">
        <v>16</v>
      </c>
      <c r="R111" t="s">
        <v>17</v>
      </c>
      <c r="S111" t="s">
        <v>18</v>
      </c>
      <c r="T111" t="s">
        <v>19</v>
      </c>
      <c r="U111" t="s">
        <v>20</v>
      </c>
    </row>
    <row r="112" spans="1:21" x14ac:dyDescent="0.35">
      <c r="A112" t="s">
        <v>21</v>
      </c>
      <c r="B112">
        <v>132.91225992937251</v>
      </c>
      <c r="C112">
        <v>134.8302570267912</v>
      </c>
      <c r="D112">
        <v>135.9232382704175</v>
      </c>
      <c r="E112">
        <v>137.1699622140986</v>
      </c>
      <c r="F112">
        <v>138.7399367365698</v>
      </c>
      <c r="G112">
        <v>139.21966630939301</v>
      </c>
      <c r="H112">
        <v>138.45338849247889</v>
      </c>
      <c r="I112">
        <v>138.41521123936869</v>
      </c>
      <c r="J112">
        <v>138.65219018595329</v>
      </c>
      <c r="K112">
        <v>139.50304402996599</v>
      </c>
      <c r="L112">
        <v>139.86747909578389</v>
      </c>
      <c r="M112">
        <v>138.9660512722578</v>
      </c>
      <c r="N112">
        <v>138.50930300624941</v>
      </c>
      <c r="O112">
        <v>139.21987287285401</v>
      </c>
      <c r="P112">
        <v>139.50186131033689</v>
      </c>
      <c r="Q112">
        <v>140.137940648083</v>
      </c>
      <c r="R112">
        <v>141.56941745031131</v>
      </c>
      <c r="S112">
        <v>142.3917800301034</v>
      </c>
      <c r="T112">
        <v>143.29447304563359</v>
      </c>
      <c r="U112">
        <v>143.4637684573535</v>
      </c>
    </row>
    <row r="113" spans="1:21" x14ac:dyDescent="0.35">
      <c r="A113" t="s">
        <v>22</v>
      </c>
      <c r="B113">
        <v>5.7573889204361212E-2</v>
      </c>
      <c r="C113">
        <v>0.35571352288272301</v>
      </c>
      <c r="D113">
        <v>0.13698865435642291</v>
      </c>
      <c r="E113">
        <v>0.1782836203150697</v>
      </c>
      <c r="F113">
        <v>-8.8549146999272604E-2</v>
      </c>
      <c r="G113">
        <v>0.14607435363352009</v>
      </c>
      <c r="H113">
        <v>0.14345450023010201</v>
      </c>
      <c r="I113">
        <v>0.34544521569316428</v>
      </c>
      <c r="J113">
        <v>0.39564850660051798</v>
      </c>
      <c r="K113">
        <v>1.0053110927934441</v>
      </c>
      <c r="L113">
        <v>0.97059846708575914</v>
      </c>
      <c r="M113">
        <v>0.54227315759395445</v>
      </c>
      <c r="N113">
        <v>0.22955046634716</v>
      </c>
      <c r="O113">
        <v>0.88400441892452863</v>
      </c>
      <c r="P113">
        <v>0.84157027830599807</v>
      </c>
      <c r="Q113">
        <v>0.82888612741479317</v>
      </c>
      <c r="R113">
        <v>0.42659604076014601</v>
      </c>
      <c r="S113">
        <v>0.58272544906511603</v>
      </c>
      <c r="T113">
        <v>0.56014657038019333</v>
      </c>
      <c r="U113">
        <v>0.70319337973400431</v>
      </c>
    </row>
    <row r="114" spans="1:21" x14ac:dyDescent="0.35">
      <c r="A114" t="s">
        <v>23</v>
      </c>
      <c r="B114">
        <v>-0.35194845605252922</v>
      </c>
      <c r="C114">
        <v>-0.52146178818790534</v>
      </c>
      <c r="D114">
        <v>-0.92100614800683345</v>
      </c>
      <c r="E114">
        <v>-1.0450717273391841</v>
      </c>
      <c r="F114">
        <v>-1.219465614335681</v>
      </c>
      <c r="G114">
        <v>-0.67214724509226009</v>
      </c>
      <c r="H114">
        <v>-0.86534189073979162</v>
      </c>
      <c r="I114">
        <v>-0.53934514336196104</v>
      </c>
      <c r="J114">
        <v>-0.48053847108625353</v>
      </c>
      <c r="K114">
        <v>-5.1854638918345831E-2</v>
      </c>
      <c r="L114">
        <v>0.13800731376361189</v>
      </c>
      <c r="M114">
        <v>0.97395038433551506</v>
      </c>
      <c r="N114">
        <v>1.1793247521389261</v>
      </c>
      <c r="O114">
        <v>1.4771957447642241</v>
      </c>
      <c r="P114">
        <v>1.910889946672629</v>
      </c>
      <c r="Q114">
        <v>2.3512681528969508</v>
      </c>
      <c r="R114">
        <v>1.728412638206928</v>
      </c>
      <c r="S114">
        <v>1.946642856307212</v>
      </c>
      <c r="T114">
        <v>1.665463652943066</v>
      </c>
      <c r="U114">
        <v>1.58927014404625</v>
      </c>
    </row>
    <row r="115" spans="1:21" x14ac:dyDescent="0.35">
      <c r="A115" t="s">
        <v>24</v>
      </c>
      <c r="B115">
        <v>1.0984844312716411</v>
      </c>
      <c r="C115">
        <v>1.4198026490231861</v>
      </c>
      <c r="D115">
        <v>0.69977287047464087</v>
      </c>
      <c r="E115">
        <v>-0.58510814260411215</v>
      </c>
      <c r="F115">
        <v>-1.28448556099129</v>
      </c>
      <c r="G115">
        <v>1.642579994410075E-2</v>
      </c>
      <c r="H115">
        <v>0.42770817368155989</v>
      </c>
      <c r="I115">
        <v>0.95916908915540844</v>
      </c>
      <c r="J115">
        <v>-0.27854178348308151</v>
      </c>
      <c r="K115">
        <v>1.8368276013199529</v>
      </c>
      <c r="L115">
        <v>1.3603530941729891</v>
      </c>
      <c r="M115">
        <v>1.5212866641617491</v>
      </c>
      <c r="N115">
        <v>1.74532327817122</v>
      </c>
      <c r="O115">
        <v>2.5095718174100772</v>
      </c>
      <c r="P115">
        <v>2.1080812984012312</v>
      </c>
      <c r="Q115">
        <v>2.016426249226118</v>
      </c>
      <c r="R115">
        <v>1.8466684180600821</v>
      </c>
      <c r="S115">
        <v>2.4859544965505749</v>
      </c>
      <c r="T115">
        <v>2.2185936446681249</v>
      </c>
      <c r="U115">
        <v>2.044329935605631</v>
      </c>
    </row>
    <row r="116" spans="1:21" x14ac:dyDescent="0.35">
      <c r="A116" t="s">
        <v>25</v>
      </c>
      <c r="B116">
        <v>3.2152469339507432E-2</v>
      </c>
      <c r="C116">
        <v>2.6024174082924921E-2</v>
      </c>
      <c r="D116">
        <v>1.0454493804414801E-2</v>
      </c>
      <c r="E116">
        <v>-1.535114435591543E-2</v>
      </c>
      <c r="F116">
        <v>-0.26428116258887169</v>
      </c>
      <c r="G116">
        <v>-0.23000175715164939</v>
      </c>
      <c r="H116">
        <v>-6.5886041843985638E-2</v>
      </c>
      <c r="I116">
        <v>-3.5802148294876698E-2</v>
      </c>
      <c r="J116">
        <v>-0.19084370197208381</v>
      </c>
      <c r="K116">
        <v>0.13554349573378599</v>
      </c>
      <c r="L116">
        <v>5.4374406877382438E-2</v>
      </c>
      <c r="M116">
        <v>-2.2121232926332769E-2</v>
      </c>
      <c r="N116">
        <v>-0.21793221753108991</v>
      </c>
      <c r="O116">
        <v>-8.9520814134713023E-2</v>
      </c>
      <c r="P116">
        <v>-7.7777633920663766E-2</v>
      </c>
      <c r="Q116">
        <v>0.24863527723056131</v>
      </c>
      <c r="R116">
        <v>0.22777673254408839</v>
      </c>
      <c r="S116">
        <v>0.45422855128136902</v>
      </c>
      <c r="T116">
        <v>0.69375775817292173</v>
      </c>
      <c r="U116">
        <v>0.54440284839473974</v>
      </c>
    </row>
    <row r="117" spans="1:21" x14ac:dyDescent="0.35">
      <c r="A117" t="s">
        <v>26</v>
      </c>
      <c r="B117">
        <v>133.7485222631355</v>
      </c>
      <c r="C117">
        <v>136.11033558459209</v>
      </c>
      <c r="D117">
        <v>135.84944814104611</v>
      </c>
      <c r="E117">
        <v>135.70271482011449</v>
      </c>
      <c r="F117">
        <v>135.8831552516547</v>
      </c>
      <c r="G117">
        <v>138.48001746072671</v>
      </c>
      <c r="H117">
        <v>138.09332323380681</v>
      </c>
      <c r="I117">
        <v>139.1446782525604</v>
      </c>
      <c r="J117">
        <v>138.09791473601251</v>
      </c>
      <c r="K117">
        <v>142.42887158089479</v>
      </c>
      <c r="L117">
        <v>142.39081237768369</v>
      </c>
      <c r="M117">
        <v>141.9814402454227</v>
      </c>
      <c r="N117">
        <v>141.4455692853756</v>
      </c>
      <c r="O117">
        <v>144.00112403981819</v>
      </c>
      <c r="P117">
        <v>144.2846251997961</v>
      </c>
      <c r="Q117">
        <v>145.58315645485141</v>
      </c>
      <c r="R117">
        <v>145.79887127988249</v>
      </c>
      <c r="S117">
        <v>147.86133138330769</v>
      </c>
      <c r="T117">
        <v>148.43243467179789</v>
      </c>
      <c r="U117">
        <v>148.34496476513419</v>
      </c>
    </row>
    <row r="118" spans="1:21" x14ac:dyDescent="0.35">
      <c r="A118" t="s">
        <v>27</v>
      </c>
      <c r="B118">
        <v>453667049.63999999</v>
      </c>
      <c r="C118">
        <v>564045641.03999996</v>
      </c>
      <c r="D118">
        <v>464558710.95999998</v>
      </c>
      <c r="E118">
        <v>348923185.75</v>
      </c>
      <c r="F118">
        <v>366697505.39999998</v>
      </c>
      <c r="G118">
        <v>366897046.38999999</v>
      </c>
      <c r="H118">
        <v>322080564.14999998</v>
      </c>
      <c r="I118">
        <v>347820287.63999999</v>
      </c>
      <c r="J118">
        <v>586183245.93000007</v>
      </c>
      <c r="K118">
        <v>580029062.39999998</v>
      </c>
      <c r="L118">
        <v>475080954.72000003</v>
      </c>
      <c r="M118">
        <v>461523252.69</v>
      </c>
      <c r="N118">
        <v>707935645.01999998</v>
      </c>
      <c r="O118">
        <v>709143683.29999995</v>
      </c>
      <c r="P118">
        <v>639034445.19999993</v>
      </c>
      <c r="Q118">
        <v>579984560.42000008</v>
      </c>
      <c r="R118">
        <v>836630516.96000004</v>
      </c>
      <c r="S118">
        <v>781744447.95000005</v>
      </c>
      <c r="T118">
        <v>682905620.88</v>
      </c>
      <c r="U118">
        <v>62442669.890000001</v>
      </c>
    </row>
    <row r="119" spans="1:21" x14ac:dyDescent="0.35">
      <c r="A119" t="s">
        <v>28</v>
      </c>
      <c r="B119">
        <v>1.5614446641161901</v>
      </c>
      <c r="C119">
        <v>1.536657226449871</v>
      </c>
      <c r="D119">
        <v>1.5815019663935239</v>
      </c>
      <c r="E119">
        <v>1.6475094394576391</v>
      </c>
      <c r="F119">
        <v>1.6829708841508151</v>
      </c>
      <c r="G119">
        <v>1.5966295762944991</v>
      </c>
      <c r="H119">
        <v>1.5969715047871229</v>
      </c>
      <c r="I119">
        <v>1.599215634856779</v>
      </c>
      <c r="J119">
        <v>1.676030648729484</v>
      </c>
      <c r="K119">
        <v>1.538530209237474</v>
      </c>
      <c r="L119">
        <v>1.561915324335768</v>
      </c>
      <c r="M119">
        <v>1.5542479563766001</v>
      </c>
      <c r="N119">
        <v>1.5349702693674661</v>
      </c>
      <c r="O119">
        <v>1.4971771739833011</v>
      </c>
      <c r="P119">
        <v>1.5141687585520129</v>
      </c>
      <c r="Q119">
        <v>1.5102223560228729</v>
      </c>
      <c r="R119">
        <v>1.5266367441864981</v>
      </c>
      <c r="S119">
        <v>1.5083249750511161</v>
      </c>
      <c r="T119">
        <v>1.523623466703518</v>
      </c>
      <c r="U119">
        <v>1.5344295453825449</v>
      </c>
    </row>
    <row r="120" spans="1:21" x14ac:dyDescent="0.35">
      <c r="A120" t="s">
        <v>29</v>
      </c>
      <c r="B120">
        <v>0.24726525838398611</v>
      </c>
      <c r="C120">
        <v>0.2478890251361032</v>
      </c>
      <c r="D120">
        <v>0.24804580187268691</v>
      </c>
      <c r="E120">
        <v>0.24806032859181881</v>
      </c>
      <c r="F120">
        <v>0.25008435020452952</v>
      </c>
      <c r="G120">
        <v>0.25005446997737008</v>
      </c>
      <c r="H120">
        <v>0.24694805654601931</v>
      </c>
      <c r="I120">
        <v>0.24666422335743429</v>
      </c>
      <c r="J120">
        <v>0.24946518178565949</v>
      </c>
      <c r="K120">
        <v>0.2460409204565851</v>
      </c>
      <c r="L120">
        <v>0.2472193005376275</v>
      </c>
      <c r="M120">
        <v>0.24818906201984231</v>
      </c>
      <c r="N120">
        <v>0.2498315728623938</v>
      </c>
      <c r="O120">
        <v>0.2483889363876042</v>
      </c>
      <c r="P120">
        <v>0.24826346589466819</v>
      </c>
      <c r="Q120">
        <v>0.245258623261675</v>
      </c>
      <c r="R120">
        <v>0.24551242957282449</v>
      </c>
      <c r="S120">
        <v>0.24335185074228571</v>
      </c>
      <c r="T120">
        <v>0.24152740838738959</v>
      </c>
      <c r="U120">
        <v>0.24259859499614361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20"/>
  <sheetViews>
    <sheetView tabSelected="1" workbookViewId="0">
      <selection activeCell="V41" sqref="V41"/>
    </sheetView>
  </sheetViews>
  <sheetFormatPr defaultRowHeight="14.5" x14ac:dyDescent="0.35"/>
  <sheetData>
    <row r="1" spans="1:20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35">
      <c r="A2" t="s">
        <v>21</v>
      </c>
      <c r="B2">
        <v>135.30884320007931</v>
      </c>
      <c r="C2">
        <v>134.19414479641799</v>
      </c>
      <c r="D2">
        <v>138.43357753962181</v>
      </c>
      <c r="E2">
        <v>133.3053885059168</v>
      </c>
      <c r="F2">
        <v>134.14745157381961</v>
      </c>
      <c r="G2">
        <v>134.01509252934349</v>
      </c>
      <c r="H2">
        <v>135.66932881699461</v>
      </c>
      <c r="I2">
        <v>135.44197997381889</v>
      </c>
      <c r="J2">
        <v>135.75662442847869</v>
      </c>
      <c r="K2">
        <v>136.96028157774501</v>
      </c>
      <c r="L2">
        <v>135.7633372190968</v>
      </c>
      <c r="M2">
        <v>135.8415594010805</v>
      </c>
      <c r="N2">
        <v>137.2306932599181</v>
      </c>
      <c r="O2">
        <v>138.08216539325289</v>
      </c>
      <c r="P2">
        <v>138.98564560302819</v>
      </c>
      <c r="Q2">
        <v>140.46858668516771</v>
      </c>
      <c r="R2">
        <v>141.21529074108301</v>
      </c>
      <c r="S2">
        <v>141.48882521467641</v>
      </c>
      <c r="T2">
        <v>141.38799818917121</v>
      </c>
    </row>
    <row r="3" spans="1:20" x14ac:dyDescent="0.35">
      <c r="A3" t="s">
        <v>22</v>
      </c>
      <c r="B3">
        <v>1.2452481489283971</v>
      </c>
      <c r="C3">
        <v>0.59081023085010997</v>
      </c>
      <c r="D3">
        <v>-1.187501991455775</v>
      </c>
      <c r="E3">
        <v>0.96006631605752091</v>
      </c>
      <c r="F3">
        <v>-1.0148162451045271</v>
      </c>
      <c r="G3">
        <v>-0.50019659024079033</v>
      </c>
      <c r="H3">
        <v>1.6383335486805211</v>
      </c>
      <c r="I3">
        <v>0.6061495041394096</v>
      </c>
      <c r="J3">
        <v>0.98954082781480679</v>
      </c>
      <c r="K3">
        <v>1.0108690404163101</v>
      </c>
      <c r="L3">
        <v>0.36934962329672771</v>
      </c>
      <c r="M3">
        <v>0.76063802296624772</v>
      </c>
      <c r="N3">
        <v>1.5423110907459829</v>
      </c>
      <c r="O3">
        <v>2.1711501758993852</v>
      </c>
      <c r="P3">
        <v>1.790009239526682</v>
      </c>
      <c r="Q3">
        <v>1.5875054689283841</v>
      </c>
      <c r="R3">
        <v>2.4489794051783629</v>
      </c>
      <c r="S3">
        <v>2.794929606314867</v>
      </c>
      <c r="T3">
        <v>1.815417764013517</v>
      </c>
    </row>
    <row r="4" spans="1:20" x14ac:dyDescent="0.35">
      <c r="A4" t="s">
        <v>23</v>
      </c>
      <c r="B4">
        <v>-2.2803940388114841</v>
      </c>
      <c r="C4">
        <v>-3.0172491158466461</v>
      </c>
      <c r="D4">
        <v>-1.8273026812070721</v>
      </c>
      <c r="E4">
        <v>-2.783114683722542</v>
      </c>
      <c r="F4">
        <v>-0.66409384932531146</v>
      </c>
      <c r="G4">
        <v>-2.1897869087510222</v>
      </c>
      <c r="H4">
        <v>-3.0667605357359271</v>
      </c>
      <c r="I4">
        <v>-1.6707214028960049</v>
      </c>
      <c r="J4">
        <v>-0.62178717531429684</v>
      </c>
      <c r="K4">
        <v>-1.4706722676297681</v>
      </c>
      <c r="L4">
        <v>0.61600439104113003</v>
      </c>
      <c r="M4">
        <v>0.69622909422650081</v>
      </c>
      <c r="N4">
        <v>0.10997604338343581</v>
      </c>
      <c r="O4">
        <v>1.484143088610006</v>
      </c>
      <c r="P4">
        <v>1.4818699719977331</v>
      </c>
      <c r="Q4">
        <v>1.24579559644343</v>
      </c>
      <c r="R4">
        <v>2.1113266900219059</v>
      </c>
      <c r="S4">
        <v>2.7011760144103869</v>
      </c>
      <c r="T4">
        <v>4.5228078137262591</v>
      </c>
    </row>
    <row r="5" spans="1:20" x14ac:dyDescent="0.35">
      <c r="A5" t="s">
        <v>24</v>
      </c>
      <c r="B5">
        <v>-1.0402460454017191</v>
      </c>
      <c r="C5">
        <v>1.552770421948805</v>
      </c>
      <c r="D5">
        <v>1.790603296841792</v>
      </c>
      <c r="E5">
        <v>1.4286070465530809</v>
      </c>
      <c r="F5">
        <v>-0.53089006233113101</v>
      </c>
      <c r="G5">
        <v>1.417279329997146</v>
      </c>
      <c r="H5">
        <v>0.1319733849395883</v>
      </c>
      <c r="I5">
        <v>1.915500605105847</v>
      </c>
      <c r="J5">
        <v>2.5798837377360782</v>
      </c>
      <c r="K5">
        <v>3.4765501776201959</v>
      </c>
      <c r="L5">
        <v>3.154789192751601</v>
      </c>
      <c r="M5">
        <v>3.8604910597336302</v>
      </c>
      <c r="N5">
        <v>4.115451295312166</v>
      </c>
      <c r="O5">
        <v>4.1185085398213674</v>
      </c>
      <c r="P5">
        <v>4.0279470375823587</v>
      </c>
      <c r="Q5">
        <v>4.5859753481177874</v>
      </c>
      <c r="R5">
        <v>4.4764117879786971</v>
      </c>
      <c r="S5">
        <v>4.044461668723776</v>
      </c>
      <c r="T5">
        <v>5.6175113125263181</v>
      </c>
    </row>
    <row r="6" spans="1:20" x14ac:dyDescent="0.35">
      <c r="A6" t="s">
        <v>25</v>
      </c>
      <c r="B6">
        <v>-0.47601302060335959</v>
      </c>
      <c r="C6">
        <v>-0.48672526969003982</v>
      </c>
      <c r="D6">
        <v>8.4631267659485976E-2</v>
      </c>
      <c r="E6">
        <v>-0.9007014286052466</v>
      </c>
      <c r="F6">
        <v>-1.2460943702597931</v>
      </c>
      <c r="G6">
        <v>-0.85728182088405491</v>
      </c>
      <c r="H6">
        <v>-0.57440364543028533</v>
      </c>
      <c r="I6">
        <v>-0.4971975215589835</v>
      </c>
      <c r="J6">
        <v>-0.34517807787507349</v>
      </c>
      <c r="K6">
        <v>-0.47994670656781202</v>
      </c>
      <c r="L6">
        <v>3.0091663413447929E-3</v>
      </c>
      <c r="M6">
        <v>-0.16051479711134239</v>
      </c>
      <c r="N6">
        <v>9.1809832239696798E-2</v>
      </c>
      <c r="O6">
        <v>0.41038764209653078</v>
      </c>
      <c r="P6">
        <v>0.35221447994196442</v>
      </c>
      <c r="Q6">
        <v>0.2445608091098494</v>
      </c>
      <c r="R6">
        <v>1.395644198806907</v>
      </c>
      <c r="S6">
        <v>1.24465568113979</v>
      </c>
      <c r="T6">
        <v>1.3630855902778301</v>
      </c>
    </row>
    <row r="7" spans="1:20" x14ac:dyDescent="0.35">
      <c r="A7" t="s">
        <v>26</v>
      </c>
      <c r="B7">
        <v>132.75743824419109</v>
      </c>
      <c r="C7">
        <v>132.83375106368021</v>
      </c>
      <c r="D7">
        <v>137.29400743146019</v>
      </c>
      <c r="E7">
        <v>132.01024575619959</v>
      </c>
      <c r="F7">
        <v>130.69155704679889</v>
      </c>
      <c r="G7">
        <v>131.8851065394648</v>
      </c>
      <c r="H7">
        <v>133.7984715694484</v>
      </c>
      <c r="I7">
        <v>135.79571115860921</v>
      </c>
      <c r="J7">
        <v>138.3590837408403</v>
      </c>
      <c r="K7">
        <v>139.49708182158389</v>
      </c>
      <c r="L7">
        <v>139.90648959252749</v>
      </c>
      <c r="M7">
        <v>140.99840278089559</v>
      </c>
      <c r="N7">
        <v>143.09024152159941</v>
      </c>
      <c r="O7">
        <v>146.26635483968019</v>
      </c>
      <c r="P7">
        <v>146.6376863320769</v>
      </c>
      <c r="Q7">
        <v>148.13242390776719</v>
      </c>
      <c r="R7">
        <v>151.64765282306891</v>
      </c>
      <c r="S7">
        <v>152.2740481852652</v>
      </c>
      <c r="T7">
        <v>154.7068206697152</v>
      </c>
    </row>
    <row r="8" spans="1:20" x14ac:dyDescent="0.35">
      <c r="A8" t="s">
        <v>27</v>
      </c>
      <c r="B8">
        <v>517723.32</v>
      </c>
      <c r="C8">
        <v>978554.8600000001</v>
      </c>
      <c r="D8">
        <v>562604.94999999995</v>
      </c>
      <c r="E8">
        <v>561771.70000000007</v>
      </c>
      <c r="F8">
        <v>349532.47</v>
      </c>
      <c r="G8">
        <v>586920.84</v>
      </c>
      <c r="H8">
        <v>618205.75999999989</v>
      </c>
      <c r="I8">
        <v>9482817.5700000003</v>
      </c>
      <c r="J8">
        <v>8355585.7199999988</v>
      </c>
      <c r="K8">
        <v>5223980.4899999993</v>
      </c>
      <c r="L8">
        <v>6234475.4399999985</v>
      </c>
      <c r="M8">
        <v>12302540.73</v>
      </c>
      <c r="N8">
        <v>9308901.8200000003</v>
      </c>
      <c r="O8">
        <v>8906235.2899999991</v>
      </c>
      <c r="P8">
        <v>4696005.6999999993</v>
      </c>
      <c r="Q8">
        <v>7098915.4600000009</v>
      </c>
      <c r="R8">
        <v>9471625.9400000013</v>
      </c>
      <c r="S8">
        <v>8963406.5299999993</v>
      </c>
      <c r="T8">
        <v>939590.01</v>
      </c>
    </row>
    <row r="9" spans="1:20" x14ac:dyDescent="0.35">
      <c r="A9" t="s">
        <v>28</v>
      </c>
      <c r="B9">
        <v>2.0664478972432958</v>
      </c>
      <c r="C9">
        <v>1.777632086741239</v>
      </c>
      <c r="D9">
        <v>1.755132577650824</v>
      </c>
      <c r="E9">
        <v>1.789608944218529</v>
      </c>
      <c r="F9">
        <v>2.0025368781203352</v>
      </c>
      <c r="G9">
        <v>1.7907096596120919</v>
      </c>
      <c r="H9">
        <v>1.925055523900832</v>
      </c>
      <c r="I9">
        <v>1.7435435988988699</v>
      </c>
      <c r="J9">
        <v>1.6843818095016589</v>
      </c>
      <c r="K9">
        <v>1.610622869278314</v>
      </c>
      <c r="L9">
        <v>1.6363356463118359</v>
      </c>
      <c r="M9">
        <v>1.580979081727385</v>
      </c>
      <c r="N9">
        <v>1.561889421104719</v>
      </c>
      <c r="O9">
        <v>1.5616633124357451</v>
      </c>
      <c r="P9">
        <v>1.5683889607034029</v>
      </c>
      <c r="Q9">
        <v>1.527843864737654</v>
      </c>
      <c r="R9">
        <v>1.535638277268476</v>
      </c>
      <c r="S9">
        <v>1.5671581682231761</v>
      </c>
      <c r="T9">
        <v>1.4581621976125461</v>
      </c>
    </row>
    <row r="10" spans="1:20" x14ac:dyDescent="0.35">
      <c r="A10" t="s">
        <v>29</v>
      </c>
      <c r="B10">
        <v>0.25680018600861942</v>
      </c>
      <c r="C10">
        <v>0.25695321813842908</v>
      </c>
      <c r="D10">
        <v>0.2487909818905788</v>
      </c>
      <c r="E10">
        <v>0.26286716326578918</v>
      </c>
      <c r="F10">
        <v>0.26780134814656847</v>
      </c>
      <c r="G10">
        <v>0.2622468831554865</v>
      </c>
      <c r="H10">
        <v>0.25820576636328979</v>
      </c>
      <c r="I10">
        <v>0.25710282173655691</v>
      </c>
      <c r="J10">
        <v>0.25493111539821528</v>
      </c>
      <c r="K10">
        <v>0.25685638152239731</v>
      </c>
      <c r="L10">
        <v>0.24995701190940939</v>
      </c>
      <c r="M10">
        <v>0.25229306853016198</v>
      </c>
      <c r="N10">
        <v>0.2486884309680043</v>
      </c>
      <c r="O10">
        <v>0.24413731939862099</v>
      </c>
      <c r="P10">
        <v>0.24496836457225771</v>
      </c>
      <c r="Q10">
        <v>0.24650627415557361</v>
      </c>
      <c r="R10">
        <v>0.23006222573132989</v>
      </c>
      <c r="S10">
        <v>0.23221920455514591</v>
      </c>
      <c r="T10">
        <v>0.23052734871031669</v>
      </c>
    </row>
    <row r="12" spans="1:20" x14ac:dyDescent="0.35">
      <c r="A12" t="s">
        <v>30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K12" t="s">
        <v>11</v>
      </c>
      <c r="L12" t="s">
        <v>12</v>
      </c>
      <c r="M12" t="s">
        <v>13</v>
      </c>
      <c r="N12" t="s">
        <v>14</v>
      </c>
      <c r="O12" t="s">
        <v>15</v>
      </c>
      <c r="P12" t="s">
        <v>16</v>
      </c>
      <c r="Q12" t="s">
        <v>17</v>
      </c>
      <c r="R12" t="s">
        <v>18</v>
      </c>
      <c r="S12" t="s">
        <v>19</v>
      </c>
      <c r="T12" t="s">
        <v>20</v>
      </c>
    </row>
    <row r="13" spans="1:20" x14ac:dyDescent="0.35">
      <c r="A13" t="s">
        <v>21</v>
      </c>
      <c r="B13">
        <v>133.77368523437369</v>
      </c>
      <c r="C13">
        <v>134.76696886737321</v>
      </c>
      <c r="D13">
        <v>137.55389431088949</v>
      </c>
      <c r="E13">
        <v>138.2792457242619</v>
      </c>
      <c r="F13">
        <v>138.61967710786709</v>
      </c>
      <c r="G13">
        <v>138.63561846380441</v>
      </c>
      <c r="H13">
        <v>137.3715899769862</v>
      </c>
      <c r="I13">
        <v>136.9396925617088</v>
      </c>
      <c r="J13">
        <v>138.44334067546899</v>
      </c>
      <c r="K13">
        <v>140.04592986082571</v>
      </c>
      <c r="L13">
        <v>137.4865666079865</v>
      </c>
      <c r="M13">
        <v>137.6946219437481</v>
      </c>
      <c r="N13">
        <v>138.80789965523309</v>
      </c>
      <c r="O13">
        <v>138.87466372617661</v>
      </c>
      <c r="P13">
        <v>140.31846389946341</v>
      </c>
      <c r="Q13">
        <v>141.96113471512641</v>
      </c>
      <c r="R13">
        <v>141.9009020306529</v>
      </c>
      <c r="S13">
        <v>142.94564421302559</v>
      </c>
      <c r="T13">
        <v>143.5261989838769</v>
      </c>
    </row>
    <row r="14" spans="1:20" x14ac:dyDescent="0.35">
      <c r="A14" t="s">
        <v>22</v>
      </c>
      <c r="B14">
        <v>0.60306115196743804</v>
      </c>
      <c r="C14">
        <v>1.046752744389607</v>
      </c>
      <c r="D14">
        <v>0.27318489543793589</v>
      </c>
      <c r="E14">
        <v>0.83320963673057236</v>
      </c>
      <c r="F14">
        <v>1.7284480082836919</v>
      </c>
      <c r="G14">
        <v>0.44201981444746252</v>
      </c>
      <c r="H14">
        <v>0.96451194651587002</v>
      </c>
      <c r="I14">
        <v>-7.0615284089086572E-2</v>
      </c>
      <c r="J14">
        <v>0.74085222334397827</v>
      </c>
      <c r="K14">
        <v>0.74049723422109537</v>
      </c>
      <c r="L14">
        <v>1.0182042809362031</v>
      </c>
      <c r="M14">
        <v>0.62989490584169516</v>
      </c>
      <c r="N14">
        <v>0.85981845659802048</v>
      </c>
      <c r="O14">
        <v>0.82756635809022328</v>
      </c>
      <c r="P14">
        <v>1.6592811681222199</v>
      </c>
      <c r="Q14">
        <v>2.170879514357523</v>
      </c>
      <c r="R14">
        <v>2.254578172647427</v>
      </c>
      <c r="S14">
        <v>1.756113427117469</v>
      </c>
      <c r="T14">
        <v>1.560274348082487</v>
      </c>
    </row>
    <row r="15" spans="1:20" x14ac:dyDescent="0.35">
      <c r="A15" t="s">
        <v>23</v>
      </c>
      <c r="B15">
        <v>0.56900155132120078</v>
      </c>
      <c r="C15">
        <v>-1.787704499775119</v>
      </c>
      <c r="D15">
        <v>-2.143721866723574</v>
      </c>
      <c r="E15">
        <v>-1.2037835716885761</v>
      </c>
      <c r="F15">
        <v>0.62039035124469399</v>
      </c>
      <c r="G15">
        <v>-0.39932456139810563</v>
      </c>
      <c r="H15">
        <v>-1.017428337151242</v>
      </c>
      <c r="I15">
        <v>-1.030047085498379</v>
      </c>
      <c r="J15">
        <v>-0.31692931930320822</v>
      </c>
      <c r="K15">
        <v>0.1372034796570808</v>
      </c>
      <c r="L15">
        <v>2.2859900140239411</v>
      </c>
      <c r="M15">
        <v>2.284390252334993</v>
      </c>
      <c r="N15">
        <v>2.8507012052553988</v>
      </c>
      <c r="O15">
        <v>2.5850181154701781</v>
      </c>
      <c r="P15">
        <v>4.4367022277777526</v>
      </c>
      <c r="Q15">
        <v>3.383797024577829</v>
      </c>
      <c r="R15">
        <v>3.807601585481184</v>
      </c>
      <c r="S15">
        <v>2.989007712643998</v>
      </c>
      <c r="T15">
        <v>1.9699381578027051</v>
      </c>
    </row>
    <row r="16" spans="1:20" x14ac:dyDescent="0.35">
      <c r="A16" t="s">
        <v>24</v>
      </c>
      <c r="B16">
        <v>1.955836269226588</v>
      </c>
      <c r="C16">
        <v>0.86801987059105445</v>
      </c>
      <c r="D16">
        <v>3.135170776704558</v>
      </c>
      <c r="E16">
        <v>4.2624871043779091</v>
      </c>
      <c r="F16">
        <v>1.14498555334469</v>
      </c>
      <c r="G16">
        <v>0.5188371185732088</v>
      </c>
      <c r="H16">
        <v>4.4598983378553561</v>
      </c>
      <c r="I16">
        <v>5.9640197235957233</v>
      </c>
      <c r="J16">
        <v>5.1008454279383457</v>
      </c>
      <c r="K16">
        <v>4.7275344401927244</v>
      </c>
      <c r="L16">
        <v>5.122363717737624</v>
      </c>
      <c r="M16">
        <v>5.4337872612477014</v>
      </c>
      <c r="N16">
        <v>6.8783116942717752</v>
      </c>
      <c r="O16">
        <v>7.0161719398236917</v>
      </c>
      <c r="P16">
        <v>6.9612236765011586</v>
      </c>
      <c r="Q16">
        <v>6.0669210186827431</v>
      </c>
      <c r="R16">
        <v>6.2657664783531883</v>
      </c>
      <c r="S16">
        <v>5.8891782204312699</v>
      </c>
      <c r="T16">
        <v>7.7097412053286174</v>
      </c>
    </row>
    <row r="17" spans="1:20" x14ac:dyDescent="0.35">
      <c r="A17" t="s">
        <v>25</v>
      </c>
      <c r="B17">
        <v>-0.21405385938577831</v>
      </c>
      <c r="C17">
        <v>-0.1098036481658915</v>
      </c>
      <c r="D17">
        <v>0.32053601736363257</v>
      </c>
      <c r="E17">
        <v>-0.6382281067019635</v>
      </c>
      <c r="F17">
        <v>-0.8259097475429833</v>
      </c>
      <c r="G17">
        <v>0.15625119659268991</v>
      </c>
      <c r="H17">
        <v>0.1724578231748902</v>
      </c>
      <c r="I17">
        <v>0.2615550755399848</v>
      </c>
      <c r="J17">
        <v>-2.1753624115788961E-3</v>
      </c>
      <c r="K17">
        <v>-0.58754970678338514</v>
      </c>
      <c r="L17">
        <v>-0.41505166160909163</v>
      </c>
      <c r="M17">
        <v>-0.48016260192159871</v>
      </c>
      <c r="N17">
        <v>-0.35333785930587502</v>
      </c>
      <c r="O17">
        <v>-0.59318278595935081</v>
      </c>
      <c r="P17">
        <v>-0.26865246205569898</v>
      </c>
      <c r="Q17">
        <v>-0.31580525367044032</v>
      </c>
      <c r="R17">
        <v>-9.3576997145549679E-2</v>
      </c>
      <c r="S17">
        <v>-0.26331565219366532</v>
      </c>
      <c r="T17">
        <v>-0.32500184769215618</v>
      </c>
    </row>
    <row r="18" spans="1:20" x14ac:dyDescent="0.35">
      <c r="A18" t="s">
        <v>26</v>
      </c>
      <c r="B18">
        <v>136.6875303475031</v>
      </c>
      <c r="C18">
        <v>134.78423333441279</v>
      </c>
      <c r="D18">
        <v>139.13906413367201</v>
      </c>
      <c r="E18">
        <v>141.53293078697979</v>
      </c>
      <c r="F18">
        <v>141.28759127319719</v>
      </c>
      <c r="G18">
        <v>139.35340203201969</v>
      </c>
      <c r="H18">
        <v>141.951029747381</v>
      </c>
      <c r="I18">
        <v>142.06460499125711</v>
      </c>
      <c r="J18">
        <v>143.9659336450365</v>
      </c>
      <c r="K18">
        <v>145.06361530811321</v>
      </c>
      <c r="L18">
        <v>145.49807295907519</v>
      </c>
      <c r="M18">
        <v>145.56253176125091</v>
      </c>
      <c r="N18">
        <v>149.04339315205249</v>
      </c>
      <c r="O18">
        <v>148.71023735360129</v>
      </c>
      <c r="P18">
        <v>153.1070185098088</v>
      </c>
      <c r="Q18">
        <v>153.26692701907399</v>
      </c>
      <c r="R18">
        <v>154.13527126998909</v>
      </c>
      <c r="S18">
        <v>153.31662792102469</v>
      </c>
      <c r="T18">
        <v>154.44115084739849</v>
      </c>
    </row>
    <row r="19" spans="1:20" x14ac:dyDescent="0.35">
      <c r="A19" t="s">
        <v>27</v>
      </c>
      <c r="B19">
        <v>844035.99000000011</v>
      </c>
      <c r="C19">
        <v>899492.53999999992</v>
      </c>
      <c r="D19">
        <v>562988.17999999993</v>
      </c>
      <c r="E19">
        <v>263423.08</v>
      </c>
      <c r="F19">
        <v>425603.15</v>
      </c>
      <c r="G19">
        <v>305958.33</v>
      </c>
      <c r="H19">
        <v>672890.62</v>
      </c>
      <c r="I19">
        <v>12345476.779999999</v>
      </c>
      <c r="J19">
        <v>10576978.460000001</v>
      </c>
      <c r="K19">
        <v>7124432.6400000006</v>
      </c>
      <c r="L19">
        <v>10896000.060000001</v>
      </c>
      <c r="M19">
        <v>19148189.390000001</v>
      </c>
      <c r="N19">
        <v>13623836.52</v>
      </c>
      <c r="O19">
        <v>13867036.5</v>
      </c>
      <c r="P19">
        <v>9206155.4499999993</v>
      </c>
      <c r="Q19">
        <v>12817967.689999999</v>
      </c>
      <c r="R19">
        <v>13886301.4</v>
      </c>
      <c r="S19">
        <v>10380787.48</v>
      </c>
      <c r="T19">
        <v>962682.01</v>
      </c>
    </row>
    <row r="20" spans="1:20" x14ac:dyDescent="0.35">
      <c r="A20" t="s">
        <v>28</v>
      </c>
      <c r="B20">
        <v>1.739833554773873</v>
      </c>
      <c r="C20">
        <v>1.8457557266477931</v>
      </c>
      <c r="D20">
        <v>1.637929986576339</v>
      </c>
      <c r="E20">
        <v>1.551088536261098</v>
      </c>
      <c r="F20">
        <v>1.817582047835842</v>
      </c>
      <c r="G20">
        <v>1.8825450443303171</v>
      </c>
      <c r="H20">
        <v>1.536819955098442</v>
      </c>
      <c r="I20">
        <v>1.436159714064031</v>
      </c>
      <c r="J20">
        <v>1.492250606771313</v>
      </c>
      <c r="K20">
        <v>1.517889666256466</v>
      </c>
      <c r="L20">
        <v>1.490799103603778</v>
      </c>
      <c r="M20">
        <v>1.4701039827087019</v>
      </c>
      <c r="N20">
        <v>1.381169674902587</v>
      </c>
      <c r="O20">
        <v>1.373241334324079</v>
      </c>
      <c r="P20">
        <v>1.376390473427431</v>
      </c>
      <c r="Q20">
        <v>1.4297530204958131</v>
      </c>
      <c r="R20">
        <v>1.4175333544538531</v>
      </c>
      <c r="S20">
        <v>1.4408555729869541</v>
      </c>
      <c r="T20">
        <v>1.334696293496102</v>
      </c>
    </row>
    <row r="21" spans="1:20" x14ac:dyDescent="0.35">
      <c r="A21" t="s">
        <v>29</v>
      </c>
      <c r="B21">
        <v>0.25305791227693969</v>
      </c>
      <c r="C21">
        <v>0.25156862354522702</v>
      </c>
      <c r="D21">
        <v>0.24542091403766239</v>
      </c>
      <c r="E21">
        <v>0.25911754438145662</v>
      </c>
      <c r="F21">
        <v>0.26179871067918548</v>
      </c>
      <c r="G21">
        <v>0.24776784004867591</v>
      </c>
      <c r="H21">
        <v>0.24753631681178731</v>
      </c>
      <c r="I21">
        <v>0.24626349892085739</v>
      </c>
      <c r="J21">
        <v>0.2500310766058797</v>
      </c>
      <c r="K21">
        <v>0.25839356723976259</v>
      </c>
      <c r="L21">
        <v>0.25592930945155851</v>
      </c>
      <c r="M21">
        <v>0.25685946574173713</v>
      </c>
      <c r="N21">
        <v>0.25504768370436959</v>
      </c>
      <c r="O21">
        <v>0.2584740397994193</v>
      </c>
      <c r="P21">
        <v>0.25383789231508141</v>
      </c>
      <c r="Q21">
        <v>0.25451150362386338</v>
      </c>
      <c r="R21">
        <v>0.25133681424493642</v>
      </c>
      <c r="S21">
        <v>0.25376165217419522</v>
      </c>
      <c r="T21">
        <v>0.25464288353845937</v>
      </c>
    </row>
    <row r="23" spans="1:20" x14ac:dyDescent="0.35">
      <c r="A23" t="s">
        <v>31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  <c r="H23" t="s">
        <v>8</v>
      </c>
      <c r="I23" t="s">
        <v>9</v>
      </c>
      <c r="J23" t="s">
        <v>10</v>
      </c>
      <c r="K23" t="s">
        <v>11</v>
      </c>
      <c r="L23" t="s">
        <v>12</v>
      </c>
      <c r="M23" t="s">
        <v>13</v>
      </c>
      <c r="N23" t="s">
        <v>14</v>
      </c>
      <c r="O23" t="s">
        <v>15</v>
      </c>
      <c r="P23" t="s">
        <v>16</v>
      </c>
      <c r="Q23" t="s">
        <v>17</v>
      </c>
      <c r="R23" t="s">
        <v>18</v>
      </c>
      <c r="S23" t="s">
        <v>19</v>
      </c>
      <c r="T23" t="s">
        <v>20</v>
      </c>
    </row>
    <row r="24" spans="1:20" x14ac:dyDescent="0.35">
      <c r="A24" t="s">
        <v>21</v>
      </c>
      <c r="B24">
        <v>133.12037908193511</v>
      </c>
      <c r="C24">
        <v>136.6683951403231</v>
      </c>
      <c r="D24">
        <v>138.62864868684039</v>
      </c>
      <c r="E24">
        <v>138.59050899395061</v>
      </c>
      <c r="F24">
        <v>136.5977822946567</v>
      </c>
      <c r="G24">
        <v>138.66143651742061</v>
      </c>
      <c r="H24">
        <v>136.74607465791121</v>
      </c>
      <c r="I24">
        <v>136.40095541528581</v>
      </c>
      <c r="J24">
        <v>139.33684189994361</v>
      </c>
      <c r="K24">
        <v>140.49507574263211</v>
      </c>
      <c r="L24">
        <v>139.74161061432349</v>
      </c>
      <c r="M24">
        <v>139.72951670083799</v>
      </c>
      <c r="N24">
        <v>140.89467165664311</v>
      </c>
      <c r="O24">
        <v>140.74632126051301</v>
      </c>
      <c r="P24">
        <v>141.89606516074809</v>
      </c>
      <c r="Q24">
        <v>143.367607810078</v>
      </c>
      <c r="R24">
        <v>143.2943491883396</v>
      </c>
      <c r="S24">
        <v>144.07307443904159</v>
      </c>
      <c r="T24">
        <v>142.57055737163861</v>
      </c>
    </row>
    <row r="25" spans="1:20" x14ac:dyDescent="0.35">
      <c r="A25" t="s">
        <v>22</v>
      </c>
      <c r="B25">
        <v>-2.2162932982930101</v>
      </c>
      <c r="C25">
        <v>-0.47737683573350859</v>
      </c>
      <c r="D25">
        <v>-1.918908982867833</v>
      </c>
      <c r="E25">
        <v>7.8109340654577863E-2</v>
      </c>
      <c r="F25">
        <v>-0.87944729457333892</v>
      </c>
      <c r="G25">
        <v>-0.27956716811772248</v>
      </c>
      <c r="H25">
        <v>-0.77911181583752409</v>
      </c>
      <c r="I25">
        <v>-1.470995233925009</v>
      </c>
      <c r="J25">
        <v>-0.92946988329114788</v>
      </c>
      <c r="K25">
        <v>-0.35982733314750698</v>
      </c>
      <c r="L25">
        <v>-1.2387878594366839</v>
      </c>
      <c r="M25">
        <v>-0.80416446897197602</v>
      </c>
      <c r="N25">
        <v>-0.6923881138821173</v>
      </c>
      <c r="O25">
        <v>-2.968368322751758E-2</v>
      </c>
      <c r="P25">
        <v>-0.31638910384833713</v>
      </c>
      <c r="Q25">
        <v>-0.60282494326784786</v>
      </c>
      <c r="R25">
        <v>1.0229288192588799</v>
      </c>
      <c r="S25">
        <v>1.9971619832414831</v>
      </c>
      <c r="T25">
        <v>1.139809230909123</v>
      </c>
    </row>
    <row r="26" spans="1:20" x14ac:dyDescent="0.35">
      <c r="A26" t="s">
        <v>23</v>
      </c>
      <c r="B26">
        <v>-1.820455731903958</v>
      </c>
      <c r="C26">
        <v>-2.6634752904585621</v>
      </c>
      <c r="D26">
        <v>-3.7772281423342</v>
      </c>
      <c r="E26">
        <v>-3.9042896378010021</v>
      </c>
      <c r="F26">
        <v>-3.0171307133178789</v>
      </c>
      <c r="G26">
        <v>-3.127230701278501</v>
      </c>
      <c r="H26">
        <v>-1.775998918256938</v>
      </c>
      <c r="I26">
        <v>-2.2303602597432661</v>
      </c>
      <c r="J26">
        <v>-2.5405986411637258</v>
      </c>
      <c r="K26">
        <v>-1.8613370836013461</v>
      </c>
      <c r="L26">
        <v>-1.1599906698538429</v>
      </c>
      <c r="M26">
        <v>0.41727102755426621</v>
      </c>
      <c r="N26">
        <v>-0.1158957256941776</v>
      </c>
      <c r="O26">
        <v>0.30805031868037858</v>
      </c>
      <c r="P26">
        <v>3.918022700143438</v>
      </c>
      <c r="Q26">
        <v>1.656903462752022</v>
      </c>
      <c r="R26">
        <v>1.423736542195899</v>
      </c>
      <c r="S26">
        <v>1.578379920497111</v>
      </c>
      <c r="T26">
        <v>2.1079618774464182</v>
      </c>
    </row>
    <row r="27" spans="1:20" x14ac:dyDescent="0.35">
      <c r="A27" t="s">
        <v>24</v>
      </c>
      <c r="B27">
        <v>2.4602878592271318</v>
      </c>
      <c r="C27">
        <v>2.1167809568274261</v>
      </c>
      <c r="D27">
        <v>3.4739000542892571</v>
      </c>
      <c r="E27">
        <v>0.96137447230096162</v>
      </c>
      <c r="F27">
        <v>-3.8811945120956093E-2</v>
      </c>
      <c r="G27">
        <v>4.1761498398368584</v>
      </c>
      <c r="H27">
        <v>4.3670143968923369</v>
      </c>
      <c r="I27">
        <v>4.4952084704646156</v>
      </c>
      <c r="J27">
        <v>4.95601457732415</v>
      </c>
      <c r="K27">
        <v>4.7421170593007869</v>
      </c>
      <c r="L27">
        <v>5.0125439421631048</v>
      </c>
      <c r="M27">
        <v>5.587085026666367</v>
      </c>
      <c r="N27">
        <v>5.7623239611802131</v>
      </c>
      <c r="O27">
        <v>5.8670325803919781</v>
      </c>
      <c r="P27">
        <v>5.2688093842299928</v>
      </c>
      <c r="Q27">
        <v>5.4134353685041319</v>
      </c>
      <c r="R27">
        <v>4.5353110670501744</v>
      </c>
      <c r="S27">
        <v>4.4658977703623908</v>
      </c>
      <c r="T27">
        <v>5.2493402362507293</v>
      </c>
    </row>
    <row r="28" spans="1:20" x14ac:dyDescent="0.35">
      <c r="A28" t="s">
        <v>25</v>
      </c>
      <c r="B28">
        <v>-1.2005314047659901</v>
      </c>
      <c r="C28">
        <v>-0.10896590371806569</v>
      </c>
      <c r="D28">
        <v>-0.25012255349201368</v>
      </c>
      <c r="E28">
        <v>-0.44129959570103622</v>
      </c>
      <c r="F28">
        <v>-0.5343484043800123</v>
      </c>
      <c r="G28">
        <v>9.1327885149139199E-2</v>
      </c>
      <c r="H28">
        <v>0.1247446557082563</v>
      </c>
      <c r="I28">
        <v>0.22511335808923091</v>
      </c>
      <c r="J28">
        <v>9.1647072159665444E-2</v>
      </c>
      <c r="K28">
        <v>0.1663960886982849</v>
      </c>
      <c r="L28">
        <v>-0.21531323941110739</v>
      </c>
      <c r="M28">
        <v>-0.28585159544083077</v>
      </c>
      <c r="N28">
        <v>-0.13843087681115579</v>
      </c>
      <c r="O28">
        <v>-0.46429366838047931</v>
      </c>
      <c r="P28">
        <v>-1.40091452670682E-2</v>
      </c>
      <c r="Q28">
        <v>-0.30984074577687698</v>
      </c>
      <c r="R28">
        <v>-6.4554844573725401E-2</v>
      </c>
      <c r="S28">
        <v>-6.2569185860062437E-2</v>
      </c>
      <c r="T28">
        <v>-0.38478481774041562</v>
      </c>
    </row>
    <row r="29" spans="1:20" x14ac:dyDescent="0.35">
      <c r="A29" t="s">
        <v>26</v>
      </c>
      <c r="B29">
        <v>130.34338650619921</v>
      </c>
      <c r="C29">
        <v>135.5353580672404</v>
      </c>
      <c r="D29">
        <v>136.1562890624356</v>
      </c>
      <c r="E29">
        <v>135.28440357340409</v>
      </c>
      <c r="F29">
        <v>132.12804393726449</v>
      </c>
      <c r="G29">
        <v>139.52211637301031</v>
      </c>
      <c r="H29">
        <v>138.68272297641741</v>
      </c>
      <c r="I29">
        <v>137.41992175017131</v>
      </c>
      <c r="J29">
        <v>140.91443502497251</v>
      </c>
      <c r="K29">
        <v>143.18242447388241</v>
      </c>
      <c r="L29">
        <v>142.14006278778501</v>
      </c>
      <c r="M29">
        <v>144.6438566906458</v>
      </c>
      <c r="N29">
        <v>145.71028090143591</v>
      </c>
      <c r="O29">
        <v>146.4274268079773</v>
      </c>
      <c r="P29">
        <v>150.7524989960061</v>
      </c>
      <c r="Q29">
        <v>149.52528095228951</v>
      </c>
      <c r="R29">
        <v>150.2117707722708</v>
      </c>
      <c r="S29">
        <v>152.05194492728251</v>
      </c>
      <c r="T29">
        <v>150.68288389850451</v>
      </c>
    </row>
    <row r="30" spans="1:20" x14ac:dyDescent="0.35">
      <c r="A30" t="s">
        <v>27</v>
      </c>
      <c r="B30">
        <v>673147.34999999986</v>
      </c>
      <c r="C30">
        <v>936041.65</v>
      </c>
      <c r="D30">
        <v>569954.71</v>
      </c>
      <c r="E30">
        <v>289602.52</v>
      </c>
      <c r="F30">
        <v>434256.28</v>
      </c>
      <c r="G30">
        <v>358184.17</v>
      </c>
      <c r="H30">
        <v>1080737.22</v>
      </c>
      <c r="I30">
        <v>12629927.16</v>
      </c>
      <c r="J30">
        <v>11561688.75</v>
      </c>
      <c r="K30">
        <v>8952643.0199999996</v>
      </c>
      <c r="L30">
        <v>9286696.9699999988</v>
      </c>
      <c r="M30">
        <v>13488694.83</v>
      </c>
      <c r="N30">
        <v>9761732.0800000019</v>
      </c>
      <c r="O30">
        <v>8018057.6000000006</v>
      </c>
      <c r="P30">
        <v>3486723.63</v>
      </c>
      <c r="Q30">
        <v>4670807.6900000004</v>
      </c>
      <c r="R30">
        <v>4613193.3899999997</v>
      </c>
      <c r="S30">
        <v>2043913.74</v>
      </c>
      <c r="T30">
        <v>250875.7</v>
      </c>
    </row>
    <row r="31" spans="1:20" x14ac:dyDescent="0.35">
      <c r="A31" t="s">
        <v>28</v>
      </c>
      <c r="B31">
        <v>1.694733409833014</v>
      </c>
      <c r="C31">
        <v>1.7251858497767341</v>
      </c>
      <c r="D31">
        <v>1.6108313468635269</v>
      </c>
      <c r="E31">
        <v>1.836162374480858</v>
      </c>
      <c r="F31">
        <v>1.9444392629390721</v>
      </c>
      <c r="G31">
        <v>1.557412478162465</v>
      </c>
      <c r="H31">
        <v>1.543500621443709</v>
      </c>
      <c r="I31">
        <v>1.5342954242716931</v>
      </c>
      <c r="J31">
        <v>1.5020941019988781</v>
      </c>
      <c r="K31">
        <v>1.516871605007384</v>
      </c>
      <c r="L31">
        <v>1.4982366457349661</v>
      </c>
      <c r="M31">
        <v>1.4601264377879539</v>
      </c>
      <c r="N31">
        <v>1.448885450195921</v>
      </c>
      <c r="O31">
        <v>1.442250973494466</v>
      </c>
      <c r="P31">
        <v>1.4809952086327209</v>
      </c>
      <c r="Q31">
        <v>1.4714388694891569</v>
      </c>
      <c r="R31">
        <v>1.5314382920830261</v>
      </c>
      <c r="S31">
        <v>1.536390434391006</v>
      </c>
      <c r="T31">
        <v>1.4822911443578839</v>
      </c>
    </row>
    <row r="32" spans="1:20" x14ac:dyDescent="0.35">
      <c r="A32" t="s">
        <v>29</v>
      </c>
      <c r="B32">
        <v>0.26715044863951409</v>
      </c>
      <c r="C32">
        <v>0.25155665576740088</v>
      </c>
      <c r="D32">
        <v>0.2535731793356002</v>
      </c>
      <c r="E32">
        <v>0.25630427993858618</v>
      </c>
      <c r="F32">
        <v>0.25763354863400018</v>
      </c>
      <c r="G32">
        <v>0.2486953159264409</v>
      </c>
      <c r="H32">
        <v>0.24821793348988211</v>
      </c>
      <c r="I32">
        <v>0.24678409488443959</v>
      </c>
      <c r="J32">
        <v>0.24869075611200481</v>
      </c>
      <c r="K32">
        <v>0.2476229130185959</v>
      </c>
      <c r="L32">
        <v>0.25307590342015868</v>
      </c>
      <c r="M32">
        <v>0.2540835942205833</v>
      </c>
      <c r="N32">
        <v>0.25197758395444508</v>
      </c>
      <c r="O32">
        <v>0.25663276669114971</v>
      </c>
      <c r="P32">
        <v>0.2502001306466724</v>
      </c>
      <c r="Q32">
        <v>0.2544262963682411</v>
      </c>
      <c r="R32">
        <v>0.25092221206533888</v>
      </c>
      <c r="S32">
        <v>0.25089384551228661</v>
      </c>
      <c r="T32">
        <v>0.25549692596772022</v>
      </c>
    </row>
    <row r="34" spans="1:20" x14ac:dyDescent="0.35">
      <c r="A34" t="s">
        <v>32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L34" t="s">
        <v>12</v>
      </c>
      <c r="M34" t="s">
        <v>13</v>
      </c>
      <c r="N34" t="s">
        <v>14</v>
      </c>
      <c r="O34" t="s">
        <v>15</v>
      </c>
      <c r="P34" t="s">
        <v>16</v>
      </c>
      <c r="Q34" t="s">
        <v>17</v>
      </c>
      <c r="R34" t="s">
        <v>18</v>
      </c>
      <c r="S34" t="s">
        <v>19</v>
      </c>
      <c r="T34" t="s">
        <v>20</v>
      </c>
    </row>
    <row r="35" spans="1:20" x14ac:dyDescent="0.35">
      <c r="A35" t="s">
        <v>21</v>
      </c>
      <c r="B35">
        <v>133.4838248769216</v>
      </c>
      <c r="C35">
        <v>135.73661257958611</v>
      </c>
      <c r="D35">
        <v>138.0945758616306</v>
      </c>
      <c r="E35">
        <v>138.44224473784331</v>
      </c>
      <c r="F35">
        <v>137.59855610889639</v>
      </c>
      <c r="G35">
        <v>138.64954261126601</v>
      </c>
      <c r="H35">
        <v>136.98609331025651</v>
      </c>
      <c r="I35">
        <v>136.66725609044869</v>
      </c>
      <c r="J35">
        <v>138.9099623992218</v>
      </c>
      <c r="K35">
        <v>140.2960401936221</v>
      </c>
      <c r="L35">
        <v>138.5241836474604</v>
      </c>
      <c r="M35">
        <v>138.53563587769261</v>
      </c>
      <c r="N35">
        <v>139.67897144904919</v>
      </c>
      <c r="O35">
        <v>139.56038423755339</v>
      </c>
      <c r="P35">
        <v>140.75182969155591</v>
      </c>
      <c r="Q35">
        <v>142.3367679544435</v>
      </c>
      <c r="R35">
        <v>142.248384018141</v>
      </c>
      <c r="S35">
        <v>143.1311110575833</v>
      </c>
      <c r="T35">
        <v>143.32864162303301</v>
      </c>
    </row>
    <row r="36" spans="1:20" x14ac:dyDescent="0.35">
      <c r="A36" t="s">
        <v>22</v>
      </c>
      <c r="B36">
        <v>-0.6478364336226643</v>
      </c>
      <c r="C36">
        <v>0.26951373965483377</v>
      </c>
      <c r="D36">
        <v>-0.82960169842341935</v>
      </c>
      <c r="E36">
        <v>0.43778680531670278</v>
      </c>
      <c r="F36">
        <v>0.41137817880218308</v>
      </c>
      <c r="G36">
        <v>5.2854786711825551E-2</v>
      </c>
      <c r="H36">
        <v>-0.110059895165058</v>
      </c>
      <c r="I36">
        <v>-0.77877987695181006</v>
      </c>
      <c r="J36">
        <v>-0.13145612864374001</v>
      </c>
      <c r="K36">
        <v>0.12777305066226541</v>
      </c>
      <c r="L36">
        <v>-2.0309156596912431E-2</v>
      </c>
      <c r="M36">
        <v>3.7203852842574048E-2</v>
      </c>
      <c r="N36">
        <v>0.21188789168360811</v>
      </c>
      <c r="O36">
        <v>0.51349504647141564</v>
      </c>
      <c r="P36">
        <v>1.1165661403534159</v>
      </c>
      <c r="Q36">
        <v>1.430093505676802</v>
      </c>
      <c r="R36">
        <v>1.947443479492392</v>
      </c>
      <c r="S36">
        <v>1.7957668921904131</v>
      </c>
      <c r="T36">
        <v>1.4733526634133249</v>
      </c>
    </row>
    <row r="37" spans="1:20" x14ac:dyDescent="0.35">
      <c r="A37" t="s">
        <v>23</v>
      </c>
      <c r="B37">
        <v>-0.49115828284967439</v>
      </c>
      <c r="C37">
        <v>-2.2343090579463478</v>
      </c>
      <c r="D37">
        <v>-2.9654972658337919</v>
      </c>
      <c r="E37">
        <v>-2.6179556498372998</v>
      </c>
      <c r="F37">
        <v>-1.2166731393756081</v>
      </c>
      <c r="G37">
        <v>-1.8705341234287891</v>
      </c>
      <c r="H37">
        <v>-1.4849251698874031</v>
      </c>
      <c r="I37">
        <v>-1.6370389882648291</v>
      </c>
      <c r="J37">
        <v>-1.4782175006740359</v>
      </c>
      <c r="K37">
        <v>-0.97569917765630909</v>
      </c>
      <c r="L37">
        <v>0.70038535830928539</v>
      </c>
      <c r="M37">
        <v>1.5127172805976989</v>
      </c>
      <c r="N37">
        <v>1.6123680723470959</v>
      </c>
      <c r="O37">
        <v>1.7508037929461679</v>
      </c>
      <c r="P37">
        <v>4.2942213805246334</v>
      </c>
      <c r="Q37">
        <v>2.9225876172220882</v>
      </c>
      <c r="R37">
        <v>3.213140461803345</v>
      </c>
      <c r="S37">
        <v>2.7569537199287599</v>
      </c>
      <c r="T37">
        <v>1.9984714504486889</v>
      </c>
    </row>
    <row r="38" spans="1:20" x14ac:dyDescent="0.35">
      <c r="A38" t="s">
        <v>24</v>
      </c>
      <c r="B38">
        <v>2.179652496349247</v>
      </c>
      <c r="C38">
        <v>1.504833063167154</v>
      </c>
      <c r="D38">
        <v>3.305576848253581</v>
      </c>
      <c r="E38">
        <v>2.5337958158492819</v>
      </c>
      <c r="F38">
        <v>0.54713027605012454</v>
      </c>
      <c r="G38">
        <v>2.4912926104236202</v>
      </c>
      <c r="H38">
        <v>4.4026552159971759</v>
      </c>
      <c r="I38">
        <v>5.2212497894877341</v>
      </c>
      <c r="J38">
        <v>5.0252090221730201</v>
      </c>
      <c r="K38">
        <v>4.735654883607439</v>
      </c>
      <c r="L38">
        <v>5.071832167095109</v>
      </c>
      <c r="M38">
        <v>5.497144619809097</v>
      </c>
      <c r="N38">
        <v>6.4124699847395812</v>
      </c>
      <c r="O38">
        <v>6.5951609296699543</v>
      </c>
      <c r="P38">
        <v>6.4963188375423053</v>
      </c>
      <c r="Q38">
        <v>5.8923916000220453</v>
      </c>
      <c r="R38">
        <v>5.8342452094897812</v>
      </c>
      <c r="S38">
        <v>5.6550428141740579</v>
      </c>
      <c r="T38">
        <v>7.2011087683939996</v>
      </c>
    </row>
    <row r="39" spans="1:20" x14ac:dyDescent="0.35">
      <c r="A39" t="s">
        <v>25</v>
      </c>
      <c r="B39">
        <v>-0.65173645713114658</v>
      </c>
      <c r="C39">
        <v>-0.10937643536893391</v>
      </c>
      <c r="D39">
        <v>3.345222599878777E-2</v>
      </c>
      <c r="E39">
        <v>-0.53510269434181912</v>
      </c>
      <c r="F39">
        <v>-0.67866202325652025</v>
      </c>
      <c r="G39">
        <v>0.12123686996390209</v>
      </c>
      <c r="H39">
        <v>0.1430528406642998</v>
      </c>
      <c r="I39">
        <v>0.24312669543874491</v>
      </c>
      <c r="J39">
        <v>4.6822428466726053E-2</v>
      </c>
      <c r="K39">
        <v>-0.16770920182321131</v>
      </c>
      <c r="L39">
        <v>-0.32314569891929729</v>
      </c>
      <c r="M39">
        <v>-0.39985463346292249</v>
      </c>
      <c r="N39">
        <v>-0.2636302100663907</v>
      </c>
      <c r="O39">
        <v>-0.54596158763877489</v>
      </c>
      <c r="P39">
        <v>-0.19870214863409699</v>
      </c>
      <c r="Q39">
        <v>-0.31421228511026422</v>
      </c>
      <c r="R39">
        <v>-8.6339783160642197E-2</v>
      </c>
      <c r="S39">
        <v>-0.2302920443393994</v>
      </c>
      <c r="T39">
        <v>-0.33736062909607978</v>
      </c>
    </row>
    <row r="40" spans="1:20" x14ac:dyDescent="0.35">
      <c r="A40" t="s">
        <v>26</v>
      </c>
      <c r="B40">
        <v>133.87274619966729</v>
      </c>
      <c r="C40">
        <v>135.16727388909291</v>
      </c>
      <c r="D40">
        <v>137.63850597162579</v>
      </c>
      <c r="E40">
        <v>138.2607690148302</v>
      </c>
      <c r="F40">
        <v>136.6617294011165</v>
      </c>
      <c r="G40">
        <v>139.44439275493659</v>
      </c>
      <c r="H40">
        <v>139.93681630186549</v>
      </c>
      <c r="I40">
        <v>139.7158137101585</v>
      </c>
      <c r="J40">
        <v>142.37232022054371</v>
      </c>
      <c r="K40">
        <v>144.01605974841229</v>
      </c>
      <c r="L40">
        <v>143.95294631734859</v>
      </c>
      <c r="M40">
        <v>145.182846997479</v>
      </c>
      <c r="N40">
        <v>147.65206718775309</v>
      </c>
      <c r="O40">
        <v>147.8738824190022</v>
      </c>
      <c r="P40">
        <v>152.46023390134209</v>
      </c>
      <c r="Q40">
        <v>152.26762839225421</v>
      </c>
      <c r="R40">
        <v>153.15687338576581</v>
      </c>
      <c r="S40">
        <v>153.1085824395372</v>
      </c>
      <c r="T40">
        <v>153.66421387619289</v>
      </c>
    </row>
    <row r="41" spans="1:20" x14ac:dyDescent="0.35">
      <c r="A41" t="s">
        <v>27</v>
      </c>
      <c r="B41">
        <v>1517183.34</v>
      </c>
      <c r="C41">
        <v>1835534.19</v>
      </c>
      <c r="D41">
        <v>1132942.8899999999</v>
      </c>
      <c r="E41">
        <v>553025.6</v>
      </c>
      <c r="F41">
        <v>859859.42999999993</v>
      </c>
      <c r="G41">
        <v>664142.5</v>
      </c>
      <c r="H41">
        <v>1753627.84</v>
      </c>
      <c r="I41">
        <v>24975403.940000001</v>
      </c>
      <c r="J41">
        <v>22138667.210000001</v>
      </c>
      <c r="K41">
        <v>16077075.66</v>
      </c>
      <c r="L41">
        <v>20182697.030000001</v>
      </c>
      <c r="M41">
        <v>32636884.219999999</v>
      </c>
      <c r="N41">
        <v>23385568.600000001</v>
      </c>
      <c r="O41">
        <v>21885094.100000001</v>
      </c>
      <c r="P41">
        <v>12692879.08</v>
      </c>
      <c r="Q41">
        <v>17488775.379999999</v>
      </c>
      <c r="R41">
        <v>18499494.789999999</v>
      </c>
      <c r="S41">
        <v>12424701.220000001</v>
      </c>
      <c r="T41">
        <v>1213557.71</v>
      </c>
    </row>
    <row r="42" spans="1:20" x14ac:dyDescent="0.35">
      <c r="A42" t="s">
        <v>28</v>
      </c>
      <c r="B42">
        <v>1.7198234200385709</v>
      </c>
      <c r="C42">
        <v>1.784270396054914</v>
      </c>
      <c r="D42">
        <v>1.624297351184709</v>
      </c>
      <c r="E42">
        <v>1.7003729490161581</v>
      </c>
      <c r="F42">
        <v>1.8816489643571721</v>
      </c>
      <c r="G42">
        <v>1.7071951181430871</v>
      </c>
      <c r="H42">
        <v>1.540937159792074</v>
      </c>
      <c r="I42">
        <v>1.485786413784093</v>
      </c>
      <c r="J42">
        <v>1.4973912698001071</v>
      </c>
      <c r="K42">
        <v>1.5173227510333069</v>
      </c>
      <c r="L42">
        <v>1.4942213518727421</v>
      </c>
      <c r="M42">
        <v>1.46598030295786</v>
      </c>
      <c r="N42">
        <v>1.4094359645665051</v>
      </c>
      <c r="O42">
        <v>1.398524445253146</v>
      </c>
      <c r="P42">
        <v>1.4051253096888801</v>
      </c>
      <c r="Q42">
        <v>1.4408862519435079</v>
      </c>
      <c r="R42">
        <v>1.4459376709675831</v>
      </c>
      <c r="S42">
        <v>1.456571445136734</v>
      </c>
      <c r="T42">
        <v>1.3652082017648439</v>
      </c>
    </row>
    <row r="43" spans="1:20" x14ac:dyDescent="0.35">
      <c r="A43" t="s">
        <v>29</v>
      </c>
      <c r="B43">
        <v>0.2593105208161593</v>
      </c>
      <c r="C43">
        <v>0.2515625205052705</v>
      </c>
      <c r="D43">
        <v>0.24952211105716021</v>
      </c>
      <c r="E43">
        <v>0.25764432420488309</v>
      </c>
      <c r="F43">
        <v>0.25969517176080748</v>
      </c>
      <c r="G43">
        <v>0.24826804471480141</v>
      </c>
      <c r="H43">
        <v>0.24795638799051001</v>
      </c>
      <c r="I43">
        <v>0.2465267614937322</v>
      </c>
      <c r="J43">
        <v>0.24933110816476109</v>
      </c>
      <c r="K43">
        <v>0.25239584574033158</v>
      </c>
      <c r="L43">
        <v>0.25461636712741847</v>
      </c>
      <c r="M43">
        <v>0.25571220904947028</v>
      </c>
      <c r="N43">
        <v>0.25376614585809132</v>
      </c>
      <c r="O43">
        <v>0.2577994512519825</v>
      </c>
      <c r="P43">
        <v>0.25283860212334419</v>
      </c>
      <c r="Q43">
        <v>0.25448874693014661</v>
      </c>
      <c r="R43">
        <v>0.25123342547372352</v>
      </c>
      <c r="S43">
        <v>0.25328988634770572</v>
      </c>
      <c r="T43">
        <v>0.25481943755851538</v>
      </c>
    </row>
    <row r="45" spans="1:20" x14ac:dyDescent="0.35">
      <c r="A45" t="s">
        <v>33</v>
      </c>
      <c r="B45" t="s">
        <v>2</v>
      </c>
      <c r="C45" t="s">
        <v>3</v>
      </c>
      <c r="D45" t="s">
        <v>4</v>
      </c>
      <c r="E45" t="s">
        <v>5</v>
      </c>
      <c r="F45" t="s">
        <v>6</v>
      </c>
      <c r="G45" t="s">
        <v>7</v>
      </c>
      <c r="H45" t="s">
        <v>8</v>
      </c>
      <c r="I45" t="s">
        <v>9</v>
      </c>
      <c r="J45" t="s">
        <v>10</v>
      </c>
      <c r="K45" t="s">
        <v>11</v>
      </c>
      <c r="L45" t="s">
        <v>12</v>
      </c>
      <c r="M45" t="s">
        <v>13</v>
      </c>
      <c r="N45" t="s">
        <v>14</v>
      </c>
      <c r="O45" t="s">
        <v>15</v>
      </c>
      <c r="P45" t="s">
        <v>16</v>
      </c>
      <c r="Q45" t="s">
        <v>17</v>
      </c>
      <c r="R45" t="s">
        <v>18</v>
      </c>
      <c r="S45" t="s">
        <v>19</v>
      </c>
      <c r="T45" t="s">
        <v>20</v>
      </c>
    </row>
    <row r="46" spans="1:20" x14ac:dyDescent="0.35">
      <c r="A46" t="s">
        <v>21</v>
      </c>
      <c r="B46">
        <v>136.57458766888041</v>
      </c>
      <c r="C46">
        <v>134.4439573608696</v>
      </c>
      <c r="D46">
        <v>137.37401686903971</v>
      </c>
      <c r="E46">
        <v>135.28020878767941</v>
      </c>
      <c r="F46">
        <v>134.6312415648415</v>
      </c>
      <c r="G46">
        <v>136.3950860486899</v>
      </c>
      <c r="H46">
        <v>135.71662585762951</v>
      </c>
      <c r="I46">
        <v>135.5475109334416</v>
      </c>
      <c r="J46">
        <v>135.78371625716559</v>
      </c>
      <c r="K46">
        <v>136.66663326798081</v>
      </c>
      <c r="L46">
        <v>135.4988273011466</v>
      </c>
      <c r="M46">
        <v>135.8653585329223</v>
      </c>
      <c r="N46">
        <v>136.92258915519969</v>
      </c>
      <c r="O46">
        <v>137.49790946595891</v>
      </c>
      <c r="P46">
        <v>139.96400206096601</v>
      </c>
      <c r="Q46">
        <v>140.88874017961811</v>
      </c>
      <c r="R46">
        <v>140.90188033383521</v>
      </c>
      <c r="S46">
        <v>140.8553475842846</v>
      </c>
      <c r="T46">
        <v>141.44315219635061</v>
      </c>
    </row>
    <row r="47" spans="1:20" x14ac:dyDescent="0.35">
      <c r="A47" t="s">
        <v>22</v>
      </c>
      <c r="B47">
        <v>2.4990495841288118</v>
      </c>
      <c r="C47">
        <v>2.4454041377879321E-2</v>
      </c>
      <c r="D47">
        <v>1.058034553335744</v>
      </c>
      <c r="E47">
        <v>-1.935985270362607</v>
      </c>
      <c r="F47">
        <v>-0.64709655479896355</v>
      </c>
      <c r="G47">
        <v>1.842983098398463</v>
      </c>
      <c r="H47">
        <v>1.809594926053222</v>
      </c>
      <c r="I47">
        <v>0.73754284540206072</v>
      </c>
      <c r="J47">
        <v>1.942770744330943</v>
      </c>
      <c r="K47">
        <v>1.8979032662514901</v>
      </c>
      <c r="L47">
        <v>1.0139365102701841</v>
      </c>
      <c r="M47">
        <v>0.74330627610200395</v>
      </c>
      <c r="N47">
        <v>1.2650336214425411</v>
      </c>
      <c r="O47">
        <v>1.404634113696972</v>
      </c>
      <c r="P47">
        <v>1.595552357739876</v>
      </c>
      <c r="Q47">
        <v>2.1175077277450778</v>
      </c>
      <c r="R47">
        <v>2.2331352191556562</v>
      </c>
      <c r="S47">
        <v>2.3479511281263972</v>
      </c>
      <c r="T47">
        <v>2.2107072394951501</v>
      </c>
    </row>
    <row r="48" spans="1:20" x14ac:dyDescent="0.35">
      <c r="A48" t="s">
        <v>23</v>
      </c>
      <c r="B48">
        <v>-3.1565365398093159</v>
      </c>
      <c r="C48">
        <v>-2.8194905602841489</v>
      </c>
      <c r="D48">
        <v>-3.2769511626336172</v>
      </c>
      <c r="E48">
        <v>-2.7925232831302691</v>
      </c>
      <c r="F48">
        <v>-3.0865538505769829</v>
      </c>
      <c r="G48">
        <v>-2.4957773515469079</v>
      </c>
      <c r="H48">
        <v>0.31908438422163482</v>
      </c>
      <c r="I48">
        <v>-1.642605301779372</v>
      </c>
      <c r="J48">
        <v>-0.51824289431461223</v>
      </c>
      <c r="K48">
        <v>-5.9824275580938613E-2</v>
      </c>
      <c r="L48">
        <v>1.890017009238536</v>
      </c>
      <c r="M48">
        <v>1.393037364473855</v>
      </c>
      <c r="N48">
        <v>1.488543255449732</v>
      </c>
      <c r="O48">
        <v>2.2938867976473412</v>
      </c>
      <c r="P48">
        <v>4.3581894443654106</v>
      </c>
      <c r="Q48">
        <v>2.6538907405846111</v>
      </c>
      <c r="R48">
        <v>3.2018227259239138</v>
      </c>
      <c r="S48">
        <v>3.9736395061691359</v>
      </c>
      <c r="T48">
        <v>2.3044442640498302</v>
      </c>
    </row>
    <row r="49" spans="1:20" x14ac:dyDescent="0.35">
      <c r="A49" t="s">
        <v>24</v>
      </c>
      <c r="B49">
        <v>3.525432263264086</v>
      </c>
      <c r="C49">
        <v>2.9241240412221852</v>
      </c>
      <c r="D49">
        <v>5.1299099324073909</v>
      </c>
      <c r="E49">
        <v>8.5902402632288322</v>
      </c>
      <c r="F49">
        <v>-1.344676192979033E-2</v>
      </c>
      <c r="G49">
        <v>2.164393010968964</v>
      </c>
      <c r="H49">
        <v>3.3601670506591592</v>
      </c>
      <c r="I49">
        <v>4.7827413352151149</v>
      </c>
      <c r="J49">
        <v>4.8121696747132452</v>
      </c>
      <c r="K49">
        <v>5.0777058458144904</v>
      </c>
      <c r="L49">
        <v>5.1322433089888682</v>
      </c>
      <c r="M49">
        <v>5.3182757166202306</v>
      </c>
      <c r="N49">
        <v>6.3643334535409464</v>
      </c>
      <c r="O49">
        <v>6.0538597319363374</v>
      </c>
      <c r="P49">
        <v>6.5800973746590623</v>
      </c>
      <c r="Q49">
        <v>5.7050723234769416</v>
      </c>
      <c r="R49">
        <v>5.6434383140697513</v>
      </c>
      <c r="S49">
        <v>5.6852269413050553</v>
      </c>
      <c r="T49">
        <v>5.8573057033953511</v>
      </c>
    </row>
    <row r="50" spans="1:20" x14ac:dyDescent="0.35">
      <c r="A50" t="s">
        <v>25</v>
      </c>
      <c r="B50">
        <v>-0.66234897711325069</v>
      </c>
      <c r="C50">
        <v>-0.86568326947316865</v>
      </c>
      <c r="D50">
        <v>0.43258110926406768</v>
      </c>
      <c r="E50">
        <v>0.21981945802857031</v>
      </c>
      <c r="F50">
        <v>-1.470374076292128</v>
      </c>
      <c r="G50">
        <v>-0.17963452568338259</v>
      </c>
      <c r="H50">
        <v>-0.40949056571142778</v>
      </c>
      <c r="I50">
        <v>-0.32908183341511971</v>
      </c>
      <c r="J50">
        <v>-4.994148109389418E-2</v>
      </c>
      <c r="K50">
        <v>-0.2316106122089972</v>
      </c>
      <c r="L50">
        <v>-0.22510253881012071</v>
      </c>
      <c r="M50">
        <v>-0.18555479968532301</v>
      </c>
      <c r="N50">
        <v>-5.3769466231298191E-2</v>
      </c>
      <c r="O50">
        <v>5.6535174852770369E-2</v>
      </c>
      <c r="P50">
        <v>0.44645721880302519</v>
      </c>
      <c r="Q50">
        <v>0.64709776851227496</v>
      </c>
      <c r="R50">
        <v>0.80782520491813903</v>
      </c>
      <c r="S50">
        <v>0.97677783327863965</v>
      </c>
      <c r="T50">
        <v>1.4851957625741039</v>
      </c>
    </row>
    <row r="51" spans="1:20" x14ac:dyDescent="0.35">
      <c r="A51" t="s">
        <v>26</v>
      </c>
      <c r="B51">
        <v>138.7801839993507</v>
      </c>
      <c r="C51">
        <v>133.70736161371229</v>
      </c>
      <c r="D51">
        <v>140.71759130141331</v>
      </c>
      <c r="E51">
        <v>139.36175995544389</v>
      </c>
      <c r="F51">
        <v>129.41377032124359</v>
      </c>
      <c r="G51">
        <v>137.72705028082709</v>
      </c>
      <c r="H51">
        <v>140.79598165285211</v>
      </c>
      <c r="I51">
        <v>139.0961079788643</v>
      </c>
      <c r="J51">
        <v>141.9704723008013</v>
      </c>
      <c r="K51">
        <v>143.35080749225679</v>
      </c>
      <c r="L51">
        <v>143.30992159083411</v>
      </c>
      <c r="M51">
        <v>143.1344230904331</v>
      </c>
      <c r="N51">
        <v>145.98673001940159</v>
      </c>
      <c r="O51">
        <v>147.3068252840923</v>
      </c>
      <c r="P51">
        <v>152.94429845653329</v>
      </c>
      <c r="Q51">
        <v>152.01230873993711</v>
      </c>
      <c r="R51">
        <v>152.78810179790261</v>
      </c>
      <c r="S51">
        <v>153.83894299316381</v>
      </c>
      <c r="T51">
        <v>153.300805165865</v>
      </c>
    </row>
    <row r="52" spans="1:20" x14ac:dyDescent="0.35">
      <c r="A52" t="s">
        <v>27</v>
      </c>
      <c r="B52">
        <v>811194.4</v>
      </c>
      <c r="C52">
        <v>684751.29999999981</v>
      </c>
      <c r="D52">
        <v>790777.98</v>
      </c>
      <c r="E52">
        <v>299522.43000000011</v>
      </c>
      <c r="F52">
        <v>562170.43000000005</v>
      </c>
      <c r="G52">
        <v>309394.59999999998</v>
      </c>
      <c r="H52">
        <v>693285.97999999986</v>
      </c>
      <c r="I52">
        <v>11795210.9</v>
      </c>
      <c r="J52">
        <v>14689776.470000001</v>
      </c>
      <c r="K52">
        <v>10735673.130000001</v>
      </c>
      <c r="L52">
        <v>14129863.300000001</v>
      </c>
      <c r="M52">
        <v>22109402.140000001</v>
      </c>
      <c r="N52">
        <v>17825229.350000001</v>
      </c>
      <c r="O52">
        <v>14576723.699999999</v>
      </c>
      <c r="P52">
        <v>8813568.8499999996</v>
      </c>
      <c r="Q52">
        <v>15297143.07</v>
      </c>
      <c r="R52">
        <v>14904576.16</v>
      </c>
      <c r="S52">
        <v>13617886.16</v>
      </c>
      <c r="T52">
        <v>1284620.93</v>
      </c>
    </row>
    <row r="53" spans="1:20" x14ac:dyDescent="0.35">
      <c r="A53" t="s">
        <v>28</v>
      </c>
      <c r="B53">
        <v>1.6067871105948299</v>
      </c>
      <c r="C53">
        <v>1.6552797970824591</v>
      </c>
      <c r="D53">
        <v>1.4902907468097539</v>
      </c>
      <c r="E53">
        <v>1.288772581294974</v>
      </c>
      <c r="F53">
        <v>1.9415357275709899</v>
      </c>
      <c r="G53">
        <v>1.720899794797754</v>
      </c>
      <c r="H53">
        <v>1.61982953862514</v>
      </c>
      <c r="I53">
        <v>1.514042676836217</v>
      </c>
      <c r="J53">
        <v>1.51199997486878</v>
      </c>
      <c r="K53">
        <v>1.4938146304840081</v>
      </c>
      <c r="L53">
        <v>1.4901336271956389</v>
      </c>
      <c r="M53">
        <v>1.477712723812264</v>
      </c>
      <c r="N53">
        <v>1.41155321488539</v>
      </c>
      <c r="O53">
        <v>1.4305630546677199</v>
      </c>
      <c r="P53">
        <v>1.3986371419925849</v>
      </c>
      <c r="Q53">
        <v>1.452538865771364</v>
      </c>
      <c r="R53">
        <v>1.456492584852165</v>
      </c>
      <c r="S53">
        <v>1.453809568902761</v>
      </c>
      <c r="T53">
        <v>1.4428647202763261</v>
      </c>
    </row>
    <row r="54" spans="1:20" x14ac:dyDescent="0.35">
      <c r="A54" t="s">
        <v>29</v>
      </c>
      <c r="B54">
        <v>0.25946212824447501</v>
      </c>
      <c r="C54">
        <v>0.26236690384961669</v>
      </c>
      <c r="D54">
        <v>0.2438202698676562</v>
      </c>
      <c r="E54">
        <v>0.24685972202816331</v>
      </c>
      <c r="F54">
        <v>0.27100534394703041</v>
      </c>
      <c r="G54">
        <v>0.25256620750976261</v>
      </c>
      <c r="H54">
        <v>0.25584986522444902</v>
      </c>
      <c r="I54">
        <v>0.25470116904878742</v>
      </c>
      <c r="J54">
        <v>0.25071344972991277</v>
      </c>
      <c r="K54">
        <v>0.2533087230315571</v>
      </c>
      <c r="L54">
        <v>0.2532157505544303</v>
      </c>
      <c r="M54">
        <v>0.25265078285264753</v>
      </c>
      <c r="N54">
        <v>0.25076813523187569</v>
      </c>
      <c r="O54">
        <v>0.2491923546449604</v>
      </c>
      <c r="P54">
        <v>0.24362203973138541</v>
      </c>
      <c r="Q54">
        <v>0.24075574616411041</v>
      </c>
      <c r="R54">
        <v>0.2384596399297409</v>
      </c>
      <c r="S54">
        <v>0.23604603095316229</v>
      </c>
      <c r="T54">
        <v>0.2287829176775128</v>
      </c>
    </row>
    <row r="56" spans="1:20" x14ac:dyDescent="0.35">
      <c r="A56" t="s">
        <v>34</v>
      </c>
      <c r="B56" t="s">
        <v>2</v>
      </c>
      <c r="C56" t="s">
        <v>3</v>
      </c>
      <c r="D56" t="s">
        <v>4</v>
      </c>
      <c r="E56" t="s">
        <v>5</v>
      </c>
      <c r="F56" t="s">
        <v>6</v>
      </c>
      <c r="G56" t="s">
        <v>7</v>
      </c>
      <c r="H56" t="s">
        <v>8</v>
      </c>
      <c r="I56" t="s">
        <v>9</v>
      </c>
      <c r="J56" t="s">
        <v>10</v>
      </c>
      <c r="K56" t="s">
        <v>11</v>
      </c>
      <c r="L56" t="s">
        <v>12</v>
      </c>
      <c r="M56" t="s">
        <v>13</v>
      </c>
      <c r="N56" t="s">
        <v>14</v>
      </c>
      <c r="O56" t="s">
        <v>15</v>
      </c>
      <c r="P56" t="s">
        <v>16</v>
      </c>
      <c r="Q56" t="s">
        <v>17</v>
      </c>
      <c r="R56" t="s">
        <v>18</v>
      </c>
      <c r="S56" t="s">
        <v>19</v>
      </c>
      <c r="T56" t="s">
        <v>20</v>
      </c>
    </row>
    <row r="57" spans="1:20" x14ac:dyDescent="0.35">
      <c r="A57" t="s">
        <v>21</v>
      </c>
      <c r="B57">
        <v>133.05471722001931</v>
      </c>
      <c r="C57">
        <v>134.5139320741186</v>
      </c>
      <c r="D57">
        <v>136.10606037823939</v>
      </c>
      <c r="E57">
        <v>138.7288183339349</v>
      </c>
      <c r="F57">
        <v>138.54205004756989</v>
      </c>
      <c r="G57">
        <v>135.80177801518789</v>
      </c>
      <c r="H57">
        <v>137.8027587072217</v>
      </c>
      <c r="I57">
        <v>137.10609645479559</v>
      </c>
      <c r="J57">
        <v>137.31864188381701</v>
      </c>
      <c r="K57">
        <v>139.40421012522799</v>
      </c>
      <c r="L57">
        <v>136.72909358433151</v>
      </c>
      <c r="M57">
        <v>135.7528715482994</v>
      </c>
      <c r="N57">
        <v>137.59788631619239</v>
      </c>
      <c r="O57">
        <v>136.9519254134525</v>
      </c>
      <c r="P57">
        <v>138.43383214950151</v>
      </c>
      <c r="Q57">
        <v>140.9966716362905</v>
      </c>
      <c r="R57">
        <v>141.79194016169259</v>
      </c>
      <c r="S57">
        <v>142.56864330337109</v>
      </c>
      <c r="T57">
        <v>143.7224609181566</v>
      </c>
    </row>
    <row r="58" spans="1:20" x14ac:dyDescent="0.35">
      <c r="A58" t="s">
        <v>22</v>
      </c>
      <c r="B58">
        <v>7.0659424373133106E-2</v>
      </c>
      <c r="C58">
        <v>0.74292714102682567</v>
      </c>
      <c r="D58">
        <v>2.928718363231241</v>
      </c>
      <c r="E58">
        <v>1.205563697052241</v>
      </c>
      <c r="F58">
        <v>2.1439347736750851</v>
      </c>
      <c r="G58">
        <v>1.3980738102880541</v>
      </c>
      <c r="H58">
        <v>-0.80280221694960119</v>
      </c>
      <c r="I58">
        <v>2.4716293496759651</v>
      </c>
      <c r="J58">
        <v>2.962042970937119</v>
      </c>
      <c r="K58">
        <v>3.7951378672818521</v>
      </c>
      <c r="L58">
        <v>2.5056794411096348</v>
      </c>
      <c r="M58">
        <v>1.82214225162312</v>
      </c>
      <c r="N58">
        <v>1.560841086451205</v>
      </c>
      <c r="O58">
        <v>1.987105259629431</v>
      </c>
      <c r="P58">
        <v>0.85556669228913051</v>
      </c>
      <c r="Q58">
        <v>1.7075138294188721</v>
      </c>
      <c r="R58">
        <v>2.2967735044666431</v>
      </c>
      <c r="S58">
        <v>2.555475430567498</v>
      </c>
      <c r="T58">
        <v>5.0487971049148541</v>
      </c>
    </row>
    <row r="59" spans="1:20" x14ac:dyDescent="0.35">
      <c r="A59" t="s">
        <v>23</v>
      </c>
      <c r="B59">
        <v>-4.0757187880047567</v>
      </c>
      <c r="C59">
        <v>-2.5457988805963372</v>
      </c>
      <c r="D59">
        <v>2.9641352938163581</v>
      </c>
      <c r="E59">
        <v>-1.424330653142472</v>
      </c>
      <c r="F59">
        <v>-1.822080919961278</v>
      </c>
      <c r="G59">
        <v>-2.4645757292670978</v>
      </c>
      <c r="H59">
        <v>-0.46198780339889628</v>
      </c>
      <c r="I59">
        <v>-0.77275742260577573</v>
      </c>
      <c r="J59">
        <v>-0.7532496796723136</v>
      </c>
      <c r="K59">
        <v>-0.42957801767010972</v>
      </c>
      <c r="L59">
        <v>2.985549358153615</v>
      </c>
      <c r="M59">
        <v>2.2772566300522472</v>
      </c>
      <c r="N59">
        <v>1.9760241962578839</v>
      </c>
      <c r="O59">
        <v>2.345578656246941</v>
      </c>
      <c r="P59">
        <v>3.0891644158772551</v>
      </c>
      <c r="Q59">
        <v>0.10716485354717881</v>
      </c>
      <c r="R59">
        <v>0.1242353570597388</v>
      </c>
      <c r="S59">
        <v>-0.57638541486927908</v>
      </c>
      <c r="T59">
        <v>-0.43314476354718701</v>
      </c>
    </row>
    <row r="60" spans="1:20" x14ac:dyDescent="0.35">
      <c r="A60" t="s">
        <v>24</v>
      </c>
      <c r="B60">
        <v>1.4691828924063881</v>
      </c>
      <c r="C60">
        <v>0.21378683338143081</v>
      </c>
      <c r="D60">
        <v>0.82368283953428123</v>
      </c>
      <c r="E60">
        <v>1.417109559342165</v>
      </c>
      <c r="F60">
        <v>2.0977874736917159</v>
      </c>
      <c r="G60">
        <v>0.6265929956682621</v>
      </c>
      <c r="H60">
        <v>1.7464814987375341</v>
      </c>
      <c r="I60">
        <v>1.067670036447107</v>
      </c>
      <c r="J60">
        <v>0.74679977615830784</v>
      </c>
      <c r="K60">
        <v>1.521962106593596</v>
      </c>
      <c r="L60">
        <v>1.716996798803792</v>
      </c>
      <c r="M60">
        <v>0.95147322938517842</v>
      </c>
      <c r="N60">
        <v>0.39585773266092139</v>
      </c>
      <c r="O60">
        <v>0.60292467646850834</v>
      </c>
      <c r="P60">
        <v>0.96104454287284979</v>
      </c>
      <c r="Q60">
        <v>0.2463828500170728</v>
      </c>
      <c r="R60">
        <v>-5.8841193651272272E-2</v>
      </c>
      <c r="S60">
        <v>-0.22642714330456409</v>
      </c>
      <c r="T60">
        <v>0.92644115409108085</v>
      </c>
    </row>
    <row r="61" spans="1:20" x14ac:dyDescent="0.35">
      <c r="A61" t="s">
        <v>25</v>
      </c>
      <c r="B61">
        <v>-0.76229712583802234</v>
      </c>
      <c r="C61">
        <v>-0.32718400541092868</v>
      </c>
      <c r="D61">
        <v>-1.2157873168896201</v>
      </c>
      <c r="E61">
        <v>-0.68000005100487171</v>
      </c>
      <c r="F61">
        <v>1.452942276195218E-2</v>
      </c>
      <c r="G61">
        <v>-0.96895024590723144</v>
      </c>
      <c r="H61">
        <v>-1.652482174659728</v>
      </c>
      <c r="I61">
        <v>0.11250277070343211</v>
      </c>
      <c r="J61">
        <v>0.1111625539321642</v>
      </c>
      <c r="K61">
        <v>0.23695836334341239</v>
      </c>
      <c r="L61">
        <v>-0.31778311707229778</v>
      </c>
      <c r="M61">
        <v>-0.4215838094238944</v>
      </c>
      <c r="N61">
        <v>-0.56793435566613004</v>
      </c>
      <c r="O61">
        <v>-0.57855094063287227</v>
      </c>
      <c r="P61">
        <v>-0.41622242300142082</v>
      </c>
      <c r="Q61">
        <v>-0.46975234585206438</v>
      </c>
      <c r="R61">
        <v>-0.34262021580322571</v>
      </c>
      <c r="S61">
        <v>-0.59240697955745181</v>
      </c>
      <c r="T61">
        <v>-0.25583697766585478</v>
      </c>
    </row>
    <row r="62" spans="1:20" x14ac:dyDescent="0.35">
      <c r="A62" t="s">
        <v>26</v>
      </c>
      <c r="B62">
        <v>129.756543622956</v>
      </c>
      <c r="C62">
        <v>132.59766316251961</v>
      </c>
      <c r="D62">
        <v>141.6068095579316</v>
      </c>
      <c r="E62">
        <v>139.24716088618189</v>
      </c>
      <c r="F62">
        <v>140.97622079773731</v>
      </c>
      <c r="G62">
        <v>134.39291884596989</v>
      </c>
      <c r="H62">
        <v>136.631968010951</v>
      </c>
      <c r="I62">
        <v>139.98514118901639</v>
      </c>
      <c r="J62">
        <v>140.38539750517219</v>
      </c>
      <c r="K62">
        <v>144.5286904447768</v>
      </c>
      <c r="L62">
        <v>143.6195360653262</v>
      </c>
      <c r="M62">
        <v>140.38215984993599</v>
      </c>
      <c r="N62">
        <v>140.96267497589631</v>
      </c>
      <c r="O62">
        <v>141.30898306516451</v>
      </c>
      <c r="P62">
        <v>142.92338537753929</v>
      </c>
      <c r="Q62">
        <v>142.58798082342159</v>
      </c>
      <c r="R62">
        <v>143.81148761376451</v>
      </c>
      <c r="S62">
        <v>143.72889919620729</v>
      </c>
      <c r="T62">
        <v>149.00871743594939</v>
      </c>
    </row>
    <row r="63" spans="1:20" x14ac:dyDescent="0.35">
      <c r="A63" t="s">
        <v>27</v>
      </c>
      <c r="B63">
        <v>223882.65</v>
      </c>
      <c r="C63">
        <v>373037.78</v>
      </c>
      <c r="D63">
        <v>319229.58</v>
      </c>
      <c r="E63">
        <v>280365.38</v>
      </c>
      <c r="F63">
        <v>253485.89</v>
      </c>
      <c r="G63">
        <v>304096.39</v>
      </c>
      <c r="H63">
        <v>314653.18000000011</v>
      </c>
      <c r="I63">
        <v>5934464.0800000001</v>
      </c>
      <c r="J63">
        <v>7541464.1999999993</v>
      </c>
      <c r="K63">
        <v>4882789.9899999993</v>
      </c>
      <c r="L63">
        <v>5034578.4499999993</v>
      </c>
      <c r="M63">
        <v>11403301.33</v>
      </c>
      <c r="N63">
        <v>9270428.75</v>
      </c>
      <c r="O63">
        <v>8617728.8200000003</v>
      </c>
      <c r="P63">
        <v>8849007.6899999995</v>
      </c>
      <c r="Q63">
        <v>11907893.91</v>
      </c>
      <c r="R63">
        <v>10127037.73</v>
      </c>
      <c r="S63">
        <v>6595081.1799999997</v>
      </c>
      <c r="T63">
        <v>609764.61</v>
      </c>
    </row>
    <row r="64" spans="1:20" x14ac:dyDescent="0.35">
      <c r="A64" t="s">
        <v>28</v>
      </c>
      <c r="B64">
        <v>1.3346556879966169</v>
      </c>
      <c r="C64">
        <v>1.431991707495649</v>
      </c>
      <c r="D64">
        <v>1.382991395320637</v>
      </c>
      <c r="E64">
        <v>1.338429351282008</v>
      </c>
      <c r="F64">
        <v>1.290725432668929</v>
      </c>
      <c r="G64">
        <v>1.398455164084049</v>
      </c>
      <c r="H64">
        <v>1.3149134146405039</v>
      </c>
      <c r="I64">
        <v>1.3643153738293119</v>
      </c>
      <c r="J64">
        <v>1.388982820052757</v>
      </c>
      <c r="K64">
        <v>1.3308525229745991</v>
      </c>
      <c r="L64">
        <v>1.316984784737228</v>
      </c>
      <c r="M64">
        <v>1.373146353227982</v>
      </c>
      <c r="N64">
        <v>1.4170040005397</v>
      </c>
      <c r="O64">
        <v>1.40033548135055</v>
      </c>
      <c r="P64">
        <v>1.372414613257078</v>
      </c>
      <c r="Q64">
        <v>1.429285213854312</v>
      </c>
      <c r="R64">
        <v>1.455036239360578</v>
      </c>
      <c r="S64">
        <v>1.469573609069255</v>
      </c>
      <c r="T64">
        <v>1.375063783609638</v>
      </c>
    </row>
    <row r="65" spans="1:20" x14ac:dyDescent="0.35">
      <c r="A65" t="s">
        <v>29</v>
      </c>
      <c r="B65">
        <v>0.24588995894054319</v>
      </c>
      <c r="C65">
        <v>0.23967405722015611</v>
      </c>
      <c r="D65">
        <v>0.25236839024128033</v>
      </c>
      <c r="E65">
        <v>0.2447142864429267</v>
      </c>
      <c r="F65">
        <v>0.23479243681768641</v>
      </c>
      <c r="G65">
        <v>0.2488421463701033</v>
      </c>
      <c r="H65">
        <v>0.25860688820942468</v>
      </c>
      <c r="I65">
        <v>0.2333928175613795</v>
      </c>
      <c r="J65">
        <v>0.23341196351525481</v>
      </c>
      <c r="K65">
        <v>0.2316148805236655</v>
      </c>
      <c r="L65">
        <v>0.2395397588153185</v>
      </c>
      <c r="M65">
        <v>0.24102262584891279</v>
      </c>
      <c r="N65">
        <v>0.24311334793808759</v>
      </c>
      <c r="O65">
        <v>0.24326501343761239</v>
      </c>
      <c r="P65">
        <v>0.240946034614306</v>
      </c>
      <c r="Q65">
        <v>0.24171074779788659</v>
      </c>
      <c r="R65">
        <v>0.23989457451147461</v>
      </c>
      <c r="S65">
        <v>0.2434629568508207</v>
      </c>
      <c r="T65">
        <v>0.23865481396665511</v>
      </c>
    </row>
    <row r="67" spans="1:20" x14ac:dyDescent="0.35">
      <c r="A67" t="s">
        <v>35</v>
      </c>
      <c r="B67" t="s">
        <v>2</v>
      </c>
      <c r="C67" t="s">
        <v>3</v>
      </c>
      <c r="D67" t="s">
        <v>4</v>
      </c>
      <c r="E67" t="s">
        <v>5</v>
      </c>
      <c r="F67" t="s">
        <v>6</v>
      </c>
      <c r="G67" t="s">
        <v>7</v>
      </c>
      <c r="H67" t="s">
        <v>8</v>
      </c>
      <c r="I67" t="s">
        <v>9</v>
      </c>
      <c r="J67" t="s">
        <v>10</v>
      </c>
      <c r="K67" t="s">
        <v>11</v>
      </c>
      <c r="L67" t="s">
        <v>12</v>
      </c>
      <c r="M67" t="s">
        <v>13</v>
      </c>
      <c r="N67" t="s">
        <v>14</v>
      </c>
      <c r="O67" t="s">
        <v>15</v>
      </c>
      <c r="P67" t="s">
        <v>16</v>
      </c>
      <c r="Q67" t="s">
        <v>17</v>
      </c>
      <c r="R67" t="s">
        <v>18</v>
      </c>
      <c r="S67" t="s">
        <v>19</v>
      </c>
      <c r="T67" t="s">
        <v>20</v>
      </c>
    </row>
    <row r="68" spans="1:20" x14ac:dyDescent="0.35">
      <c r="A68" t="s">
        <v>21</v>
      </c>
      <c r="B68">
        <v>131.57054999553461</v>
      </c>
      <c r="C68">
        <v>131.05194598711839</v>
      </c>
      <c r="D68">
        <v>130.40138344140169</v>
      </c>
      <c r="E68">
        <v>132.3839580016286</v>
      </c>
      <c r="F68">
        <v>133.62412381787311</v>
      </c>
      <c r="G68">
        <v>132.63667222964281</v>
      </c>
      <c r="H68">
        <v>135.7277701252697</v>
      </c>
      <c r="I68">
        <v>135.75796692637491</v>
      </c>
      <c r="J68">
        <v>136.40058060772299</v>
      </c>
      <c r="K68">
        <v>136.19039653516981</v>
      </c>
      <c r="L68">
        <v>134.524911171638</v>
      </c>
      <c r="M68">
        <v>134.49300208344741</v>
      </c>
      <c r="N68">
        <v>136.1790431254596</v>
      </c>
      <c r="O68">
        <v>136.75926095990761</v>
      </c>
      <c r="P68">
        <v>137.59983364486791</v>
      </c>
      <c r="Q68">
        <v>140.92832177946511</v>
      </c>
      <c r="R68">
        <v>142.4325526931874</v>
      </c>
      <c r="S68">
        <v>145.2184548637488</v>
      </c>
      <c r="T68">
        <v>146.32787186313621</v>
      </c>
    </row>
    <row r="69" spans="1:20" x14ac:dyDescent="0.35">
      <c r="A69" t="s">
        <v>22</v>
      </c>
      <c r="B69">
        <v>-1.3979355983278769</v>
      </c>
      <c r="C69">
        <v>-1.682009630679318</v>
      </c>
      <c r="D69">
        <v>-1.4035457789526331</v>
      </c>
      <c r="E69">
        <v>-1.5047719795210239</v>
      </c>
      <c r="F69">
        <v>-1.3466370766632849</v>
      </c>
      <c r="G69">
        <v>-1.292987738820955</v>
      </c>
      <c r="H69">
        <v>0.51082766438301519</v>
      </c>
      <c r="I69">
        <v>-0.3961386111894285</v>
      </c>
      <c r="J69">
        <v>-0.16999977976229269</v>
      </c>
      <c r="K69">
        <v>-0.62138404964031224</v>
      </c>
      <c r="L69">
        <v>-0.64028878844391102</v>
      </c>
      <c r="M69">
        <v>-1.473117591779243</v>
      </c>
      <c r="N69">
        <v>-0.47173880203473573</v>
      </c>
      <c r="O69">
        <v>-0.95714370552605033</v>
      </c>
      <c r="P69">
        <v>-0.29362562923267888</v>
      </c>
      <c r="Q69">
        <v>-0.2429279247903082</v>
      </c>
      <c r="R69">
        <v>-0.27658210364538149</v>
      </c>
      <c r="S69">
        <v>-4.688036167874543E-2</v>
      </c>
      <c r="T69">
        <v>0.57627631507816091</v>
      </c>
    </row>
    <row r="70" spans="1:20" x14ac:dyDescent="0.35">
      <c r="A70" t="s">
        <v>23</v>
      </c>
      <c r="B70">
        <v>-2.279678773164509</v>
      </c>
      <c r="C70">
        <v>-2.7496664656855958</v>
      </c>
      <c r="D70">
        <v>-2.90808614348561</v>
      </c>
      <c r="E70">
        <v>-2.283588969158997</v>
      </c>
      <c r="F70">
        <v>-2.276909639810512</v>
      </c>
      <c r="G70">
        <v>-1.7436099918776029</v>
      </c>
      <c r="H70">
        <v>-1.309432197044069</v>
      </c>
      <c r="I70">
        <v>-2.0269846880408831</v>
      </c>
      <c r="J70">
        <v>-1.3716425153726239</v>
      </c>
      <c r="K70">
        <v>-0.24669832108875919</v>
      </c>
      <c r="L70">
        <v>2.7066443660788049</v>
      </c>
      <c r="M70">
        <v>3.7950640665305468</v>
      </c>
      <c r="N70">
        <v>2.983963455583809</v>
      </c>
      <c r="O70">
        <v>2.9561360302725621</v>
      </c>
      <c r="P70">
        <v>5.3009433549300571</v>
      </c>
      <c r="Q70">
        <v>2.6483604543144028</v>
      </c>
      <c r="R70">
        <v>1.2908616981789061</v>
      </c>
      <c r="S70">
        <v>-0.6517912050821133</v>
      </c>
      <c r="T70">
        <v>0.45370007695303938</v>
      </c>
    </row>
    <row r="71" spans="1:20" x14ac:dyDescent="0.35">
      <c r="A71" t="s">
        <v>24</v>
      </c>
      <c r="B71">
        <v>1.7923521607184221</v>
      </c>
      <c r="C71">
        <v>2.0977440818098141</v>
      </c>
      <c r="D71">
        <v>1.246742884522428</v>
      </c>
      <c r="E71">
        <v>0.44011001431164359</v>
      </c>
      <c r="F71">
        <v>1.125406160130763</v>
      </c>
      <c r="G71">
        <v>2.4302506326150199</v>
      </c>
      <c r="H71">
        <v>1.568846518192939</v>
      </c>
      <c r="I71">
        <v>1.8018916934476581</v>
      </c>
      <c r="J71">
        <v>1.9270457030127079</v>
      </c>
      <c r="K71">
        <v>1.8014231271370409</v>
      </c>
      <c r="L71">
        <v>1.2041443389430131</v>
      </c>
      <c r="M71">
        <v>1.582219167609459</v>
      </c>
      <c r="N71">
        <v>1.925696209501611</v>
      </c>
      <c r="O71">
        <v>1.9383513567385771</v>
      </c>
      <c r="P71">
        <v>1.881188217189435</v>
      </c>
      <c r="Q71">
        <v>1.8466140656425569</v>
      </c>
      <c r="R71">
        <v>1.8659151016929549</v>
      </c>
      <c r="S71">
        <v>1.675380017205871</v>
      </c>
      <c r="T71">
        <v>2.2450386327235599</v>
      </c>
    </row>
    <row r="72" spans="1:20" x14ac:dyDescent="0.35">
      <c r="A72" t="s">
        <v>25</v>
      </c>
      <c r="B72">
        <v>-0.27795547320978298</v>
      </c>
      <c r="C72">
        <v>-0.25376274745275462</v>
      </c>
      <c r="D72">
        <v>-1.1308128108291291</v>
      </c>
      <c r="E72">
        <v>-0.1823236575653622</v>
      </c>
      <c r="F72">
        <v>0.10138897512180529</v>
      </c>
      <c r="G72">
        <v>-0.44651277855742239</v>
      </c>
      <c r="H72">
        <v>0.1201324949858148</v>
      </c>
      <c r="I72">
        <v>-0.28926568423742027</v>
      </c>
      <c r="J72">
        <v>-0.2148649521104784</v>
      </c>
      <c r="K72">
        <v>-0.16186147153514269</v>
      </c>
      <c r="L72">
        <v>-0.2118177930333057</v>
      </c>
      <c r="M72">
        <v>-0.21100482642769669</v>
      </c>
      <c r="N72">
        <v>-0.1212866643684873</v>
      </c>
      <c r="O72">
        <v>-0.22155409327297729</v>
      </c>
      <c r="P72">
        <v>-0.1737050232398257</v>
      </c>
      <c r="Q72">
        <v>-0.14491333072985829</v>
      </c>
      <c r="R72">
        <v>-0.125743430382107</v>
      </c>
      <c r="S72">
        <v>-0.40139424246872529</v>
      </c>
      <c r="T72">
        <v>-2.2116046152569069E-2</v>
      </c>
    </row>
    <row r="73" spans="1:20" x14ac:dyDescent="0.35">
      <c r="A73" t="s">
        <v>26</v>
      </c>
      <c r="B73">
        <v>129.4073323115509</v>
      </c>
      <c r="C73">
        <v>128.46425122511059</v>
      </c>
      <c r="D73">
        <v>126.2056815926568</v>
      </c>
      <c r="E73">
        <v>128.85338340969491</v>
      </c>
      <c r="F73">
        <v>131.22737223665189</v>
      </c>
      <c r="G73">
        <v>131.5838123530018</v>
      </c>
      <c r="H73">
        <v>136.61814460578739</v>
      </c>
      <c r="I73">
        <v>134.84746963635479</v>
      </c>
      <c r="J73">
        <v>136.5711190634903</v>
      </c>
      <c r="K73">
        <v>136.96187582004259</v>
      </c>
      <c r="L73">
        <v>137.5835932951826</v>
      </c>
      <c r="M73">
        <v>138.18616289938049</v>
      </c>
      <c r="N73">
        <v>140.49567732414181</v>
      </c>
      <c r="O73">
        <v>140.47505054811981</v>
      </c>
      <c r="P73">
        <v>144.3146345645149</v>
      </c>
      <c r="Q73">
        <v>145.03545504390189</v>
      </c>
      <c r="R73">
        <v>145.18700395903181</v>
      </c>
      <c r="S73">
        <v>145.79376907172511</v>
      </c>
      <c r="T73">
        <v>149.5807708417384</v>
      </c>
    </row>
    <row r="74" spans="1:20" x14ac:dyDescent="0.35">
      <c r="A74" t="s">
        <v>27</v>
      </c>
      <c r="B74">
        <v>1942845.41</v>
      </c>
      <c r="C74">
        <v>3315134.86</v>
      </c>
      <c r="D74">
        <v>3126420.28</v>
      </c>
      <c r="E74">
        <v>3796023.92</v>
      </c>
      <c r="F74">
        <v>3244024.23</v>
      </c>
      <c r="G74">
        <v>2150476.31</v>
      </c>
      <c r="H74">
        <v>2148700.0299999998</v>
      </c>
      <c r="I74">
        <v>29750663.52</v>
      </c>
      <c r="J74">
        <v>26158818.420000002</v>
      </c>
      <c r="K74">
        <v>20915059.32</v>
      </c>
      <c r="L74">
        <v>25296702.609999999</v>
      </c>
      <c r="M74">
        <v>42835861.850000001</v>
      </c>
      <c r="N74">
        <v>31637653.949999999</v>
      </c>
      <c r="O74">
        <v>25218181.670000002</v>
      </c>
      <c r="P74">
        <v>16951226.690000001</v>
      </c>
      <c r="Q74">
        <v>16420298.539999999</v>
      </c>
      <c r="R74">
        <v>9813549.4399999995</v>
      </c>
      <c r="S74">
        <v>8191430.6199999992</v>
      </c>
      <c r="T74">
        <v>1274970.49</v>
      </c>
    </row>
    <row r="75" spans="1:20" x14ac:dyDescent="0.35">
      <c r="A75" t="s">
        <v>28</v>
      </c>
      <c r="B75">
        <v>1.3117038138272969</v>
      </c>
      <c r="C75">
        <v>1.290728365319262</v>
      </c>
      <c r="D75">
        <v>1.3509260340873801</v>
      </c>
      <c r="E75">
        <v>1.4134085151855009</v>
      </c>
      <c r="F75">
        <v>1.359969524667588</v>
      </c>
      <c r="G75">
        <v>1.268640351896607</v>
      </c>
      <c r="H75">
        <v>1.327492258382825</v>
      </c>
      <c r="I75">
        <v>1.311038293481414</v>
      </c>
      <c r="J75">
        <v>1.3023691275853131</v>
      </c>
      <c r="K75">
        <v>1.311070966985548</v>
      </c>
      <c r="L75">
        <v>1.354087263924169</v>
      </c>
      <c r="M75">
        <v>1.326536931765784</v>
      </c>
      <c r="N75">
        <v>1.3024619927918171</v>
      </c>
      <c r="O75">
        <v>1.3015916504912199</v>
      </c>
      <c r="P75">
        <v>1.3055322428044349</v>
      </c>
      <c r="Q75">
        <v>1.3079272443391849</v>
      </c>
      <c r="R75">
        <v>1.306589151235394</v>
      </c>
      <c r="S75">
        <v>1.319919593458855</v>
      </c>
      <c r="T75">
        <v>1.2808495981964949</v>
      </c>
    </row>
    <row r="76" spans="1:20" x14ac:dyDescent="0.35">
      <c r="A76" t="s">
        <v>29</v>
      </c>
      <c r="B76">
        <v>0.23897079247442549</v>
      </c>
      <c r="C76">
        <v>0.23862518210646791</v>
      </c>
      <c r="D76">
        <v>0.2511544687261304</v>
      </c>
      <c r="E76">
        <v>0.23760462367950519</v>
      </c>
      <c r="F76">
        <v>0.23355158606968851</v>
      </c>
      <c r="G76">
        <v>0.24137875397939171</v>
      </c>
      <c r="H76">
        <v>0.2332838215002026</v>
      </c>
      <c r="I76">
        <v>0.23913236691767739</v>
      </c>
      <c r="J76">
        <v>0.23806949931586399</v>
      </c>
      <c r="K76">
        <v>0.23731230673621631</v>
      </c>
      <c r="L76">
        <v>0.23802596847190441</v>
      </c>
      <c r="M76">
        <v>0.2380143546632528</v>
      </c>
      <c r="N76">
        <v>0.23673266663383549</v>
      </c>
      <c r="O76">
        <v>0.23816505847532821</v>
      </c>
      <c r="P76">
        <v>0.2374815003319975</v>
      </c>
      <c r="Q76">
        <v>0.23707019043899799</v>
      </c>
      <c r="R76">
        <v>0.2367963347197444</v>
      </c>
      <c r="S76">
        <v>0.24073420346383889</v>
      </c>
      <c r="T76">
        <v>0.23531594351646529</v>
      </c>
    </row>
    <row r="78" spans="1:20" x14ac:dyDescent="0.35">
      <c r="A78" t="s">
        <v>36</v>
      </c>
      <c r="B78" t="s">
        <v>2</v>
      </c>
      <c r="C78" t="s">
        <v>3</v>
      </c>
      <c r="D78" t="s">
        <v>4</v>
      </c>
      <c r="E78" t="s">
        <v>5</v>
      </c>
      <c r="F78" t="s">
        <v>6</v>
      </c>
      <c r="G78" t="s">
        <v>7</v>
      </c>
      <c r="H78" t="s">
        <v>8</v>
      </c>
      <c r="I78" t="s">
        <v>9</v>
      </c>
      <c r="J78" t="s">
        <v>10</v>
      </c>
      <c r="K78" t="s">
        <v>11</v>
      </c>
      <c r="L78" t="s">
        <v>12</v>
      </c>
      <c r="M78" t="s">
        <v>13</v>
      </c>
      <c r="N78" t="s">
        <v>14</v>
      </c>
      <c r="O78" t="s">
        <v>15</v>
      </c>
      <c r="P78" t="s">
        <v>16</v>
      </c>
      <c r="Q78" t="s">
        <v>17</v>
      </c>
      <c r="R78" t="s">
        <v>18</v>
      </c>
      <c r="S78" t="s">
        <v>19</v>
      </c>
      <c r="T78" t="s">
        <v>20</v>
      </c>
    </row>
    <row r="79" spans="1:20" x14ac:dyDescent="0.35">
      <c r="A79" t="s">
        <v>21</v>
      </c>
      <c r="B79">
        <v>132.99096815428709</v>
      </c>
      <c r="C79">
        <v>135.1558199710031</v>
      </c>
      <c r="D79">
        <v>137.35433490744899</v>
      </c>
      <c r="E79">
        <v>139.2683348576833</v>
      </c>
      <c r="F79">
        <v>140.07343204148859</v>
      </c>
      <c r="G79">
        <v>139.45447522776101</v>
      </c>
      <c r="H79">
        <v>139.00707614903621</v>
      </c>
      <c r="I79">
        <v>138.3188981607826</v>
      </c>
      <c r="J79">
        <v>139.2524797368819</v>
      </c>
      <c r="K79">
        <v>138.60036290684479</v>
      </c>
      <c r="L79">
        <v>138.6403095402228</v>
      </c>
      <c r="M79">
        <v>139.08106862189339</v>
      </c>
      <c r="N79">
        <v>139.44621661043931</v>
      </c>
      <c r="O79">
        <v>139.76743194198801</v>
      </c>
      <c r="P79">
        <v>142.28172333929399</v>
      </c>
      <c r="Q79">
        <v>143.23618326625399</v>
      </c>
      <c r="R79">
        <v>143.4992300545135</v>
      </c>
      <c r="S79">
        <v>143.6428863014726</v>
      </c>
      <c r="T79">
        <v>143.83826990664619</v>
      </c>
    </row>
    <row r="80" spans="1:20" x14ac:dyDescent="0.35">
      <c r="A80" t="s">
        <v>22</v>
      </c>
      <c r="B80">
        <v>2.1882486643875151E-2</v>
      </c>
      <c r="C80">
        <v>-0.16833915059376639</v>
      </c>
      <c r="D80">
        <v>3.8685640766090053E-2</v>
      </c>
      <c r="E80">
        <v>-7.2005708792204359E-2</v>
      </c>
      <c r="F80">
        <v>0.43898123544926188</v>
      </c>
      <c r="G80">
        <v>-0.24498136923733679</v>
      </c>
      <c r="H80">
        <v>2.142440118715399</v>
      </c>
      <c r="I80">
        <v>1.517583322548518</v>
      </c>
      <c r="J80">
        <v>2.4579488951796411</v>
      </c>
      <c r="K80">
        <v>2.1939800657291362</v>
      </c>
      <c r="L80">
        <v>1.5865340635549221</v>
      </c>
      <c r="M80">
        <v>0.7319242054885251</v>
      </c>
      <c r="N80">
        <v>1.926130110954148</v>
      </c>
      <c r="O80">
        <v>1.362686107161323</v>
      </c>
      <c r="P80">
        <v>1.62132421852732</v>
      </c>
      <c r="Q80">
        <v>0.79837999375050117</v>
      </c>
      <c r="R80">
        <v>0.83795812959436944</v>
      </c>
      <c r="S80">
        <v>0.85764885984218608</v>
      </c>
      <c r="T80">
        <v>0.2163107637871349</v>
      </c>
    </row>
    <row r="81" spans="1:20" x14ac:dyDescent="0.35">
      <c r="A81" t="s">
        <v>23</v>
      </c>
      <c r="B81">
        <v>-1.0401199314052669</v>
      </c>
      <c r="C81">
        <v>-0.76746674383158586</v>
      </c>
      <c r="D81">
        <v>-0.68272614263572962</v>
      </c>
      <c r="E81">
        <v>-1.2404847041059099</v>
      </c>
      <c r="F81">
        <v>-0.31805057291139749</v>
      </c>
      <c r="G81">
        <v>-1.3109219107343031</v>
      </c>
      <c r="H81">
        <v>0.19433209680628749</v>
      </c>
      <c r="I81">
        <v>-0.59372841787284147</v>
      </c>
      <c r="J81">
        <v>-0.14822704405498621</v>
      </c>
      <c r="K81">
        <v>-0.98511116351075712</v>
      </c>
      <c r="L81">
        <v>-0.91724191118800935</v>
      </c>
      <c r="M81">
        <v>-0.92762199422575953</v>
      </c>
      <c r="N81">
        <v>-0.3292189421876352</v>
      </c>
      <c r="O81">
        <v>0.28149944632767782</v>
      </c>
      <c r="P81">
        <v>0.85653230181489559</v>
      </c>
      <c r="Q81">
        <v>0.89147487172040152</v>
      </c>
      <c r="R81">
        <v>0.78848059258774339</v>
      </c>
      <c r="S81">
        <v>0.61529778345051467</v>
      </c>
      <c r="T81">
        <v>0.1653098576840118</v>
      </c>
    </row>
    <row r="82" spans="1:20" x14ac:dyDescent="0.35">
      <c r="A82" t="s">
        <v>24</v>
      </c>
      <c r="B82">
        <v>-0.92483642176569447</v>
      </c>
      <c r="C82">
        <v>-1.2481895552576581</v>
      </c>
      <c r="D82">
        <v>-2.7259736621561799</v>
      </c>
      <c r="E82">
        <v>-3.144355043024428</v>
      </c>
      <c r="F82">
        <v>-2.5715214464797298</v>
      </c>
      <c r="G82">
        <v>-4.3571200998677684</v>
      </c>
      <c r="H82">
        <v>-4.8328510926129598</v>
      </c>
      <c r="I82">
        <v>-3.6518765257636381</v>
      </c>
      <c r="J82">
        <v>-0.66838117733082381</v>
      </c>
      <c r="K82">
        <v>-1.128217411654975</v>
      </c>
      <c r="L82">
        <v>-1.216026859967662</v>
      </c>
      <c r="M82">
        <v>-0.4264925648858448</v>
      </c>
      <c r="N82">
        <v>0.11250238175661161</v>
      </c>
      <c r="O82">
        <v>0.1223064853622535</v>
      </c>
      <c r="P82">
        <v>0.56317257463164516</v>
      </c>
      <c r="Q82">
        <v>1.639866429999538</v>
      </c>
      <c r="R82">
        <v>1.9380345548577</v>
      </c>
      <c r="S82">
        <v>2.2087138000160191</v>
      </c>
      <c r="T82">
        <v>0.73593330033463156</v>
      </c>
    </row>
    <row r="83" spans="1:20" x14ac:dyDescent="0.35">
      <c r="A83" t="s">
        <v>25</v>
      </c>
      <c r="B83">
        <v>0.62654590538843746</v>
      </c>
      <c r="C83">
        <v>0.17739131865578489</v>
      </c>
      <c r="D83">
        <v>0.36422839290505649</v>
      </c>
      <c r="E83">
        <v>-0.4664295908300915</v>
      </c>
      <c r="F83">
        <v>-0.31808607296781238</v>
      </c>
      <c r="G83">
        <v>-0.31726972289647548</v>
      </c>
      <c r="H83">
        <v>-0.1083533575684854</v>
      </c>
      <c r="I83">
        <v>-0.14520282819999639</v>
      </c>
      <c r="J83">
        <v>0.40061208402265702</v>
      </c>
      <c r="K83">
        <v>0.30664389245823598</v>
      </c>
      <c r="L83">
        <v>0.22589767324960269</v>
      </c>
      <c r="M83">
        <v>3.511632563083511E-2</v>
      </c>
      <c r="N83">
        <v>1.2746890885703899E-2</v>
      </c>
      <c r="O83">
        <v>0.23031323170694801</v>
      </c>
      <c r="P83">
        <v>0.71555868299822412</v>
      </c>
      <c r="Q83">
        <v>0.61503586368737251</v>
      </c>
      <c r="R83">
        <v>0.75081078512631017</v>
      </c>
      <c r="S83">
        <v>0.91705125933263476</v>
      </c>
      <c r="T83">
        <v>0.36872497383821318</v>
      </c>
    </row>
    <row r="84" spans="1:20" x14ac:dyDescent="0.35">
      <c r="A84" t="s">
        <v>26</v>
      </c>
      <c r="B84">
        <v>131.67444019314851</v>
      </c>
      <c r="C84">
        <v>133.14921583997591</v>
      </c>
      <c r="D84">
        <v>134.3485491363283</v>
      </c>
      <c r="E84">
        <v>134.34505981093071</v>
      </c>
      <c r="F84">
        <v>137.30475518457899</v>
      </c>
      <c r="G84">
        <v>133.22418212502521</v>
      </c>
      <c r="H84">
        <v>136.4026439143764</v>
      </c>
      <c r="I84">
        <v>135.44567371149461</v>
      </c>
      <c r="J84">
        <v>141.29443249469841</v>
      </c>
      <c r="K84">
        <v>138.9876582898664</v>
      </c>
      <c r="L84">
        <v>138.3194725058716</v>
      </c>
      <c r="M84">
        <v>138.49399459390111</v>
      </c>
      <c r="N84">
        <v>141.1683770518481</v>
      </c>
      <c r="O84">
        <v>141.76423721254619</v>
      </c>
      <c r="P84">
        <v>146.03831111726609</v>
      </c>
      <c r="Q84">
        <v>147.18094042541179</v>
      </c>
      <c r="R84">
        <v>147.81451411667959</v>
      </c>
      <c r="S84">
        <v>148.24159800411391</v>
      </c>
      <c r="T84">
        <v>145.32454880229031</v>
      </c>
    </row>
    <row r="85" spans="1:20" x14ac:dyDescent="0.35">
      <c r="A85" t="s">
        <v>27</v>
      </c>
      <c r="B85">
        <v>10522494.85</v>
      </c>
      <c r="C85">
        <v>11460232.27</v>
      </c>
      <c r="D85">
        <v>9415728.8200000003</v>
      </c>
      <c r="E85">
        <v>10272348.57</v>
      </c>
      <c r="F85">
        <v>12883957.33</v>
      </c>
      <c r="G85">
        <v>3285163.48</v>
      </c>
      <c r="H85">
        <v>8702352.0399999991</v>
      </c>
      <c r="I85">
        <v>108019573.73</v>
      </c>
      <c r="J85">
        <v>85558689.329999998</v>
      </c>
      <c r="K85">
        <v>76446593.379999995</v>
      </c>
      <c r="L85">
        <v>88685205.75999999</v>
      </c>
      <c r="M85">
        <v>144626064.19999999</v>
      </c>
      <c r="N85">
        <v>105494414.45</v>
      </c>
      <c r="O85">
        <v>103354993.14</v>
      </c>
      <c r="P85">
        <v>69784387.24000001</v>
      </c>
      <c r="Q85">
        <v>131225581.73999999</v>
      </c>
      <c r="R85">
        <v>105817727.79000001</v>
      </c>
      <c r="S85">
        <v>105945212.59</v>
      </c>
      <c r="T85">
        <v>8718221.4000000004</v>
      </c>
    </row>
    <row r="86" spans="1:20" x14ac:dyDescent="0.35">
      <c r="A86" t="s">
        <v>28</v>
      </c>
      <c r="B86">
        <v>1.6482856769339469</v>
      </c>
      <c r="C86">
        <v>1.6696855680155871</v>
      </c>
      <c r="D86">
        <v>1.7750060488576469</v>
      </c>
      <c r="E86">
        <v>1.80728096872414</v>
      </c>
      <c r="F86">
        <v>1.763380663299305</v>
      </c>
      <c r="G86">
        <v>1.9078376854227279</v>
      </c>
      <c r="H86">
        <v>1.9504068766577609</v>
      </c>
      <c r="I86">
        <v>1.8480433522902671</v>
      </c>
      <c r="J86">
        <v>1.631699300873471</v>
      </c>
      <c r="K86">
        <v>1.6616811434794081</v>
      </c>
      <c r="L86">
        <v>1.6675321484434369</v>
      </c>
      <c r="M86">
        <v>1.6163580618901849</v>
      </c>
      <c r="N86">
        <v>1.5831898114140019</v>
      </c>
      <c r="O86">
        <v>1.5825990949133171</v>
      </c>
      <c r="P86">
        <v>1.556484119999892</v>
      </c>
      <c r="Q86">
        <v>1.4961878611634369</v>
      </c>
      <c r="R86">
        <v>1.480307275109958</v>
      </c>
      <c r="S86">
        <v>1.466179902387575</v>
      </c>
      <c r="T86">
        <v>1.5464840630423939</v>
      </c>
    </row>
    <row r="87" spans="1:20" x14ac:dyDescent="0.35">
      <c r="A87" t="s">
        <v>29</v>
      </c>
      <c r="B87">
        <v>0.2441820737356788</v>
      </c>
      <c r="C87">
        <v>0.24835279489819631</v>
      </c>
      <c r="D87">
        <v>0.24661787920873879</v>
      </c>
      <c r="E87">
        <v>0.25433113191485079</v>
      </c>
      <c r="F87">
        <v>0.25295365639184397</v>
      </c>
      <c r="G87">
        <v>0.25294607599832442</v>
      </c>
      <c r="H87">
        <v>0.25100613832027879</v>
      </c>
      <c r="I87">
        <v>0.25134831197614282</v>
      </c>
      <c r="J87">
        <v>0.24628003064836099</v>
      </c>
      <c r="K87">
        <v>0.2471525924271735</v>
      </c>
      <c r="L87">
        <v>0.24790237874839649</v>
      </c>
      <c r="M87">
        <v>0.24967391983342799</v>
      </c>
      <c r="N87">
        <v>0.24988163601320421</v>
      </c>
      <c r="O87">
        <v>0.2478613771341498</v>
      </c>
      <c r="P87">
        <v>0.24335552651501649</v>
      </c>
      <c r="Q87">
        <v>0.24428895269433151</v>
      </c>
      <c r="R87">
        <v>0.24302818556668429</v>
      </c>
      <c r="S87">
        <v>0.2414845240204827</v>
      </c>
      <c r="T87">
        <v>0.2465761252429309</v>
      </c>
    </row>
    <row r="89" spans="1:20" x14ac:dyDescent="0.35">
      <c r="A89" t="s">
        <v>37</v>
      </c>
      <c r="B89" t="s">
        <v>2</v>
      </c>
      <c r="C89" t="s">
        <v>3</v>
      </c>
      <c r="D89" t="s">
        <v>4</v>
      </c>
      <c r="E89" t="s">
        <v>5</v>
      </c>
      <c r="F89" t="s">
        <v>6</v>
      </c>
      <c r="G89" t="s">
        <v>7</v>
      </c>
      <c r="H89" t="s">
        <v>8</v>
      </c>
      <c r="I89" t="s">
        <v>9</v>
      </c>
      <c r="J89" t="s">
        <v>10</v>
      </c>
      <c r="K89" t="s">
        <v>11</v>
      </c>
      <c r="L89" t="s">
        <v>12</v>
      </c>
      <c r="M89" t="s">
        <v>13</v>
      </c>
      <c r="N89" t="s">
        <v>14</v>
      </c>
      <c r="O89" t="s">
        <v>15</v>
      </c>
      <c r="P89" t="s">
        <v>16</v>
      </c>
      <c r="Q89" t="s">
        <v>17</v>
      </c>
      <c r="R89" t="s">
        <v>18</v>
      </c>
      <c r="S89" t="s">
        <v>19</v>
      </c>
      <c r="T89" t="s">
        <v>20</v>
      </c>
    </row>
    <row r="90" spans="1:20" x14ac:dyDescent="0.35">
      <c r="A90" t="s">
        <v>21</v>
      </c>
      <c r="B90">
        <v>134.5769884150854</v>
      </c>
      <c r="C90">
        <v>135.00036969879861</v>
      </c>
      <c r="D90">
        <v>137.73319603461951</v>
      </c>
      <c r="E90">
        <v>136.22797153021531</v>
      </c>
      <c r="F90">
        <v>136.29723046204541</v>
      </c>
      <c r="G90">
        <v>136.35217487800571</v>
      </c>
      <c r="H90">
        <v>136.5608667878912</v>
      </c>
      <c r="I90">
        <v>136.24144054156531</v>
      </c>
      <c r="J90">
        <v>137.31163256522041</v>
      </c>
      <c r="K90">
        <v>138.6507131560561</v>
      </c>
      <c r="L90">
        <v>137.01046317514309</v>
      </c>
      <c r="M90">
        <v>136.95613862378539</v>
      </c>
      <c r="N90">
        <v>138.15336042329039</v>
      </c>
      <c r="O90">
        <v>138.3432400529052</v>
      </c>
      <c r="P90">
        <v>139.7319132504187</v>
      </c>
      <c r="Q90">
        <v>141.34492072253749</v>
      </c>
      <c r="R90">
        <v>141.59791637346311</v>
      </c>
      <c r="S90">
        <v>141.9431349308089</v>
      </c>
      <c r="T90">
        <v>142.3390484466357</v>
      </c>
    </row>
    <row r="91" spans="1:20" x14ac:dyDescent="0.35">
      <c r="A91" t="s">
        <v>22</v>
      </c>
      <c r="B91">
        <v>0.55532601145088667</v>
      </c>
      <c r="C91">
        <v>0.35298805609913497</v>
      </c>
      <c r="D91">
        <v>5.8319331566585572E-2</v>
      </c>
      <c r="E91">
        <v>0.31839113083478082</v>
      </c>
      <c r="F91">
        <v>8.8242265824118524E-2</v>
      </c>
      <c r="G91">
        <v>0.39520732253073759</v>
      </c>
      <c r="H91">
        <v>0.53902607984928685</v>
      </c>
      <c r="I91">
        <v>0.1851948979504501</v>
      </c>
      <c r="J91">
        <v>1.0665606877571021</v>
      </c>
      <c r="K91">
        <v>1.2524840071070411</v>
      </c>
      <c r="L91">
        <v>0.6325934720813351</v>
      </c>
      <c r="M91">
        <v>0.60909109276398321</v>
      </c>
      <c r="N91">
        <v>0.94215421943737132</v>
      </c>
      <c r="O91">
        <v>1.262813225180031</v>
      </c>
      <c r="P91">
        <v>1.261338549929901</v>
      </c>
      <c r="Q91">
        <v>1.718481863176625</v>
      </c>
      <c r="R91">
        <v>2.1841511401206248</v>
      </c>
      <c r="S91">
        <v>2.3122396779992389</v>
      </c>
      <c r="T91">
        <v>2.325427578298255</v>
      </c>
    </row>
    <row r="92" spans="1:20" x14ac:dyDescent="0.35">
      <c r="A92" t="s">
        <v>23</v>
      </c>
      <c r="B92">
        <v>-1.75858842720902</v>
      </c>
      <c r="C92">
        <v>-2.565685982029112</v>
      </c>
      <c r="D92">
        <v>-2.1503370535025241</v>
      </c>
      <c r="E92">
        <v>-2.5060867653478889</v>
      </c>
      <c r="F92">
        <v>-1.716172143610351</v>
      </c>
      <c r="G92">
        <v>-2.171661792497682</v>
      </c>
      <c r="H92">
        <v>-1.308976863700978</v>
      </c>
      <c r="I92">
        <v>-1.5461369172795629</v>
      </c>
      <c r="J92">
        <v>-0.97134489646415423</v>
      </c>
      <c r="K92">
        <v>-0.70718542284913888</v>
      </c>
      <c r="L92">
        <v>1.310019296044783</v>
      </c>
      <c r="M92">
        <v>1.462079292035825</v>
      </c>
      <c r="N92">
        <v>1.397925023229287</v>
      </c>
      <c r="O92">
        <v>1.9483935292389849</v>
      </c>
      <c r="P92">
        <v>3.629296473563973</v>
      </c>
      <c r="Q92">
        <v>1.9660932012935679</v>
      </c>
      <c r="R92">
        <v>2.4228772272993861</v>
      </c>
      <c r="S92">
        <v>2.6147720118352091</v>
      </c>
      <c r="T92">
        <v>2.3152537260763579</v>
      </c>
    </row>
    <row r="93" spans="1:20" x14ac:dyDescent="0.35">
      <c r="A93" t="s">
        <v>24</v>
      </c>
      <c r="B93">
        <v>1.940436448450731</v>
      </c>
      <c r="C93">
        <v>1.6435671968977961</v>
      </c>
      <c r="D93">
        <v>3.2335828430676519</v>
      </c>
      <c r="E93">
        <v>3.0531235732308879</v>
      </c>
      <c r="F93">
        <v>0.39954207380729279</v>
      </c>
      <c r="G93">
        <v>1.794852636580653</v>
      </c>
      <c r="H93">
        <v>3.160359848423385</v>
      </c>
      <c r="I93">
        <v>4.0491506992934374</v>
      </c>
      <c r="J93">
        <v>3.9663835514018189</v>
      </c>
      <c r="K93">
        <v>4.23193277711355</v>
      </c>
      <c r="L93">
        <v>4.4578052509436814</v>
      </c>
      <c r="M93">
        <v>4.5293526205868107</v>
      </c>
      <c r="N93">
        <v>5.1076167707096243</v>
      </c>
      <c r="O93">
        <v>5.0838831249907104</v>
      </c>
      <c r="P93">
        <v>4.7892634771157621</v>
      </c>
      <c r="Q93">
        <v>4.3599049971391803</v>
      </c>
      <c r="R93">
        <v>4.4119734143975649</v>
      </c>
      <c r="S93">
        <v>4.3855078018658533</v>
      </c>
      <c r="T93">
        <v>5.4617085730253381</v>
      </c>
    </row>
    <row r="94" spans="1:20" x14ac:dyDescent="0.35">
      <c r="A94" t="s">
        <v>25</v>
      </c>
      <c r="B94">
        <v>-0.63296935797747167</v>
      </c>
      <c r="C94">
        <v>-0.3594847919528929</v>
      </c>
      <c r="D94">
        <v>1.406986044189323E-2</v>
      </c>
      <c r="E94">
        <v>-0.54684004145761278</v>
      </c>
      <c r="F94">
        <v>-0.90961893571107011</v>
      </c>
      <c r="G94">
        <v>-0.41450668407715391</v>
      </c>
      <c r="H94">
        <v>-0.26868405125852318</v>
      </c>
      <c r="I94">
        <v>-3.5575144195086172E-2</v>
      </c>
      <c r="J94">
        <v>-3.3055729032590492E-2</v>
      </c>
      <c r="K94">
        <v>-0.17695202398758009</v>
      </c>
      <c r="L94">
        <v>-0.24755076124730011</v>
      </c>
      <c r="M94">
        <v>-0.30508671451478547</v>
      </c>
      <c r="N94">
        <v>-0.19290712330099491</v>
      </c>
      <c r="O94">
        <v>-0.23071091815200431</v>
      </c>
      <c r="P94">
        <v>-1.7584862436451749E-2</v>
      </c>
      <c r="Q94">
        <v>1.0540369325542269E-2</v>
      </c>
      <c r="R94">
        <v>0.38096792572341409</v>
      </c>
      <c r="S94">
        <v>0.42522271823071639</v>
      </c>
      <c r="T94">
        <v>0.6481103598763287</v>
      </c>
    </row>
    <row r="95" spans="1:20" x14ac:dyDescent="0.35">
      <c r="A95" t="s">
        <v>26</v>
      </c>
      <c r="B95">
        <v>134.6811930898005</v>
      </c>
      <c r="C95">
        <v>134.07175417781349</v>
      </c>
      <c r="D95">
        <v>138.88883101619311</v>
      </c>
      <c r="E95">
        <v>136.54655942747539</v>
      </c>
      <c r="F95">
        <v>134.15922372235539</v>
      </c>
      <c r="G95">
        <v>135.95606636054231</v>
      </c>
      <c r="H95">
        <v>138.68259180120441</v>
      </c>
      <c r="I95">
        <v>138.89407407733461</v>
      </c>
      <c r="J95">
        <v>141.34017617888259</v>
      </c>
      <c r="K95">
        <v>143.25099249344001</v>
      </c>
      <c r="L95">
        <v>143.16333043296561</v>
      </c>
      <c r="M95">
        <v>143.25157491465731</v>
      </c>
      <c r="N95">
        <v>145.4081493133657</v>
      </c>
      <c r="O95">
        <v>146.40761901416289</v>
      </c>
      <c r="P95">
        <v>149.3942268885919</v>
      </c>
      <c r="Q95">
        <v>149.39994115347241</v>
      </c>
      <c r="R95">
        <v>150.99788608100411</v>
      </c>
      <c r="S95">
        <v>151.68087714073999</v>
      </c>
      <c r="T95">
        <v>153.089548683912</v>
      </c>
    </row>
    <row r="96" spans="1:20" x14ac:dyDescent="0.35">
      <c r="A96" t="s">
        <v>27</v>
      </c>
      <c r="B96">
        <v>3069983.71</v>
      </c>
      <c r="C96">
        <v>3871878.129999999</v>
      </c>
      <c r="D96">
        <v>2805555.4</v>
      </c>
      <c r="E96">
        <v>1694685.11</v>
      </c>
      <c r="F96">
        <v>2025048.22</v>
      </c>
      <c r="G96">
        <v>1864554.33</v>
      </c>
      <c r="H96">
        <v>3379772.76</v>
      </c>
      <c r="I96">
        <v>52187896.490000002</v>
      </c>
      <c r="J96">
        <v>52725493.599999987</v>
      </c>
      <c r="K96">
        <v>36919519.270000003</v>
      </c>
      <c r="L96">
        <v>45581614.219999999</v>
      </c>
      <c r="M96">
        <v>78452128.420000002</v>
      </c>
      <c r="N96">
        <v>59790128.520000003</v>
      </c>
      <c r="O96">
        <v>53985781.909999996</v>
      </c>
      <c r="P96">
        <v>35051461.319999993</v>
      </c>
      <c r="Q96">
        <v>51792727.820000008</v>
      </c>
      <c r="R96">
        <v>53002734.619999997</v>
      </c>
      <c r="S96">
        <v>41601075.090000004</v>
      </c>
      <c r="T96">
        <v>4047533.26</v>
      </c>
    </row>
    <row r="97" spans="1:20" x14ac:dyDescent="0.35">
      <c r="A97" t="s">
        <v>28</v>
      </c>
      <c r="B97">
        <v>1.720321397068626</v>
      </c>
      <c r="C97">
        <v>1.7258399180024691</v>
      </c>
      <c r="D97">
        <v>1.5853058114660259</v>
      </c>
      <c r="E97">
        <v>1.5973274104145849</v>
      </c>
      <c r="F97">
        <v>1.8451708409700991</v>
      </c>
      <c r="G97">
        <v>1.6854043196442221</v>
      </c>
      <c r="H97">
        <v>1.6063380287014299</v>
      </c>
      <c r="I97">
        <v>1.525195693726388</v>
      </c>
      <c r="J97">
        <v>1.515588456531294</v>
      </c>
      <c r="K97">
        <v>1.499026942283753</v>
      </c>
      <c r="L97">
        <v>1.4928159098959559</v>
      </c>
      <c r="M97">
        <v>1.473826622496047</v>
      </c>
      <c r="N97">
        <v>1.4349765296669039</v>
      </c>
      <c r="O97">
        <v>1.434377924497704</v>
      </c>
      <c r="P97">
        <v>1.4171090017512551</v>
      </c>
      <c r="Q97">
        <v>1.453579395161722</v>
      </c>
      <c r="R97">
        <v>1.466673745447755</v>
      </c>
      <c r="S97">
        <v>1.4815557313385721</v>
      </c>
      <c r="T97">
        <v>1.412918104941471</v>
      </c>
    </row>
    <row r="98" spans="1:20" x14ac:dyDescent="0.35">
      <c r="A98" t="s">
        <v>29</v>
      </c>
      <c r="B98">
        <v>0.25794852442588367</v>
      </c>
      <c r="C98">
        <v>0.25369031551336563</v>
      </c>
      <c r="D98">
        <v>0.24809222988717311</v>
      </c>
      <c r="E98">
        <v>0.25533043001894318</v>
      </c>
      <c r="F98">
        <v>0.26111692767592459</v>
      </c>
      <c r="G98">
        <v>0.25347512398472177</v>
      </c>
      <c r="H98">
        <v>0.25244185985066048</v>
      </c>
      <c r="I98">
        <v>0.24880251507797449</v>
      </c>
      <c r="J98">
        <v>0.24832673576757491</v>
      </c>
      <c r="K98">
        <v>0.25054406147587138</v>
      </c>
      <c r="L98">
        <v>0.25187966010580959</v>
      </c>
      <c r="M98">
        <v>0.25217807724654973</v>
      </c>
      <c r="N98">
        <v>0.25043007374333359</v>
      </c>
      <c r="O98">
        <v>0.25090142624597211</v>
      </c>
      <c r="P98">
        <v>0.2464643483681678</v>
      </c>
      <c r="Q98">
        <v>0.24640070730435601</v>
      </c>
      <c r="R98">
        <v>0.24169160618292271</v>
      </c>
      <c r="S98">
        <v>0.24154741711539271</v>
      </c>
      <c r="T98">
        <v>0.23848151677078491</v>
      </c>
    </row>
    <row r="100" spans="1:20" x14ac:dyDescent="0.35">
      <c r="A100" t="s">
        <v>38</v>
      </c>
      <c r="B100" t="s">
        <v>2</v>
      </c>
      <c r="C100" t="s">
        <v>3</v>
      </c>
      <c r="D100" t="s">
        <v>4</v>
      </c>
      <c r="E100" t="s">
        <v>5</v>
      </c>
      <c r="F100" t="s">
        <v>6</v>
      </c>
      <c r="G100" t="s">
        <v>7</v>
      </c>
      <c r="H100" t="s">
        <v>8</v>
      </c>
      <c r="I100" t="s">
        <v>9</v>
      </c>
      <c r="J100" t="s">
        <v>10</v>
      </c>
      <c r="K100" t="s">
        <v>11</v>
      </c>
      <c r="L100" t="s">
        <v>12</v>
      </c>
      <c r="M100" t="s">
        <v>13</v>
      </c>
      <c r="N100" t="s">
        <v>14</v>
      </c>
      <c r="O100" t="s">
        <v>15</v>
      </c>
      <c r="P100" t="s">
        <v>16</v>
      </c>
      <c r="Q100" t="s">
        <v>17</v>
      </c>
      <c r="R100" t="s">
        <v>18</v>
      </c>
      <c r="S100" t="s">
        <v>19</v>
      </c>
      <c r="T100" t="s">
        <v>20</v>
      </c>
    </row>
    <row r="101" spans="1:20" x14ac:dyDescent="0.35">
      <c r="A101" t="s">
        <v>21</v>
      </c>
      <c r="B101">
        <v>133.4117691458772</v>
      </c>
      <c r="C101">
        <v>133.17909052386821</v>
      </c>
      <c r="D101">
        <v>133.8689981995071</v>
      </c>
      <c r="E101">
        <v>133.57039721265599</v>
      </c>
      <c r="F101">
        <v>134.65147159170209</v>
      </c>
      <c r="G101">
        <v>134.36212769245131</v>
      </c>
      <c r="H101">
        <v>136.2370748670545</v>
      </c>
      <c r="I101">
        <v>136.06589851538649</v>
      </c>
      <c r="J101">
        <v>137.00951872132561</v>
      </c>
      <c r="K101">
        <v>137.760974364379</v>
      </c>
      <c r="L101">
        <v>136.12336155272209</v>
      </c>
      <c r="M101">
        <v>136.0862208658547</v>
      </c>
      <c r="N101">
        <v>137.47016800880999</v>
      </c>
      <c r="O101">
        <v>137.83890831591651</v>
      </c>
      <c r="P101">
        <v>139.03692293168999</v>
      </c>
      <c r="Q101">
        <v>141.24463666563909</v>
      </c>
      <c r="R101">
        <v>141.72830843518091</v>
      </c>
      <c r="S101">
        <v>142.48196212189751</v>
      </c>
      <c r="T101">
        <v>143.2945446538219</v>
      </c>
    </row>
    <row r="102" spans="1:20" x14ac:dyDescent="0.35">
      <c r="A102" t="s">
        <v>22</v>
      </c>
      <c r="B102">
        <v>-0.20170864148535411</v>
      </c>
      <c r="C102">
        <v>-0.58569005410400365</v>
      </c>
      <c r="D102">
        <v>-0.71214989735508938</v>
      </c>
      <c r="E102">
        <v>-0.94206006757305671</v>
      </c>
      <c r="F102">
        <v>-0.79517381894723538</v>
      </c>
      <c r="G102">
        <v>-0.50900084214115404</v>
      </c>
      <c r="H102">
        <v>0.52806646433522908</v>
      </c>
      <c r="I102">
        <v>-2.5878589565203541E-2</v>
      </c>
      <c r="J102">
        <v>0.65650500105745691</v>
      </c>
      <c r="K102">
        <v>0.57482606405252712</v>
      </c>
      <c r="L102">
        <v>0.17829763885377711</v>
      </c>
      <c r="M102">
        <v>-0.1262925454297924</v>
      </c>
      <c r="N102">
        <v>0.4528909241110044</v>
      </c>
      <c r="O102">
        <v>0.5559890380094531</v>
      </c>
      <c r="P102">
        <v>0.75446955325907528</v>
      </c>
      <c r="Q102">
        <v>1.246329607275819</v>
      </c>
      <c r="R102">
        <v>1.7997201329747159</v>
      </c>
      <c r="S102">
        <v>1.9241377366785231</v>
      </c>
      <c r="T102">
        <v>1.906429988460608</v>
      </c>
    </row>
    <row r="103" spans="1:20" x14ac:dyDescent="0.35">
      <c r="A103" t="s">
        <v>23</v>
      </c>
      <c r="B103">
        <v>-1.9605498271689159</v>
      </c>
      <c r="C103">
        <v>-2.6505501830230318</v>
      </c>
      <c r="D103">
        <v>-2.5497051982611132</v>
      </c>
      <c r="E103">
        <v>-2.3522620130498568</v>
      </c>
      <c r="F103">
        <v>-2.0614029297884491</v>
      </c>
      <c r="G103">
        <v>-1.942394486909617</v>
      </c>
      <c r="H103">
        <v>-1.3091538338707021</v>
      </c>
      <c r="I103">
        <v>-1.720725538687069</v>
      </c>
      <c r="J103">
        <v>-1.10408754780819</v>
      </c>
      <c r="K103">
        <v>-0.54065675982057304</v>
      </c>
      <c r="L103">
        <v>1.8084793418590659</v>
      </c>
      <c r="M103">
        <v>2.2860307259407189</v>
      </c>
      <c r="N103">
        <v>1.946757486607668</v>
      </c>
      <c r="O103">
        <v>2.26925415690159</v>
      </c>
      <c r="P103">
        <v>4.1742003298073076</v>
      </c>
      <c r="Q103">
        <v>2.130329162905106</v>
      </c>
      <c r="R103">
        <v>2.246026741344811</v>
      </c>
      <c r="S103">
        <v>2.0773853996196201</v>
      </c>
      <c r="T103">
        <v>1.869330889820199</v>
      </c>
    </row>
    <row r="104" spans="1:20" x14ac:dyDescent="0.35">
      <c r="A104" t="s">
        <v>24</v>
      </c>
      <c r="B104">
        <v>1.8830427348757039</v>
      </c>
      <c r="C104">
        <v>1.8530641918069479</v>
      </c>
      <c r="D104">
        <v>2.186428054410436</v>
      </c>
      <c r="E104">
        <v>1.246606069071361</v>
      </c>
      <c r="F104">
        <v>0.84643679883999701</v>
      </c>
      <c r="G104">
        <v>2.135175901932715</v>
      </c>
      <c r="H104">
        <v>2.5418011848812321</v>
      </c>
      <c r="I104">
        <v>3.233204623147504</v>
      </c>
      <c r="J104">
        <v>3.2901189417856651</v>
      </c>
      <c r="K104">
        <v>3.352973255899355</v>
      </c>
      <c r="L104">
        <v>3.2965630521189899</v>
      </c>
      <c r="M104">
        <v>3.488499349259444</v>
      </c>
      <c r="N104">
        <v>4.0065455329278148</v>
      </c>
      <c r="O104">
        <v>4.0823601203949016</v>
      </c>
      <c r="P104">
        <v>3.8413231907768628</v>
      </c>
      <c r="Q104">
        <v>3.7549034363632559</v>
      </c>
      <c r="R104">
        <v>4.0142123958536473</v>
      </c>
      <c r="S104">
        <v>3.9396611146420359</v>
      </c>
      <c r="T104">
        <v>4.6911766123940604</v>
      </c>
    </row>
    <row r="105" spans="1:20" x14ac:dyDescent="0.35">
      <c r="A105" t="s">
        <v>25</v>
      </c>
      <c r="B105">
        <v>-0.49537498162913668</v>
      </c>
      <c r="C105">
        <v>-0.31071865841723062</v>
      </c>
      <c r="D105">
        <v>-0.58933524348501576</v>
      </c>
      <c r="E105">
        <v>-0.29483016351168823</v>
      </c>
      <c r="F105">
        <v>-0.28716893325123921</v>
      </c>
      <c r="G105">
        <v>-0.43164935473817762</v>
      </c>
      <c r="H105">
        <v>-0.11756634546265091</v>
      </c>
      <c r="I105">
        <v>-0.12768637844286221</v>
      </c>
      <c r="J105">
        <v>-9.3345466393422769E-2</v>
      </c>
      <c r="K105">
        <v>-0.17149473861593789</v>
      </c>
      <c r="L105">
        <v>-0.2347975482660995</v>
      </c>
      <c r="M105">
        <v>-0.2718593623943133</v>
      </c>
      <c r="N105">
        <v>-0.16812359214414591</v>
      </c>
      <c r="O105">
        <v>-0.22779542676896969</v>
      </c>
      <c r="P105">
        <v>-6.8475082498698214E-2</v>
      </c>
      <c r="Q105">
        <v>-2.6880579432628209E-2</v>
      </c>
      <c r="R105">
        <v>0.30180633539117979</v>
      </c>
      <c r="S105">
        <v>0.28923487455156482</v>
      </c>
      <c r="T105">
        <v>0.48756206729774609</v>
      </c>
    </row>
    <row r="106" spans="1:20" x14ac:dyDescent="0.35">
      <c r="A106" t="s">
        <v>26</v>
      </c>
      <c r="B106">
        <v>132.6371784304695</v>
      </c>
      <c r="C106">
        <v>131.48519582013091</v>
      </c>
      <c r="D106">
        <v>132.20423591481631</v>
      </c>
      <c r="E106">
        <v>131.22785103759281</v>
      </c>
      <c r="F106">
        <v>132.35416270855521</v>
      </c>
      <c r="G106">
        <v>133.61425891059511</v>
      </c>
      <c r="H106">
        <v>137.88022233693761</v>
      </c>
      <c r="I106">
        <v>137.4248126318389</v>
      </c>
      <c r="J106">
        <v>139.7587096499671</v>
      </c>
      <c r="K106">
        <v>140.9766221858944</v>
      </c>
      <c r="L106">
        <v>141.1719040372879</v>
      </c>
      <c r="M106">
        <v>141.46259903323079</v>
      </c>
      <c r="N106">
        <v>143.70823836031229</v>
      </c>
      <c r="O106">
        <v>144.51871620445351</v>
      </c>
      <c r="P106">
        <v>147.7384409230346</v>
      </c>
      <c r="Q106">
        <v>148.34931829275061</v>
      </c>
      <c r="R106">
        <v>150.09007404074529</v>
      </c>
      <c r="S106">
        <v>150.71238124738929</v>
      </c>
      <c r="T106">
        <v>152.24904421179451</v>
      </c>
    </row>
    <row r="107" spans="1:20" x14ac:dyDescent="0.35">
      <c r="A107" t="s">
        <v>27</v>
      </c>
      <c r="B107">
        <v>5012829.12</v>
      </c>
      <c r="C107">
        <v>7187012.9899999993</v>
      </c>
      <c r="D107">
        <v>5931975.6799999997</v>
      </c>
      <c r="E107">
        <v>5490709.0299999993</v>
      </c>
      <c r="F107">
        <v>5269072.4500000011</v>
      </c>
      <c r="G107">
        <v>4015030.64</v>
      </c>
      <c r="H107">
        <v>5528472.7899999991</v>
      </c>
      <c r="I107">
        <v>81938560.010000005</v>
      </c>
      <c r="J107">
        <v>78884312.019999996</v>
      </c>
      <c r="K107">
        <v>57834578.590000004</v>
      </c>
      <c r="L107">
        <v>70878316.829999998</v>
      </c>
      <c r="M107">
        <v>121287990.27</v>
      </c>
      <c r="N107">
        <v>91427782.469999999</v>
      </c>
      <c r="O107">
        <v>79203963.579999998</v>
      </c>
      <c r="P107">
        <v>52002688.00999999</v>
      </c>
      <c r="Q107">
        <v>68213026.360000014</v>
      </c>
      <c r="R107">
        <v>62816284.060000002</v>
      </c>
      <c r="S107">
        <v>49792505.709999993</v>
      </c>
      <c r="T107">
        <v>5322503.75</v>
      </c>
    </row>
    <row r="108" spans="1:20" x14ac:dyDescent="0.35">
      <c r="A108" t="s">
        <v>28</v>
      </c>
      <c r="B108">
        <v>1.5619515869192411</v>
      </c>
      <c r="C108">
        <v>1.5251371394913049</v>
      </c>
      <c r="D108">
        <v>1.461777036442713</v>
      </c>
      <c r="E108">
        <v>1.4701743375026921</v>
      </c>
      <c r="F108">
        <v>1.546445621028733</v>
      </c>
      <c r="G108">
        <v>1.4621828501555481</v>
      </c>
      <c r="H108">
        <v>1.4979616401746161</v>
      </c>
      <c r="I108">
        <v>1.4474383502457531</v>
      </c>
      <c r="J108">
        <v>1.4448828172640329</v>
      </c>
      <c r="K108">
        <v>1.4310553158147721</v>
      </c>
      <c r="L108">
        <v>1.443303203364656</v>
      </c>
      <c r="M108">
        <v>1.4218076152554651</v>
      </c>
      <c r="N108">
        <v>1.389121222366039</v>
      </c>
      <c r="O108">
        <v>1.392099378957548</v>
      </c>
      <c r="P108">
        <v>1.3807385177124429</v>
      </c>
      <c r="Q108">
        <v>1.418517883788849</v>
      </c>
      <c r="R108">
        <v>1.441664337403421</v>
      </c>
      <c r="S108">
        <v>1.454964757651932</v>
      </c>
      <c r="T108">
        <v>1.3812819696436409</v>
      </c>
    </row>
    <row r="109" spans="1:20" x14ac:dyDescent="0.35">
      <c r="A109" t="s">
        <v>29</v>
      </c>
      <c r="B109">
        <v>0.25059323691628249</v>
      </c>
      <c r="C109">
        <v>0.24674126046125319</v>
      </c>
      <c r="D109">
        <v>0.24970616866992951</v>
      </c>
      <c r="E109">
        <v>0.24307562203364469</v>
      </c>
      <c r="F109">
        <v>0.24414569850277909</v>
      </c>
      <c r="G109">
        <v>0.2469962301814464</v>
      </c>
      <c r="H109">
        <v>0.24499588351288601</v>
      </c>
      <c r="I109">
        <v>0.24529142916103339</v>
      </c>
      <c r="J109">
        <v>0.24492533466562599</v>
      </c>
      <c r="K109">
        <v>0.24575898407002639</v>
      </c>
      <c r="L109">
        <v>0.24693523234584891</v>
      </c>
      <c r="M109">
        <v>0.24717580733912339</v>
      </c>
      <c r="N109">
        <v>0.2456902253686368</v>
      </c>
      <c r="O109">
        <v>0.2468462246911709</v>
      </c>
      <c r="P109">
        <v>0.2435362248574435</v>
      </c>
      <c r="Q109">
        <v>0.2441546572368351</v>
      </c>
      <c r="R109">
        <v>0.24092683651777921</v>
      </c>
      <c r="S109">
        <v>0.2414136342677341</v>
      </c>
      <c r="T109">
        <v>0.23772322468255649</v>
      </c>
    </row>
    <row r="111" spans="1:20" x14ac:dyDescent="0.35">
      <c r="A111" t="s">
        <v>39</v>
      </c>
      <c r="B111" t="s">
        <v>2</v>
      </c>
      <c r="C111" t="s">
        <v>3</v>
      </c>
      <c r="D111" t="s">
        <v>4</v>
      </c>
      <c r="E111" t="s">
        <v>5</v>
      </c>
      <c r="F111" t="s">
        <v>6</v>
      </c>
      <c r="G111" t="s">
        <v>7</v>
      </c>
      <c r="H111" t="s">
        <v>8</v>
      </c>
      <c r="I111" t="s">
        <v>9</v>
      </c>
      <c r="J111" t="s">
        <v>10</v>
      </c>
      <c r="K111" t="s">
        <v>11</v>
      </c>
      <c r="L111" t="s">
        <v>12</v>
      </c>
      <c r="M111" t="s">
        <v>13</v>
      </c>
      <c r="N111" t="s">
        <v>14</v>
      </c>
      <c r="O111" t="s">
        <v>15</v>
      </c>
      <c r="P111" t="s">
        <v>16</v>
      </c>
      <c r="Q111" t="s">
        <v>17</v>
      </c>
      <c r="R111" t="s">
        <v>18</v>
      </c>
      <c r="S111" t="s">
        <v>19</v>
      </c>
      <c r="T111" t="s">
        <v>20</v>
      </c>
    </row>
    <row r="112" spans="1:20" x14ac:dyDescent="0.35">
      <c r="A112" t="s">
        <v>21</v>
      </c>
      <c r="B112">
        <v>133.12674925987861</v>
      </c>
      <c r="C112">
        <v>134.39394978502179</v>
      </c>
      <c r="D112">
        <v>136.00723231056739</v>
      </c>
      <c r="E112">
        <v>137.28358554864519</v>
      </c>
      <c r="F112">
        <v>138.4996615592502</v>
      </c>
      <c r="G112">
        <v>136.65373718604479</v>
      </c>
      <c r="H112">
        <v>137.93097009765549</v>
      </c>
      <c r="I112">
        <v>137.34706535208869</v>
      </c>
      <c r="J112">
        <v>138.17651763969749</v>
      </c>
      <c r="K112">
        <v>138.23884027552879</v>
      </c>
      <c r="L112">
        <v>137.522278087877</v>
      </c>
      <c r="M112">
        <v>137.71506686535389</v>
      </c>
      <c r="N112">
        <v>138.52876929101231</v>
      </c>
      <c r="O112">
        <v>138.93073393611141</v>
      </c>
      <c r="P112">
        <v>140.89620403927819</v>
      </c>
      <c r="Q112">
        <v>142.5550241764513</v>
      </c>
      <c r="R112">
        <v>142.8395605473506</v>
      </c>
      <c r="S112">
        <v>143.27171530660149</v>
      </c>
      <c r="T112">
        <v>143.63215664210969</v>
      </c>
    </row>
    <row r="113" spans="1:20" x14ac:dyDescent="0.35">
      <c r="A113" t="s">
        <v>22</v>
      </c>
      <c r="B113">
        <v>-5.0264326658779883E-2</v>
      </c>
      <c r="C113">
        <v>-0.32919435054925361</v>
      </c>
      <c r="D113">
        <v>-0.25151659448117758</v>
      </c>
      <c r="E113">
        <v>-0.37506971106730141</v>
      </c>
      <c r="F113">
        <v>8.0757155229148114E-2</v>
      </c>
      <c r="G113">
        <v>-0.39018932615471752</v>
      </c>
      <c r="H113">
        <v>1.515278943748309</v>
      </c>
      <c r="I113">
        <v>0.85181005967797108</v>
      </c>
      <c r="J113">
        <v>1.593785257543272</v>
      </c>
      <c r="K113">
        <v>1.4966143220029799</v>
      </c>
      <c r="L113">
        <v>0.96099367774891453</v>
      </c>
      <c r="M113">
        <v>0.3404767314450825</v>
      </c>
      <c r="N113">
        <v>1.2421290485665759</v>
      </c>
      <c r="O113">
        <v>1.012697224483853</v>
      </c>
      <c r="P113">
        <v>1.251180074615321</v>
      </c>
      <c r="Q113">
        <v>0.95159004212806164</v>
      </c>
      <c r="R113">
        <v>1.1962151297076871</v>
      </c>
      <c r="S113">
        <v>1.198626974002247</v>
      </c>
      <c r="T113">
        <v>0.85699461844343439</v>
      </c>
    </row>
    <row r="114" spans="1:20" x14ac:dyDescent="0.35">
      <c r="A114" t="s">
        <v>23</v>
      </c>
      <c r="B114">
        <v>-1.3371177792333859</v>
      </c>
      <c r="C114">
        <v>-1.4932439270037241</v>
      </c>
      <c r="D114">
        <v>-1.404324239148413</v>
      </c>
      <c r="E114">
        <v>-1.627747496926488</v>
      </c>
      <c r="F114">
        <v>-0.82407353357352897</v>
      </c>
      <c r="G114">
        <v>-1.658225242671403</v>
      </c>
      <c r="H114">
        <v>-0.38975077661740032</v>
      </c>
      <c r="I114">
        <v>-1.0798593320737979</v>
      </c>
      <c r="J114">
        <v>-0.60675916525591156</v>
      </c>
      <c r="K114">
        <v>-0.79368571820980094</v>
      </c>
      <c r="L114">
        <v>0.29352688751888828</v>
      </c>
      <c r="M114">
        <v>0.53818048331378321</v>
      </c>
      <c r="N114">
        <v>0.72748000335216279</v>
      </c>
      <c r="O114">
        <v>1.1438951048641159</v>
      </c>
      <c r="P114">
        <v>2.2731658405240149</v>
      </c>
      <c r="Q114">
        <v>1.3151942369217939</v>
      </c>
      <c r="R114">
        <v>1.3314175239128641</v>
      </c>
      <c r="S114">
        <v>1.0827568342912539</v>
      </c>
      <c r="T114">
        <v>0.8112635557110488</v>
      </c>
    </row>
    <row r="115" spans="1:20" x14ac:dyDescent="0.35">
      <c r="A115" t="s">
        <v>24</v>
      </c>
      <c r="B115">
        <v>-1.8809715851234979E-2</v>
      </c>
      <c r="C115">
        <v>-5.2905712809849091E-2</v>
      </c>
      <c r="D115">
        <v>-0.82730226715613864</v>
      </c>
      <c r="E115">
        <v>-1.614861816496906</v>
      </c>
      <c r="F115">
        <v>-1.5794297767185561</v>
      </c>
      <c r="G115">
        <v>-0.78642500016288053</v>
      </c>
      <c r="H115">
        <v>-1.967903702782839</v>
      </c>
      <c r="I115">
        <v>-0.68199245822512833</v>
      </c>
      <c r="J115">
        <v>1.230535504826852</v>
      </c>
      <c r="K115">
        <v>0.80182065725126417</v>
      </c>
      <c r="L115">
        <v>0.78847123784999396</v>
      </c>
      <c r="M115">
        <v>1.359202825064119</v>
      </c>
      <c r="N115">
        <v>1.9204434657102369</v>
      </c>
      <c r="O115">
        <v>1.840392245268498</v>
      </c>
      <c r="P115">
        <v>1.9629323060419701</v>
      </c>
      <c r="Q115">
        <v>2.3632623483822219</v>
      </c>
      <c r="R115">
        <v>2.711412212118713</v>
      </c>
      <c r="S115">
        <v>2.762132746871266</v>
      </c>
      <c r="T115">
        <v>2.2352716276430851</v>
      </c>
    </row>
    <row r="116" spans="1:20" x14ac:dyDescent="0.35">
      <c r="A116" t="s">
        <v>25</v>
      </c>
      <c r="B116">
        <v>0.26453236105306782</v>
      </c>
      <c r="C116">
        <v>-1.073581202005007E-2</v>
      </c>
      <c r="D116">
        <v>-4.3294132735984944E-3</v>
      </c>
      <c r="E116">
        <v>-0.40665676318274568</v>
      </c>
      <c r="F116">
        <v>-0.3091121082309245</v>
      </c>
      <c r="G116">
        <v>-0.38017732766525852</v>
      </c>
      <c r="H116">
        <v>-0.1119324721662647</v>
      </c>
      <c r="I116">
        <v>-0.13764709662204999</v>
      </c>
      <c r="J116">
        <v>0.1636576304322433</v>
      </c>
      <c r="K116">
        <v>0.10071073124072499</v>
      </c>
      <c r="L116">
        <v>2.1256278132249069E-2</v>
      </c>
      <c r="M116">
        <v>-0.1049005844814556</v>
      </c>
      <c r="N116">
        <v>-7.1228341141668566E-2</v>
      </c>
      <c r="O116">
        <v>3.1560882583591111E-2</v>
      </c>
      <c r="P116">
        <v>0.38077879594742692</v>
      </c>
      <c r="Q116">
        <v>0.39548427499243488</v>
      </c>
      <c r="R116">
        <v>0.58355632234418708</v>
      </c>
      <c r="S116">
        <v>0.71632563380481429</v>
      </c>
      <c r="T116">
        <v>0.4137732793082099</v>
      </c>
    </row>
    <row r="117" spans="1:20" x14ac:dyDescent="0.35">
      <c r="A117" t="s">
        <v>26</v>
      </c>
      <c r="B117">
        <v>131.98508979918819</v>
      </c>
      <c r="C117">
        <v>132.50786998263899</v>
      </c>
      <c r="D117">
        <v>133.51975979650811</v>
      </c>
      <c r="E117">
        <v>133.25924976097181</v>
      </c>
      <c r="F117">
        <v>135.86780329595629</v>
      </c>
      <c r="G117">
        <v>133.43872028939049</v>
      </c>
      <c r="H117">
        <v>136.9766620898373</v>
      </c>
      <c r="I117">
        <v>136.29937652484571</v>
      </c>
      <c r="J117">
        <v>140.55773686724399</v>
      </c>
      <c r="K117">
        <v>139.84430026781399</v>
      </c>
      <c r="L117">
        <v>139.5865261691271</v>
      </c>
      <c r="M117">
        <v>139.8480263206954</v>
      </c>
      <c r="N117">
        <v>142.34759346749971</v>
      </c>
      <c r="O117">
        <v>142.95927939331139</v>
      </c>
      <c r="P117">
        <v>146.76426105640701</v>
      </c>
      <c r="Q117">
        <v>147.58055507887579</v>
      </c>
      <c r="R117">
        <v>148.66216173543401</v>
      </c>
      <c r="S117">
        <v>149.03155749557101</v>
      </c>
      <c r="T117">
        <v>147.94945972321551</v>
      </c>
    </row>
    <row r="118" spans="1:20" x14ac:dyDescent="0.35">
      <c r="A118" t="s">
        <v>27</v>
      </c>
      <c r="B118">
        <v>15535323.970000001</v>
      </c>
      <c r="C118">
        <v>18647245.260000002</v>
      </c>
      <c r="D118">
        <v>15347704.5</v>
      </c>
      <c r="E118">
        <v>15763057.6</v>
      </c>
      <c r="F118">
        <v>18153029.780000001</v>
      </c>
      <c r="G118">
        <v>7300194.1199999992</v>
      </c>
      <c r="H118">
        <v>14230824.83</v>
      </c>
      <c r="I118">
        <v>189958133.74000001</v>
      </c>
      <c r="J118">
        <v>164443001.34999999</v>
      </c>
      <c r="K118">
        <v>134281171.97</v>
      </c>
      <c r="L118">
        <v>159563522.59</v>
      </c>
      <c r="M118">
        <v>265914054.47</v>
      </c>
      <c r="N118">
        <v>196922196.91999999</v>
      </c>
      <c r="O118">
        <v>182558956.72</v>
      </c>
      <c r="P118">
        <v>121787075.25</v>
      </c>
      <c r="Q118">
        <v>199438608.09999999</v>
      </c>
      <c r="R118">
        <v>168634011.84999999</v>
      </c>
      <c r="S118">
        <v>155737718.30000001</v>
      </c>
      <c r="T118">
        <v>14040725.15</v>
      </c>
    </row>
    <row r="119" spans="1:20" x14ac:dyDescent="0.35">
      <c r="A119" t="s">
        <v>28</v>
      </c>
      <c r="B119">
        <v>1.6204279997261759</v>
      </c>
      <c r="C119">
        <v>1.6139737768634339</v>
      </c>
      <c r="D119">
        <v>1.653941241810065</v>
      </c>
      <c r="E119">
        <v>1.689857403379782</v>
      </c>
      <c r="F119">
        <v>1.700413408327532</v>
      </c>
      <c r="G119">
        <v>1.6627321732885001</v>
      </c>
      <c r="H119">
        <v>1.7746383454065631</v>
      </c>
      <c r="I119">
        <v>1.675242133653013</v>
      </c>
      <c r="J119">
        <v>1.5420822927761779</v>
      </c>
      <c r="K119">
        <v>1.562351152839067</v>
      </c>
      <c r="L119">
        <v>1.56792936985232</v>
      </c>
      <c r="M119">
        <v>1.5276202449835641</v>
      </c>
      <c r="N119">
        <v>1.4930869128009761</v>
      </c>
      <c r="O119">
        <v>1.4999499998721859</v>
      </c>
      <c r="P119">
        <v>1.4814413151199559</v>
      </c>
      <c r="Q119">
        <v>1.4696227729665881</v>
      </c>
      <c r="R119">
        <v>1.4659127545428621</v>
      </c>
      <c r="S119">
        <v>1.462594193258254</v>
      </c>
      <c r="T119">
        <v>1.4838598928354361</v>
      </c>
    </row>
    <row r="120" spans="1:20" x14ac:dyDescent="0.35">
      <c r="A120" t="s">
        <v>29</v>
      </c>
      <c r="B120">
        <v>0.24625078279812659</v>
      </c>
      <c r="C120">
        <v>0.24773167801092141</v>
      </c>
      <c r="D120">
        <v>0.24781152077100521</v>
      </c>
      <c r="E120">
        <v>0.25041052645173362</v>
      </c>
      <c r="F120">
        <v>0.2503970711376754</v>
      </c>
      <c r="G120">
        <v>0.24967372284368791</v>
      </c>
      <c r="H120">
        <v>0.24867123991765139</v>
      </c>
      <c r="I120">
        <v>0.24873567177881031</v>
      </c>
      <c r="J120">
        <v>0.2456301747121582</v>
      </c>
      <c r="K120">
        <v>0.24655236865140009</v>
      </c>
      <c r="L120">
        <v>0.24747277110356589</v>
      </c>
      <c r="M120">
        <v>0.24853448760406921</v>
      </c>
      <c r="N120">
        <v>0.2479356320245851</v>
      </c>
      <c r="O120">
        <v>0.2474209490194933</v>
      </c>
      <c r="P120">
        <v>0.24343268412394881</v>
      </c>
      <c r="Q120">
        <v>0.24424302026595421</v>
      </c>
      <c r="R120">
        <v>0.2422454316173645</v>
      </c>
      <c r="S120">
        <v>0.24146185912942711</v>
      </c>
      <c r="T120">
        <v>0.24322020196065161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cb_zip impact</vt:lpstr>
      <vt:lpstr>Data Tables (M) no_cb_zip</vt:lpstr>
      <vt:lpstr>Sheet2</vt:lpstr>
      <vt:lpstr>Data Tables (M) cb_zip</vt:lpstr>
      <vt:lpstr>Data Tables (M)</vt:lpstr>
      <vt:lpstr>Sheet3</vt:lpstr>
      <vt:lpstr>Data Tables (W) FRN</vt:lpstr>
      <vt:lpstr>Data Tables (W)</vt:lpstr>
      <vt:lpstr>Data Tables (Q) non-stu</vt:lpstr>
      <vt:lpstr>Data Tables (Q) 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2026-03-23T15:49:00Z</dcterms:created>
  <dcterms:modified xsi:type="dcterms:W3CDTF">2026-10-14T17:56:30Z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0x0101002F7055BF62EA51469C2F194260F7319E</vt:lpwstr>
  </property>
</Properties>
</file>