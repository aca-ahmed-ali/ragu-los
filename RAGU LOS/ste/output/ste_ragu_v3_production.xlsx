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hmed.ali\ragu-los\RAGU LOS\"/>
    </mc:Choice>
  </mc:AlternateContent>
  <xr:revisionPtr revIDLastSave="0" documentId="13_ncr:1_{D59F69AD-FF5F-4F48-BFDA-0C382C7816B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TE V3 Data (M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" i="1" l="1"/>
  <c r="G15" i="1"/>
  <c r="H15" i="1"/>
  <c r="I15" i="1"/>
  <c r="J15" i="1"/>
  <c r="K15" i="1"/>
  <c r="E15" i="1"/>
  <c r="C11" i="1"/>
  <c r="D11" i="1"/>
  <c r="E11" i="1"/>
  <c r="F11" i="1"/>
  <c r="G11" i="1"/>
  <c r="H11" i="1"/>
  <c r="I11" i="1"/>
  <c r="J11" i="1"/>
  <c r="K11" i="1"/>
  <c r="L11" i="1"/>
  <c r="B11" i="1"/>
</calcChain>
</file>

<file path=xl/sharedStrings.xml><?xml version="1.0" encoding="utf-8"?>
<sst xmlns="http://schemas.openxmlformats.org/spreadsheetml/2006/main" count="22" uniqueCount="22">
  <si>
    <t>STE</t>
  </si>
  <si>
    <t>2025 M10</t>
  </si>
  <si>
    <t>2025 M11</t>
  </si>
  <si>
    <t>2025 M12</t>
  </si>
  <si>
    <t>2026 M01</t>
  </si>
  <si>
    <t>2026 M02</t>
  </si>
  <si>
    <t>2026 M03</t>
  </si>
  <si>
    <t>2026 M04</t>
  </si>
  <si>
    <t>2026 M05</t>
  </si>
  <si>
    <t>2026 M06</t>
  </si>
  <si>
    <t>2026 M07</t>
  </si>
  <si>
    <t>2026 M08</t>
  </si>
  <si>
    <t>Model Score</t>
  </si>
  <si>
    <t>Gross Loss Impact</t>
  </si>
  <si>
    <t>Recovery Impact</t>
  </si>
  <si>
    <t>LTV Impact</t>
  </si>
  <si>
    <t>APR Impact</t>
  </si>
  <si>
    <t>RAGU Score</t>
  </si>
  <si>
    <t>Amount Financed</t>
  </si>
  <si>
    <t>Weighted LTV</t>
  </si>
  <si>
    <t>Weighted APR</t>
  </si>
  <si>
    <t>div by ltv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</si>
</sst>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2" fontId="0" fillId="0" borderId="0" xfId="0" applyNumberFormat="1"/>
    <xf numFmtId="166" fontId="2" fillId="0" borderId="0" xfId="0" applyNumberFormat="1" applyFont="1"/>
    <xf numFmtId="9" fontId="2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"/>
  <sheetViews>
    <sheetView tabSelected="1" zoomScale="115" zoomScaleNormal="115" workbookViewId="0">
      <selection activeCell="I12" sqref="I12"/>
    </sheetView>
  </sheetViews>
  <sheetFormatPr defaultRowHeight="14.5" x14ac:dyDescent="0.35"/>
  <cols>
    <col min="1" max="1" width="15.81640625" bestFit="1" customWidth="1"/>
    <col min="2" max="5" width="12.54296875" bestFit="1" customWidth="1"/>
    <col min="6" max="6" width="12.36328125" bestFit="1" customWidth="1"/>
    <col min="7" max="7" width="13.453125" bestFit="1" customWidth="1"/>
    <col min="8" max="11" width="12.54296875" bestFit="1" customWidth="1"/>
    <col min="12" max="12" width="11.3632812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</v>
      </c>
      <c r="B2" s="1">
        <v>131.0213353619784</v>
      </c>
      <c r="C2" s="1">
        <v>131.36515611262061</v>
      </c>
      <c r="D2" s="1">
        <v>131.65139154409971</v>
      </c>
      <c r="E2" s="1">
        <v>132.2504477975082</v>
      </c>
      <c r="F2" s="1">
        <v>133.11132508926201</v>
      </c>
      <c r="G2" s="1">
        <v>134.39344257185121</v>
      </c>
      <c r="H2" s="1">
        <v>135.0739193974012</v>
      </c>
      <c r="I2" s="1">
        <v>136.24409088271801</v>
      </c>
      <c r="J2" s="1">
        <v>136.5269757194134</v>
      </c>
      <c r="K2" s="1">
        <v>137.33713790472339</v>
      </c>
      <c r="L2" s="1">
        <v>137.52808125631839</v>
      </c>
    </row>
    <row r="3" spans="1:12" x14ac:dyDescent="0.35">
      <c r="A3" t="s">
        <v>13</v>
      </c>
      <c r="B3" s="1">
        <v>-0.5209852991896502</v>
      </c>
      <c r="C3" s="1">
        <v>-0.4544285366757212</v>
      </c>
      <c r="D3" s="1">
        <v>-0.56305010069515959</v>
      </c>
      <c r="E3" s="1">
        <v>-0.48487515815937188</v>
      </c>
      <c r="F3" s="1">
        <v>-0.49578690005815501</v>
      </c>
      <c r="G3" s="1">
        <v>-0.42639805023412231</v>
      </c>
      <c r="H3" s="1">
        <v>-0.35660254578894762</v>
      </c>
      <c r="I3" s="1">
        <v>-0.45369076349490078</v>
      </c>
      <c r="J3" s="1">
        <v>-0.54789408198957856</v>
      </c>
      <c r="K3" s="1">
        <v>-0.50818746888039623</v>
      </c>
      <c r="L3" s="1">
        <v>0.35664873745820719</v>
      </c>
    </row>
    <row r="4" spans="1:12" x14ac:dyDescent="0.35">
      <c r="A4" t="s">
        <v>14</v>
      </c>
      <c r="B4" s="1">
        <v>33.366306013297489</v>
      </c>
      <c r="C4" s="1">
        <v>32.198944562391517</v>
      </c>
      <c r="D4" s="1">
        <v>31.74029686863004</v>
      </c>
      <c r="E4" s="1">
        <v>31.022217017412309</v>
      </c>
      <c r="F4" s="1">
        <v>29.284617307841529</v>
      </c>
      <c r="G4" s="1">
        <v>27.853713475141671</v>
      </c>
      <c r="H4" s="1">
        <v>27.83310218467355</v>
      </c>
      <c r="I4" s="1">
        <v>27.03891636053422</v>
      </c>
      <c r="J4" s="1">
        <v>27.07077570476396</v>
      </c>
      <c r="K4" s="1">
        <v>26.27251340845946</v>
      </c>
      <c r="L4" s="1">
        <v>26.858457956064079</v>
      </c>
    </row>
    <row r="5" spans="1:12" x14ac:dyDescent="0.35">
      <c r="A5" t="s">
        <v>15</v>
      </c>
      <c r="B5" s="1">
        <v>0.45887054904066982</v>
      </c>
      <c r="C5" s="1">
        <v>0.43483526519726701</v>
      </c>
      <c r="D5" s="1">
        <v>0.4031743178914583</v>
      </c>
      <c r="E5" s="1">
        <v>0.4413437072358985</v>
      </c>
      <c r="F5" s="1">
        <v>0.4833374682976837</v>
      </c>
      <c r="G5" s="1">
        <v>0.52643921253470638</v>
      </c>
      <c r="H5" s="1">
        <v>0.54293045250537508</v>
      </c>
      <c r="I5" s="1">
        <v>0.5851810150980038</v>
      </c>
      <c r="J5" s="1">
        <v>0.56824402324405654</v>
      </c>
      <c r="K5" s="1">
        <v>0.5814985863097446</v>
      </c>
      <c r="L5" s="1">
        <v>0.54319014552765377</v>
      </c>
    </row>
    <row r="6" spans="1:12" x14ac:dyDescent="0.35">
      <c r="A6" t="s">
        <v>16</v>
      </c>
      <c r="B6" s="1">
        <v>1.110160825222499</v>
      </c>
      <c r="C6" s="1">
        <v>1.310442897331267</v>
      </c>
      <c r="D6" s="1">
        <v>1.282238358366091</v>
      </c>
      <c r="E6" s="1">
        <v>1.277999743208464</v>
      </c>
      <c r="F6" s="1">
        <v>1.3803899897194549</v>
      </c>
      <c r="G6" s="1">
        <v>1.7675342858691461</v>
      </c>
      <c r="H6" s="1">
        <v>1.964518129830507</v>
      </c>
      <c r="I6" s="1">
        <v>2.094626297104484</v>
      </c>
      <c r="J6" s="1">
        <v>2.2116856342664168</v>
      </c>
      <c r="K6" s="1">
        <v>2.4066122405990349</v>
      </c>
      <c r="L6" s="1">
        <v>2.2427704396537278</v>
      </c>
    </row>
    <row r="7" spans="1:12" x14ac:dyDescent="0.35">
      <c r="A7" t="s">
        <v>17</v>
      </c>
      <c r="B7" s="1">
        <v>165.43568745034941</v>
      </c>
      <c r="C7" s="1">
        <v>164.85495030086491</v>
      </c>
      <c r="D7" s="1">
        <v>164.5140509882921</v>
      </c>
      <c r="E7" s="1">
        <v>164.50713310720539</v>
      </c>
      <c r="F7" s="1">
        <v>163.76388295506251</v>
      </c>
      <c r="G7" s="1">
        <v>164.1147314951626</v>
      </c>
      <c r="H7" s="1">
        <v>165.05786761862171</v>
      </c>
      <c r="I7" s="1">
        <v>165.50912379195989</v>
      </c>
      <c r="J7" s="1">
        <v>165.82978699969831</v>
      </c>
      <c r="K7" s="1">
        <v>166.08957467121121</v>
      </c>
      <c r="L7" s="1">
        <v>167.5291485350221</v>
      </c>
    </row>
    <row r="8" spans="1:12" x14ac:dyDescent="0.35">
      <c r="A8" t="s">
        <v>18</v>
      </c>
      <c r="B8" s="1">
        <v>32707282.899999999</v>
      </c>
      <c r="C8" s="1">
        <v>48131535.259999998</v>
      </c>
      <c r="D8" s="1">
        <v>49068666.609999999</v>
      </c>
      <c r="E8" s="1">
        <v>42066005.630000003</v>
      </c>
      <c r="F8" s="1">
        <v>51895656.75</v>
      </c>
      <c r="G8" s="1">
        <v>107894975.66</v>
      </c>
      <c r="H8" s="1">
        <v>90627959.450000003</v>
      </c>
      <c r="I8" s="1">
        <v>72729956.860000014</v>
      </c>
      <c r="J8" s="1">
        <v>82338383.120000005</v>
      </c>
      <c r="K8" s="1">
        <v>59383739.869999997</v>
      </c>
      <c r="L8" s="1">
        <v>6047040.7400000012</v>
      </c>
    </row>
    <row r="9" spans="1:12" x14ac:dyDescent="0.35">
      <c r="A9" t="s">
        <v>19</v>
      </c>
      <c r="B9" s="1">
        <v>1.5228449554175729</v>
      </c>
      <c r="C9" s="1">
        <v>1.54469521345703</v>
      </c>
      <c r="D9" s="1">
        <v>1.573477892825947</v>
      </c>
      <c r="E9" s="1">
        <v>1.538778447967365</v>
      </c>
      <c r="F9" s="1">
        <v>1.50060230154756</v>
      </c>
      <c r="G9" s="1">
        <v>1.461418897695721</v>
      </c>
      <c r="H9" s="1">
        <v>1.4464268613587501</v>
      </c>
      <c r="I9" s="1">
        <v>1.408017259001815</v>
      </c>
      <c r="J9" s="1">
        <v>1.423414524323585</v>
      </c>
      <c r="K9" s="1">
        <v>1.411364921536596</v>
      </c>
      <c r="L9" s="1">
        <v>1.446190776793042</v>
      </c>
    </row>
    <row r="10" spans="1:12" x14ac:dyDescent="0.35">
      <c r="A10" t="s">
        <v>20</v>
      </c>
      <c r="B10" s="1">
        <v>0.2364993211088107</v>
      </c>
      <c r="C10" s="1">
        <v>0.2340636884673323</v>
      </c>
      <c r="D10" s="1">
        <v>0.23440668419839361</v>
      </c>
      <c r="E10" s="1">
        <v>0.23445823004732499</v>
      </c>
      <c r="F10" s="1">
        <v>0.2332130610516909</v>
      </c>
      <c r="G10" s="1">
        <v>0.2285049946993902</v>
      </c>
      <c r="H10" s="1">
        <v>0.2261094718493189</v>
      </c>
      <c r="I10" s="1">
        <v>0.22452722489232049</v>
      </c>
      <c r="J10" s="1">
        <v>0.2231036649122411</v>
      </c>
      <c r="K10" s="1">
        <v>0.22073316015324049</v>
      </c>
      <c r="L10" s="1">
        <v>0.222725642227244</v>
      </c>
    </row>
    <row r="11" spans="1:12" x14ac:dyDescent="0.35">
      <c r="A11" t="s">
        <v>21</v>
      </c>
      <c r="B11">
        <f>B4/B9</f>
        <v>21.910507628892695</v>
      </c>
      <c r="C11">
        <f t="shared" ref="C11:L11" si="0">C4/C9</f>
        <v>20.844852940490593</v>
      </c>
      <c r="D11">
        <f t="shared" si="0"/>
        <v>20.172064071154413</v>
      </c>
      <c r="E11">
        <f t="shared" si="0"/>
        <v>20.160288219782917</v>
      </c>
      <c r="F11">
        <f t="shared" si="0"/>
        <v>19.515242164856417</v>
      </c>
      <c r="G11">
        <f t="shared" si="0"/>
        <v>19.05936314294263</v>
      </c>
      <c r="H11">
        <f t="shared" si="0"/>
        <v>19.2426612974593</v>
      </c>
      <c r="I11">
        <f t="shared" si="0"/>
        <v>19.203540430820361</v>
      </c>
      <c r="J11">
        <f t="shared" si="0"/>
        <v>19.018195502556189</v>
      </c>
      <c r="K11">
        <f t="shared" si="0"/>
        <v>18.614968395172934</v>
      </c>
      <c r="L11">
        <f t="shared" si="0"/>
        <v>18.571863675982822</v>
      </c>
    </row>
    <row r="13" spans="1:12" x14ac:dyDescent="0.35">
      <c r="E13" s="2">
        <v>0.18237999999999999</v>
      </c>
      <c r="F13" s="2">
        <v>0.21555000000000002</v>
      </c>
      <c r="G13" s="2">
        <v>0.19989999999999997</v>
      </c>
      <c r="H13" s="2">
        <v>0.21244999999999997</v>
      </c>
      <c r="I13" s="2">
        <v>0.21423</v>
      </c>
      <c r="J13" s="2">
        <v>0.19029000000000001</v>
      </c>
      <c r="K13" s="2">
        <v>0.18401000000000001</v>
      </c>
    </row>
    <row r="15" spans="1:12" x14ac:dyDescent="0.35">
      <c r="E15" s="3">
        <f>E13-E11/100</f>
        <v>-1.9222882197829194E-2</v>
      </c>
      <c r="F15" s="3">
        <f t="shared" ref="F15:K15" si="1">F13-F11/100</f>
        <v>2.0397578351435852E-2</v>
      </c>
      <c r="G15" s="3">
        <f t="shared" si="1"/>
        <v>9.3063685705736809E-3</v>
      </c>
      <c r="H15" s="3">
        <f t="shared" si="1"/>
        <v>2.0023387025406986E-2</v>
      </c>
      <c r="I15" s="3">
        <f t="shared" si="1"/>
        <v>2.2194595691796382E-2</v>
      </c>
      <c r="J15" s="3">
        <f t="shared" si="1"/>
        <v>1.0804497443811512E-4</v>
      </c>
      <c r="K15" s="3">
        <f t="shared" si="1"/>
        <v>-2.1396839517293376E-3</v>
      </c>
    </row>
  </sheetData>
  <conditionalFormatting sqref="E11:K1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3:K1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STE V3 Data (M)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Ali</cp:lastModifiedBy>
  <dcterms:created xsi:type="dcterms:W3CDTF">2026-08-12T19:08:09Z</dcterms:created>
  <dcterms:modified xsi:type="dcterms:W3CDTF">2026-08-12T23:33:44Z</dcterms:modified>
</cp:coreProperties>
</file>