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820" yWindow="-21720" windowWidth="38640" windowHeight="21120" tabRatio="600" firstSheet="0" activeTab="1" autoFilterDateGrouping="1"/>
  </bookViews>
  <sheets>
    <sheet xmlns:r="http://schemas.openxmlformats.org/officeDocument/2006/relationships" name="Data Tables (M) w_cb_zip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Data Tables (M) no zip" sheetId="3" state="visible" r:id="rId3"/>
    <sheet xmlns:r="http://schemas.openxmlformats.org/officeDocument/2006/relationships" name="Data Tables (W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zoomScale="205" zoomScaleNormal="205" workbookViewId="0">
      <selection activeCell="O12" sqref="O12"/>
    </sheetView>
  </sheetViews>
  <sheetFormatPr baseColWidth="8" defaultRowHeight="14.5"/>
  <sheetData>
    <row r="1">
      <c r="A1" t="inlineStr">
        <is>
          <t>STE</t>
        </is>
      </c>
      <c r="B1" t="inlineStr">
        <is>
          <t>2025 M11</t>
        </is>
      </c>
      <c r="C1" t="inlineStr">
        <is>
          <t>2025 M12</t>
        </is>
      </c>
      <c r="D1" t="inlineStr">
        <is>
          <t>2026 M01</t>
        </is>
      </c>
      <c r="E1" t="inlineStr">
        <is>
          <t>2026 M02</t>
        </is>
      </c>
      <c r="F1" t="inlineStr">
        <is>
          <t>2026 M03</t>
        </is>
      </c>
      <c r="G1" t="inlineStr">
        <is>
          <t>2026 M04</t>
        </is>
      </c>
      <c r="H1" t="inlineStr">
        <is>
          <t>2026 M05</t>
        </is>
      </c>
      <c r="I1" t="inlineStr">
        <is>
          <t>2026 M06</t>
        </is>
      </c>
      <c r="J1" t="inlineStr">
        <is>
          <t>2026 M07</t>
        </is>
      </c>
      <c r="K1" t="inlineStr">
        <is>
          <t>2026 M08</t>
        </is>
      </c>
      <c r="L1" t="inlineStr">
        <is>
          <t>2026 M09</t>
        </is>
      </c>
    </row>
    <row r="2">
      <c r="A2" t="inlineStr">
        <is>
          <t>Model Score</t>
        </is>
      </c>
      <c r="B2" t="n">
        <v>131.3651561126205</v>
      </c>
      <c r="C2" t="n">
        <v>131.6513915440997</v>
      </c>
      <c r="D2" t="n">
        <v>132.2504477975082</v>
      </c>
      <c r="E2" t="n">
        <v>133.1113250892619</v>
      </c>
      <c r="F2" t="n">
        <v>134.3934425718512</v>
      </c>
      <c r="G2" t="n">
        <v>135.0739193974012</v>
      </c>
      <c r="H2" t="n">
        <v>136.244090882718</v>
      </c>
      <c r="I2" t="n">
        <v>136.5269757194134</v>
      </c>
      <c r="J2" t="n">
        <v>137.3586655760463</v>
      </c>
      <c r="K2" t="n">
        <v>137.5708487630104</v>
      </c>
      <c r="L2" t="n">
        <v>137.3436104271622</v>
      </c>
    </row>
    <row r="3">
      <c r="A3" t="inlineStr">
        <is>
          <t>Expected Gross Loss Impact</t>
        </is>
      </c>
      <c r="B3" t="n">
        <v>-0.1294456775458741</v>
      </c>
      <c r="C3" t="n">
        <v>-0.01036125741728711</v>
      </c>
      <c r="D3" t="n">
        <v>0.05402914064546849</v>
      </c>
      <c r="E3" t="n">
        <v>-0.01788117065970596</v>
      </c>
      <c r="F3" t="n">
        <v>0.07112380814493235</v>
      </c>
      <c r="G3" t="n">
        <v>0.1946555925854909</v>
      </c>
      <c r="H3" t="n">
        <v>0.1045146632951344</v>
      </c>
      <c r="I3" t="n">
        <v>-0.07138401696630581</v>
      </c>
      <c r="J3" t="n">
        <v>0.01281365682680757</v>
      </c>
      <c r="K3" t="n">
        <v>0.3435312075026786</v>
      </c>
      <c r="L3" t="n">
        <v>0.5638240054918526</v>
      </c>
    </row>
    <row r="4">
      <c r="A4" t="inlineStr">
        <is>
          <t>Recovery Impact</t>
        </is>
      </c>
      <c r="B4" t="n">
        <v>2.142798503461352</v>
      </c>
      <c r="C4" t="n">
        <v>1.914371261521075</v>
      </c>
      <c r="D4" t="n">
        <v>2.119307232197779</v>
      </c>
      <c r="E4" t="n">
        <v>1.115884742822912</v>
      </c>
      <c r="F4" t="n">
        <v>1.095483786418988</v>
      </c>
      <c r="G4" t="n">
        <v>2.317275251588041</v>
      </c>
      <c r="H4" t="n">
        <v>3.474837500958335</v>
      </c>
      <c r="I4" t="n">
        <v>4.053175414960784</v>
      </c>
      <c r="J4" t="n">
        <v>4.227849958639407</v>
      </c>
      <c r="K4" t="n">
        <v>3.530698325425688</v>
      </c>
      <c r="L4" t="n">
        <v>3.096963395084881</v>
      </c>
    </row>
    <row r="5">
      <c r="A5" t="inlineStr">
        <is>
          <t>LTV Impact</t>
        </is>
      </c>
      <c r="B5" t="n">
        <v>4.350490189058533</v>
      </c>
      <c r="C5" t="n">
        <v>3.959938585961525</v>
      </c>
      <c r="D5" t="n">
        <v>4.432585076535629</v>
      </c>
      <c r="E5" t="n">
        <v>4.977841807911377</v>
      </c>
      <c r="F5" t="n">
        <v>5.567109301789445</v>
      </c>
      <c r="G5" t="n">
        <v>5.801014611287784</v>
      </c>
      <c r="H5" t="n">
        <v>6.423008339670849</v>
      </c>
      <c r="I5" t="n">
        <v>6.169638525131881</v>
      </c>
      <c r="J5" t="n">
        <v>6.378209781427979</v>
      </c>
      <c r="K5" t="n">
        <v>6.188021541263446</v>
      </c>
      <c r="L5" t="n">
        <v>5.889268950056255</v>
      </c>
    </row>
    <row r="6">
      <c r="A6" t="inlineStr">
        <is>
          <t>APR Impact</t>
        </is>
      </c>
      <c r="B6" t="n">
        <v>1.115541807286742</v>
      </c>
      <c r="C6" t="n">
        <v>1.091532106112449</v>
      </c>
      <c r="D6" t="n">
        <v>1.087923896687248</v>
      </c>
      <c r="E6" t="n">
        <v>1.175085726381635</v>
      </c>
      <c r="F6" t="n">
        <v>1.504650371042688</v>
      </c>
      <c r="G6" t="n">
        <v>1.672336970547677</v>
      </c>
      <c r="H6" t="n">
        <v>1.783094257537565</v>
      </c>
      <c r="I6" t="n">
        <v>1.882743456143129</v>
      </c>
      <c r="J6" t="n">
        <v>1.979285459538064</v>
      </c>
      <c r="K6" t="n">
        <v>1.815405934441572</v>
      </c>
      <c r="L6" t="n">
        <v>1.665868262722071</v>
      </c>
    </row>
    <row r="7">
      <c r="A7" t="inlineStr">
        <is>
          <t>RAGU Score</t>
        </is>
      </c>
      <c r="B7" t="n">
        <v>138.8445409348813</v>
      </c>
      <c r="C7" t="n">
        <v>138.6068722402775</v>
      </c>
      <c r="D7" t="n">
        <v>139.9442931435743</v>
      </c>
      <c r="E7" t="n">
        <v>140.3622561957181</v>
      </c>
      <c r="F7" t="n">
        <v>142.635550623413</v>
      </c>
      <c r="G7" t="n">
        <v>145.0593089310823</v>
      </c>
      <c r="H7" t="n">
        <v>148.0291039063954</v>
      </c>
      <c r="I7" t="n">
        <v>148.5611490986829</v>
      </c>
      <c r="J7" t="n">
        <v>149.957942860205</v>
      </c>
      <c r="K7" t="n">
        <v>149.4485057716438</v>
      </c>
      <c r="L7" t="n">
        <v>148.5543127717034</v>
      </c>
    </row>
    <row r="8">
      <c r="A8" t="inlineStr">
        <is>
          <t>Amount Financed</t>
        </is>
      </c>
      <c r="B8" t="n">
        <v>46957669.38</v>
      </c>
      <c r="C8" t="n">
        <v>48436705.36</v>
      </c>
      <c r="D8" t="n">
        <v>41847911.84</v>
      </c>
      <c r="E8" t="n">
        <v>51674677.01000001</v>
      </c>
      <c r="F8" t="n">
        <v>107724085.98</v>
      </c>
      <c r="G8" t="n">
        <v>90227374.95</v>
      </c>
      <c r="H8" t="n">
        <v>72604977.90000001</v>
      </c>
      <c r="I8" t="n">
        <v>82073268.25</v>
      </c>
      <c r="J8" t="n">
        <v>72933369.03999999</v>
      </c>
      <c r="K8" t="n">
        <v>57974773.56</v>
      </c>
      <c r="L8" t="n">
        <v>54925118.76</v>
      </c>
    </row>
    <row r="9">
      <c r="A9" t="inlineStr">
        <is>
          <t>Weighted LTV</t>
        </is>
      </c>
      <c r="B9" t="n">
        <v>1.54469521345703</v>
      </c>
      <c r="C9" t="n">
        <v>1.573477892825947</v>
      </c>
      <c r="D9" t="n">
        <v>1.538778447967365</v>
      </c>
      <c r="E9" t="n">
        <v>1.50060230154756</v>
      </c>
      <c r="F9" t="n">
        <v>1.461418897695722</v>
      </c>
      <c r="G9" t="n">
        <v>1.44642686135875</v>
      </c>
      <c r="H9" t="n">
        <v>1.408017259001815</v>
      </c>
      <c r="I9" t="n">
        <v>1.423414524323585</v>
      </c>
      <c r="J9" t="n">
        <v>1.410715375913849</v>
      </c>
      <c r="K9" t="n">
        <v>1.4222860687494</v>
      </c>
      <c r="L9" t="n">
        <v>1.440849861651826</v>
      </c>
    </row>
    <row r="10">
      <c r="A10" t="inlineStr">
        <is>
          <t>Weighted APR</t>
        </is>
      </c>
      <c r="B10" t="n">
        <v>0.2340636884673322</v>
      </c>
      <c r="C10" t="n">
        <v>0.2344066841983936</v>
      </c>
      <c r="D10" t="n">
        <v>0.234458230047325</v>
      </c>
      <c r="E10" t="n">
        <v>0.2332130610516909</v>
      </c>
      <c r="F10" t="n">
        <v>0.2285049946993902</v>
      </c>
      <c r="G10" t="n">
        <v>0.2261094718493189</v>
      </c>
      <c r="H10" t="n">
        <v>0.2245272248923205</v>
      </c>
      <c r="I10" t="n">
        <v>0.223103664912241</v>
      </c>
      <c r="J10" t="n">
        <v>0.2217244934351705</v>
      </c>
      <c r="K10" t="n">
        <v>0.2240656295079775</v>
      </c>
      <c r="L10" t="n">
        <v>0.2262018819611133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31" sqref="K3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175" zoomScaleNormal="175" workbookViewId="0">
      <selection activeCell="E22" sqref="E22"/>
    </sheetView>
  </sheetViews>
  <sheetFormatPr baseColWidth="8" defaultRowHeight="14.5"/>
  <sheetData>
    <row r="1">
      <c r="A1" t="inlineStr">
        <is>
          <t>STE</t>
        </is>
      </c>
      <c r="B1" t="inlineStr">
        <is>
          <t>2025 M11</t>
        </is>
      </c>
      <c r="C1" t="inlineStr">
        <is>
          <t>2025 M12</t>
        </is>
      </c>
      <c r="D1" t="inlineStr">
        <is>
          <t>2026 M01</t>
        </is>
      </c>
      <c r="E1" t="inlineStr">
        <is>
          <t>2026 M02</t>
        </is>
      </c>
      <c r="F1" t="inlineStr">
        <is>
          <t>2026 M03</t>
        </is>
      </c>
      <c r="G1" t="inlineStr">
        <is>
          <t>2026 M04</t>
        </is>
      </c>
      <c r="H1" t="inlineStr">
        <is>
          <t>2026 M05</t>
        </is>
      </c>
      <c r="I1" t="inlineStr">
        <is>
          <t>2026 M06</t>
        </is>
      </c>
      <c r="J1" t="inlineStr">
        <is>
          <t>2026 M07</t>
        </is>
      </c>
      <c r="K1" t="inlineStr">
        <is>
          <t>2026 M08</t>
        </is>
      </c>
      <c r="L1" t="inlineStr">
        <is>
          <t>2026 M09</t>
        </is>
      </c>
    </row>
    <row r="2">
      <c r="A2" t="inlineStr">
        <is>
          <t>Model Score</t>
        </is>
      </c>
      <c r="B2" t="n">
        <v>131.3651561126205</v>
      </c>
      <c r="C2" t="n">
        <v>131.6513915440997</v>
      </c>
      <c r="D2" t="n">
        <v>132.2504477975082</v>
      </c>
      <c r="E2" t="n">
        <v>133.1113250892619</v>
      </c>
      <c r="F2" t="n">
        <v>134.3934425718512</v>
      </c>
      <c r="G2" t="n">
        <v>135.0739193974012</v>
      </c>
      <c r="H2" t="n">
        <v>136.244090882718</v>
      </c>
      <c r="I2" t="n">
        <v>136.5269757194134</v>
      </c>
      <c r="J2" t="n">
        <v>137.3586655760463</v>
      </c>
      <c r="K2" t="n">
        <v>137.5708487630104</v>
      </c>
      <c r="L2" t="n">
        <v>137.3436104271622</v>
      </c>
    </row>
    <row r="3">
      <c r="A3" t="inlineStr">
        <is>
          <t>Expected Gross Loss Impact</t>
        </is>
      </c>
      <c r="B3" t="n">
        <v>-0.4229003424688358</v>
      </c>
      <c r="C3" t="n">
        <v>-0.4428318907520463</v>
      </c>
      <c r="D3" t="n">
        <v>-0.3765087740779052</v>
      </c>
      <c r="E3" t="n">
        <v>-0.3989915474939778</v>
      </c>
      <c r="F3" t="n">
        <v>-0.3569382769190383</v>
      </c>
      <c r="G3" t="n">
        <v>-0.2714591654647336</v>
      </c>
      <c r="H3" t="n">
        <v>-0.3960304401416579</v>
      </c>
      <c r="I3" t="n">
        <v>-0.5679373861838997</v>
      </c>
      <c r="J3" t="n">
        <v>-0.4859732772138159</v>
      </c>
      <c r="K3" t="n">
        <v>-0.1584695948813817</v>
      </c>
      <c r="L3" t="n">
        <v>0.001594424095856084</v>
      </c>
    </row>
    <row r="4">
      <c r="A4" t="inlineStr">
        <is>
          <t>Recovery Impact</t>
        </is>
      </c>
      <c r="B4" t="n">
        <v>2.138007016336803</v>
      </c>
      <c r="C4" t="n">
        <v>1.908082117854356</v>
      </c>
      <c r="D4" t="n">
        <v>2.112410699763467</v>
      </c>
      <c r="E4" t="n">
        <v>1.11268942949778</v>
      </c>
      <c r="F4" t="n">
        <v>1.091996458559675</v>
      </c>
      <c r="G4" t="n">
        <v>2.309290282883682</v>
      </c>
      <c r="H4" t="n">
        <v>3.462081092307393</v>
      </c>
      <c r="I4" t="n">
        <v>4.038426162964447</v>
      </c>
      <c r="J4" t="n">
        <v>4.212499034551448</v>
      </c>
      <c r="K4" t="n">
        <v>3.517846776568211</v>
      </c>
      <c r="L4" t="n">
        <v>3.084337024514781</v>
      </c>
    </row>
    <row r="5">
      <c r="A5" t="inlineStr">
        <is>
          <t>LTV Impact</t>
        </is>
      </c>
      <c r="B5" t="n">
        <v>4.350490189058533</v>
      </c>
      <c r="C5" t="n">
        <v>3.959938585961525</v>
      </c>
      <c r="D5" t="n">
        <v>4.432585076535629</v>
      </c>
      <c r="E5" t="n">
        <v>4.977841807911377</v>
      </c>
      <c r="F5" t="n">
        <v>5.567109301789445</v>
      </c>
      <c r="G5" t="n">
        <v>5.801014611287784</v>
      </c>
      <c r="H5" t="n">
        <v>6.423008339670849</v>
      </c>
      <c r="I5" t="n">
        <v>6.169638525131881</v>
      </c>
      <c r="J5" t="n">
        <v>6.378209781427979</v>
      </c>
      <c r="K5" t="n">
        <v>6.188021541263446</v>
      </c>
      <c r="L5" t="n">
        <v>5.889268950056255</v>
      </c>
    </row>
    <row r="6">
      <c r="A6" t="inlineStr">
        <is>
          <t>APR Impact</t>
        </is>
      </c>
      <c r="B6" t="n">
        <v>1.115541807286742</v>
      </c>
      <c r="C6" t="n">
        <v>1.091532106112449</v>
      </c>
      <c r="D6" t="n">
        <v>1.087923896687248</v>
      </c>
      <c r="E6" t="n">
        <v>1.175085726381635</v>
      </c>
      <c r="F6" t="n">
        <v>1.504650371042688</v>
      </c>
      <c r="G6" t="n">
        <v>1.672336970547677</v>
      </c>
      <c r="H6" t="n">
        <v>1.783094257537565</v>
      </c>
      <c r="I6" t="n">
        <v>1.882743456143129</v>
      </c>
      <c r="J6" t="n">
        <v>1.979285459538064</v>
      </c>
      <c r="K6" t="n">
        <v>1.815405934441572</v>
      </c>
      <c r="L6" t="n">
        <v>1.665868262722071</v>
      </c>
    </row>
    <row r="7">
      <c r="A7" t="inlineStr">
        <is>
          <t>RAGU Score</t>
        </is>
      </c>
      <c r="B7" t="n">
        <v>138.5462947828338</v>
      </c>
      <c r="C7" t="n">
        <v>138.168112463276</v>
      </c>
      <c r="D7" t="n">
        <v>139.5068586964166</v>
      </c>
      <c r="E7" t="n">
        <v>139.9779505055587</v>
      </c>
      <c r="F7" t="n">
        <v>142.2040012104897</v>
      </c>
      <c r="G7" t="n">
        <v>144.5852092043276</v>
      </c>
      <c r="H7" t="n">
        <v>147.5158023943077</v>
      </c>
      <c r="I7" t="n">
        <v>148.049846477469</v>
      </c>
      <c r="J7" t="n">
        <v>149.4438050020764</v>
      </c>
      <c r="K7" t="n">
        <v>148.9336534204023</v>
      </c>
      <c r="L7" t="n">
        <v>147.9794568197373</v>
      </c>
    </row>
    <row r="8">
      <c r="A8" t="inlineStr">
        <is>
          <t>Amount Financed</t>
        </is>
      </c>
      <c r="B8" t="n">
        <v>46957669.38</v>
      </c>
      <c r="C8" t="n">
        <v>48436705.36</v>
      </c>
      <c r="D8" t="n">
        <v>41847911.84</v>
      </c>
      <c r="E8" t="n">
        <v>51674677.01000001</v>
      </c>
      <c r="F8" t="n">
        <v>107724085.98</v>
      </c>
      <c r="G8" t="n">
        <v>90227374.95</v>
      </c>
      <c r="H8" t="n">
        <v>72604977.90000001</v>
      </c>
      <c r="I8" t="n">
        <v>82073268.25</v>
      </c>
      <c r="J8" t="n">
        <v>72933369.03999999</v>
      </c>
      <c r="K8" t="n">
        <v>57974773.56</v>
      </c>
      <c r="L8" t="n">
        <v>54925118.76</v>
      </c>
    </row>
    <row r="9">
      <c r="A9" t="inlineStr">
        <is>
          <t>Weighted LTV</t>
        </is>
      </c>
      <c r="B9" t="n">
        <v>1.54469521345703</v>
      </c>
      <c r="C9" t="n">
        <v>1.573477892825947</v>
      </c>
      <c r="D9" t="n">
        <v>1.538778447967365</v>
      </c>
      <c r="E9" t="n">
        <v>1.50060230154756</v>
      </c>
      <c r="F9" t="n">
        <v>1.461418897695722</v>
      </c>
      <c r="G9" t="n">
        <v>1.44642686135875</v>
      </c>
      <c r="H9" t="n">
        <v>1.408017259001815</v>
      </c>
      <c r="I9" t="n">
        <v>1.423414524323585</v>
      </c>
      <c r="J9" t="n">
        <v>1.410715375913849</v>
      </c>
      <c r="K9" t="n">
        <v>1.4222860687494</v>
      </c>
      <c r="L9" t="n">
        <v>1.440849861651826</v>
      </c>
    </row>
    <row r="10">
      <c r="A10" t="inlineStr">
        <is>
          <t>Weighted APR</t>
        </is>
      </c>
      <c r="B10" t="n">
        <v>0.2340636884673322</v>
      </c>
      <c r="C10" t="n">
        <v>0.2344066841983936</v>
      </c>
      <c r="D10" t="n">
        <v>0.234458230047325</v>
      </c>
      <c r="E10" t="n">
        <v>0.2332130610516909</v>
      </c>
      <c r="F10" t="n">
        <v>0.2285049946993902</v>
      </c>
      <c r="G10" t="n">
        <v>0.2261094718493189</v>
      </c>
      <c r="H10" t="n">
        <v>0.2245272248923205</v>
      </c>
      <c r="I10" t="n">
        <v>0.223103664912241</v>
      </c>
      <c r="J10" t="n">
        <v>0.2217244934351705</v>
      </c>
      <c r="K10" t="n">
        <v>0.2240656295079775</v>
      </c>
      <c r="L10" t="n">
        <v>0.2262018819611133</v>
      </c>
    </row>
    <row r="12">
      <c r="B12">
        <f>'Data Tables (M) w_cb_zip'!B2-'Data Tables (M) no zip'!B2</f>
        <v/>
      </c>
      <c r="C12">
        <f>'Data Tables (M) w_cb_zip'!C2-'Data Tables (M) no zip'!C2</f>
        <v/>
      </c>
      <c r="D12">
        <f>'Data Tables (M) w_cb_zip'!D2-'Data Tables (M) no zip'!D2</f>
        <v/>
      </c>
      <c r="E12">
        <f>'Data Tables (M) w_cb_zip'!E2-'Data Tables (M) no zip'!E2</f>
        <v/>
      </c>
      <c r="F12">
        <f>'Data Tables (M) w_cb_zip'!F2-'Data Tables (M) no zip'!F2</f>
        <v/>
      </c>
      <c r="G12">
        <f>'Data Tables (M) w_cb_zip'!G2-'Data Tables (M) no zip'!G2</f>
        <v/>
      </c>
      <c r="H12">
        <f>'Data Tables (M) w_cb_zip'!H2-'Data Tables (M) no zip'!H2</f>
        <v/>
      </c>
      <c r="I12">
        <f>'Data Tables (M) w_cb_zip'!I2-'Data Tables (M) no zip'!I2</f>
        <v/>
      </c>
      <c r="J12">
        <f>'Data Tables (M) w_cb_zip'!J2-'Data Tables (M) no zip'!J2</f>
        <v/>
      </c>
      <c r="K12">
        <f>'Data Tables (M) w_cb_zip'!K2-'Data Tables (M) no zip'!K2</f>
        <v/>
      </c>
      <c r="L12">
        <f>'Data Tables (M) w_cb_zip'!L2-'Data Tables (M) no zip'!L2</f>
        <v/>
      </c>
    </row>
    <row r="13">
      <c r="B13" s="1">
        <f>'Data Tables (M) w_cb_zip'!B3-'Data Tables (M) no zip'!B3</f>
        <v/>
      </c>
      <c r="C13" s="1">
        <f>'Data Tables (M) w_cb_zip'!C3-'Data Tables (M) no zip'!C3</f>
        <v/>
      </c>
      <c r="D13" s="1">
        <f>'Data Tables (M) w_cb_zip'!D3-'Data Tables (M) no zip'!D3</f>
        <v/>
      </c>
      <c r="E13" s="1">
        <f>'Data Tables (M) w_cb_zip'!E3-'Data Tables (M) no zip'!E3</f>
        <v/>
      </c>
      <c r="F13" s="1">
        <f>'Data Tables (M) w_cb_zip'!F3-'Data Tables (M) no zip'!F3</f>
        <v/>
      </c>
      <c r="G13" s="1">
        <f>'Data Tables (M) w_cb_zip'!G3-'Data Tables (M) no zip'!G3</f>
        <v/>
      </c>
      <c r="H13" s="1">
        <f>'Data Tables (M) w_cb_zip'!H3-'Data Tables (M) no zip'!H3</f>
        <v/>
      </c>
      <c r="I13" s="1">
        <f>'Data Tables (M) w_cb_zip'!I3-'Data Tables (M) no zip'!I3</f>
        <v/>
      </c>
      <c r="J13" s="1">
        <f>'Data Tables (M) w_cb_zip'!J3-'Data Tables (M) no zip'!J3</f>
        <v/>
      </c>
      <c r="K13" s="1">
        <f>'Data Tables (M) w_cb_zip'!K3-'Data Tables (M) no zip'!K3</f>
        <v/>
      </c>
      <c r="L13" s="1">
        <f>'Data Tables (M) w_cb_zip'!L3-'Data Tables (M) no zip'!L3</f>
        <v/>
      </c>
    </row>
    <row r="14">
      <c r="B14">
        <f>'Data Tables (M) w_cb_zip'!B4-'Data Tables (M) no zip'!B4</f>
        <v/>
      </c>
      <c r="C14">
        <f>'Data Tables (M) w_cb_zip'!C4-'Data Tables (M) no zip'!C4</f>
        <v/>
      </c>
      <c r="D14">
        <f>'Data Tables (M) w_cb_zip'!D4-'Data Tables (M) no zip'!D4</f>
        <v/>
      </c>
      <c r="E14">
        <f>'Data Tables (M) w_cb_zip'!E4-'Data Tables (M) no zip'!E4</f>
        <v/>
      </c>
      <c r="F14">
        <f>'Data Tables (M) w_cb_zip'!F4-'Data Tables (M) no zip'!F4</f>
        <v/>
      </c>
      <c r="G14">
        <f>'Data Tables (M) w_cb_zip'!G4-'Data Tables (M) no zip'!G4</f>
        <v/>
      </c>
      <c r="H14">
        <f>'Data Tables (M) w_cb_zip'!H4-'Data Tables (M) no zip'!H4</f>
        <v/>
      </c>
      <c r="I14">
        <f>'Data Tables (M) w_cb_zip'!I4-'Data Tables (M) no zip'!I4</f>
        <v/>
      </c>
      <c r="J14">
        <f>'Data Tables (M) w_cb_zip'!J4-'Data Tables (M) no zip'!J4</f>
        <v/>
      </c>
      <c r="K14">
        <f>'Data Tables (M) w_cb_zip'!K4-'Data Tables (M) no zip'!K4</f>
        <v/>
      </c>
      <c r="L14">
        <f>'Data Tables (M) w_cb_zip'!L4-'Data Tables (M) no zip'!L4</f>
        <v/>
      </c>
    </row>
    <row r="15">
      <c r="B15">
        <f>'Data Tables (M) w_cb_zip'!B5-'Data Tables (M) no zip'!B5</f>
        <v/>
      </c>
      <c r="C15">
        <f>'Data Tables (M) w_cb_zip'!C5-'Data Tables (M) no zip'!C5</f>
        <v/>
      </c>
      <c r="D15">
        <f>'Data Tables (M) w_cb_zip'!D5-'Data Tables (M) no zip'!D5</f>
        <v/>
      </c>
      <c r="E15">
        <f>'Data Tables (M) w_cb_zip'!E5-'Data Tables (M) no zip'!E5</f>
        <v/>
      </c>
      <c r="F15">
        <f>'Data Tables (M) w_cb_zip'!F5-'Data Tables (M) no zip'!F5</f>
        <v/>
      </c>
      <c r="G15">
        <f>'Data Tables (M) w_cb_zip'!G5-'Data Tables (M) no zip'!G5</f>
        <v/>
      </c>
      <c r="H15">
        <f>'Data Tables (M) w_cb_zip'!H5-'Data Tables (M) no zip'!H5</f>
        <v/>
      </c>
      <c r="I15">
        <f>'Data Tables (M) w_cb_zip'!I5-'Data Tables (M) no zip'!I5</f>
        <v/>
      </c>
      <c r="J15">
        <f>'Data Tables (M) w_cb_zip'!J5-'Data Tables (M) no zip'!J5</f>
        <v/>
      </c>
      <c r="K15">
        <f>'Data Tables (M) w_cb_zip'!K5-'Data Tables (M) no zip'!K5</f>
        <v/>
      </c>
      <c r="L15">
        <f>'Data Tables (M) w_cb_zip'!L5-'Data Tables (M) no zip'!L5</f>
        <v/>
      </c>
    </row>
    <row r="16">
      <c r="B16">
        <f>'Data Tables (M) w_cb_zip'!B6-'Data Tables (M) no zip'!B6</f>
        <v/>
      </c>
      <c r="C16">
        <f>'Data Tables (M) w_cb_zip'!C6-'Data Tables (M) no zip'!C6</f>
        <v/>
      </c>
      <c r="D16">
        <f>'Data Tables (M) w_cb_zip'!D6-'Data Tables (M) no zip'!D6</f>
        <v/>
      </c>
      <c r="E16">
        <f>'Data Tables (M) w_cb_zip'!E6-'Data Tables (M) no zip'!E6</f>
        <v/>
      </c>
      <c r="F16">
        <f>'Data Tables (M) w_cb_zip'!F6-'Data Tables (M) no zip'!F6</f>
        <v/>
      </c>
      <c r="G16">
        <f>'Data Tables (M) w_cb_zip'!G6-'Data Tables (M) no zip'!G6</f>
        <v/>
      </c>
      <c r="H16">
        <f>'Data Tables (M) w_cb_zip'!H6-'Data Tables (M) no zip'!H6</f>
        <v/>
      </c>
      <c r="I16">
        <f>'Data Tables (M) w_cb_zip'!I6-'Data Tables (M) no zip'!I6</f>
        <v/>
      </c>
      <c r="J16">
        <f>'Data Tables (M) w_cb_zip'!J6-'Data Tables (M) no zip'!J6</f>
        <v/>
      </c>
      <c r="K16">
        <f>'Data Tables (M) w_cb_zip'!K6-'Data Tables (M) no zip'!K6</f>
        <v/>
      </c>
      <c r="L16">
        <f>'Data Tables (M) w_cb_zip'!L6-'Data Tables (M) no zip'!L6</f>
        <v/>
      </c>
    </row>
    <row r="17">
      <c r="B17">
        <f>'Data Tables (M) w_cb_zip'!B7-'Data Tables (M) no zip'!B7</f>
        <v/>
      </c>
      <c r="C17">
        <f>'Data Tables (M) w_cb_zip'!C7-'Data Tables (M) no zip'!C7</f>
        <v/>
      </c>
      <c r="D17">
        <f>'Data Tables (M) w_cb_zip'!D7-'Data Tables (M) no zip'!D7</f>
        <v/>
      </c>
      <c r="E17">
        <f>'Data Tables (M) w_cb_zip'!E7-'Data Tables (M) no zip'!E7</f>
        <v/>
      </c>
      <c r="F17">
        <f>'Data Tables (M) w_cb_zip'!F7-'Data Tables (M) no zip'!F7</f>
        <v/>
      </c>
      <c r="G17">
        <f>'Data Tables (M) w_cb_zip'!G7-'Data Tables (M) no zip'!G7</f>
        <v/>
      </c>
      <c r="H17">
        <f>'Data Tables (M) w_cb_zip'!H7-'Data Tables (M) no zip'!H7</f>
        <v/>
      </c>
      <c r="I17">
        <f>'Data Tables (M) w_cb_zip'!I7-'Data Tables (M) no zip'!I7</f>
        <v/>
      </c>
      <c r="J17">
        <f>'Data Tables (M) w_cb_zip'!J7-'Data Tables (M) no zip'!J7</f>
        <v/>
      </c>
      <c r="K17">
        <f>'Data Tables (M) w_cb_zip'!K7-'Data Tables (M) no zip'!K7</f>
        <v/>
      </c>
      <c r="L17">
        <f>'Data Tables (M) w_cb_zip'!L7-'Data Tables (M) no zip'!L7</f>
        <v/>
      </c>
    </row>
    <row r="18">
      <c r="B18">
        <f>'Data Tables (M) w_cb_zip'!B8-'Data Tables (M) no zip'!B8</f>
        <v/>
      </c>
      <c r="C18">
        <f>'Data Tables (M) w_cb_zip'!C8-'Data Tables (M) no zip'!C8</f>
        <v/>
      </c>
      <c r="D18">
        <f>'Data Tables (M) w_cb_zip'!D8-'Data Tables (M) no zip'!D8</f>
        <v/>
      </c>
      <c r="E18">
        <f>'Data Tables (M) w_cb_zip'!E8-'Data Tables (M) no zip'!E8</f>
        <v/>
      </c>
      <c r="F18">
        <f>'Data Tables (M) w_cb_zip'!F8-'Data Tables (M) no zip'!F8</f>
        <v/>
      </c>
      <c r="G18">
        <f>'Data Tables (M) w_cb_zip'!G8-'Data Tables (M) no zip'!G8</f>
        <v/>
      </c>
      <c r="H18">
        <f>'Data Tables (M) w_cb_zip'!H8-'Data Tables (M) no zip'!H8</f>
        <v/>
      </c>
      <c r="I18">
        <f>'Data Tables (M) w_cb_zip'!I8-'Data Tables (M) no zip'!I8</f>
        <v/>
      </c>
      <c r="J18">
        <f>'Data Tables (M) w_cb_zip'!J8-'Data Tables (M) no zip'!J8</f>
        <v/>
      </c>
      <c r="K18">
        <f>'Data Tables (M) w_cb_zip'!K8-'Data Tables (M) no zip'!K8</f>
        <v/>
      </c>
      <c r="L18">
        <f>'Data Tables (M) w_cb_zip'!L8-'Data Tables (M) no zip'!L8</f>
        <v/>
      </c>
    </row>
    <row r="19">
      <c r="B19">
        <f>'Data Tables (M) w_cb_zip'!B9-'Data Tables (M) no zip'!B9</f>
        <v/>
      </c>
      <c r="C19">
        <f>'Data Tables (M) w_cb_zip'!C9-'Data Tables (M) no zip'!C9</f>
        <v/>
      </c>
      <c r="D19">
        <f>'Data Tables (M) w_cb_zip'!D9-'Data Tables (M) no zip'!D9</f>
        <v/>
      </c>
      <c r="E19">
        <f>'Data Tables (M) w_cb_zip'!E9-'Data Tables (M) no zip'!E9</f>
        <v/>
      </c>
      <c r="F19">
        <f>'Data Tables (M) w_cb_zip'!F9-'Data Tables (M) no zip'!F9</f>
        <v/>
      </c>
      <c r="G19">
        <f>'Data Tables (M) w_cb_zip'!G9-'Data Tables (M) no zip'!G9</f>
        <v/>
      </c>
      <c r="H19">
        <f>'Data Tables (M) w_cb_zip'!H9-'Data Tables (M) no zip'!H9</f>
        <v/>
      </c>
      <c r="I19">
        <f>'Data Tables (M) w_cb_zip'!I9-'Data Tables (M) no zip'!I9</f>
        <v/>
      </c>
      <c r="J19">
        <f>'Data Tables (M) w_cb_zip'!J9-'Data Tables (M) no zip'!J9</f>
        <v/>
      </c>
      <c r="K19">
        <f>'Data Tables (M) w_cb_zip'!K9-'Data Tables (M) no zip'!K9</f>
        <v/>
      </c>
      <c r="L19">
        <f>'Data Tables (M) w_cb_zip'!L9-'Data Tables (M) no zip'!L9</f>
        <v/>
      </c>
    </row>
    <row r="20">
      <c r="B20">
        <f>'Data Tables (M) w_cb_zip'!B10-'Data Tables (M) no zip'!B10</f>
        <v/>
      </c>
      <c r="C20">
        <f>'Data Tables (M) w_cb_zip'!C10-'Data Tables (M) no zip'!C10</f>
        <v/>
      </c>
      <c r="D20">
        <f>'Data Tables (M) w_cb_zip'!D10-'Data Tables (M) no zip'!D10</f>
        <v/>
      </c>
      <c r="E20">
        <f>'Data Tables (M) w_cb_zip'!E10-'Data Tables (M) no zip'!E10</f>
        <v/>
      </c>
      <c r="F20">
        <f>'Data Tables (M) w_cb_zip'!F10-'Data Tables (M) no zip'!F10</f>
        <v/>
      </c>
      <c r="G20">
        <f>'Data Tables (M) w_cb_zip'!G10-'Data Tables (M) no zip'!G10</f>
        <v/>
      </c>
      <c r="H20">
        <f>'Data Tables (M) w_cb_zip'!H10-'Data Tables (M) no zip'!H10</f>
        <v/>
      </c>
      <c r="I20">
        <f>'Data Tables (M) w_cb_zip'!I10-'Data Tables (M) no zip'!I10</f>
        <v/>
      </c>
      <c r="J20">
        <f>'Data Tables (M) w_cb_zip'!J10-'Data Tables (M) no zip'!J10</f>
        <v/>
      </c>
      <c r="K20">
        <f>'Data Tables (M) w_cb_zip'!K10-'Data Tables (M) no zip'!K10</f>
        <v/>
      </c>
      <c r="L20">
        <f>'Data Tables (M) w_cb_zip'!L10-'Data Tables (M) no zip'!L10</f>
        <v/>
      </c>
    </row>
    <row r="21">
      <c r="B21">
        <f>'Data Tables (M) w_cb_zip'!B11-'Data Tables (M) no zip'!B11</f>
        <v/>
      </c>
      <c r="C21">
        <f>'Data Tables (M) w_cb_zip'!C11-'Data Tables (M) no zip'!C11</f>
        <v/>
      </c>
      <c r="D21">
        <f>'Data Tables (M) w_cb_zip'!D11-'Data Tables (M) no zip'!D11</f>
        <v/>
      </c>
      <c r="E21">
        <f>'Data Tables (M) w_cb_zip'!E11-'Data Tables (M) no zip'!E11</f>
        <v/>
      </c>
      <c r="F21">
        <f>'Data Tables (M) w_cb_zip'!F11-'Data Tables (M) no zip'!F11</f>
        <v/>
      </c>
      <c r="G21">
        <f>'Data Tables (M) w_cb_zip'!G11-'Data Tables (M) no zip'!G11</f>
        <v/>
      </c>
      <c r="H21">
        <f>'Data Tables (M) w_cb_zip'!H11-'Data Tables (M) no zip'!H11</f>
        <v/>
      </c>
      <c r="I21">
        <f>'Data Tables (M) w_cb_zip'!I11-'Data Tables (M) no zip'!I11</f>
        <v/>
      </c>
      <c r="J21">
        <f>'Data Tables (M) w_cb_zip'!J11-'Data Tables (M) no zip'!J11</f>
        <v/>
      </c>
      <c r="K21">
        <f>'Data Tables (M) w_cb_zip'!K11-'Data Tables (M) no zip'!K11</f>
        <v/>
      </c>
      <c r="L21">
        <f>'Data Tables (M) w_cb_zip'!L11-'Data Tables (M) no zip'!L11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</t>
        </is>
      </c>
      <c r="B1" t="inlineStr">
        <is>
          <t>2026-05-31/2026-06-06</t>
        </is>
      </c>
      <c r="C1" t="inlineStr">
        <is>
          <t>2026-06-07/2026-06-13</t>
        </is>
      </c>
      <c r="D1" t="inlineStr">
        <is>
          <t>2026-06-14/2026-06-20</t>
        </is>
      </c>
      <c r="E1" t="inlineStr">
        <is>
          <t>2026-06-21/2026-06-27</t>
        </is>
      </c>
      <c r="F1" t="inlineStr">
        <is>
          <t>2026-06-28/2026-07-04</t>
        </is>
      </c>
      <c r="G1" t="inlineStr">
        <is>
          <t>2026-07-05/2026-07-11</t>
        </is>
      </c>
      <c r="H1" t="inlineStr">
        <is>
          <t>2026-07-12/2026-07-18</t>
        </is>
      </c>
      <c r="I1" t="inlineStr">
        <is>
          <t>2026-07-19/2026-07-25</t>
        </is>
      </c>
      <c r="J1" t="inlineStr">
        <is>
          <t>2026-07-26/2026-08-01</t>
        </is>
      </c>
      <c r="K1" t="inlineStr">
        <is>
          <t>2026-08-02/2026-08-08</t>
        </is>
      </c>
      <c r="L1" t="inlineStr">
        <is>
          <t>2026-08-09/2026-08-15</t>
        </is>
      </c>
      <c r="M1" t="inlineStr">
        <is>
          <t>2026-08-16/2026-08-22</t>
        </is>
      </c>
      <c r="N1" t="inlineStr">
        <is>
          <t>2026-08-23/2026-08-29</t>
        </is>
      </c>
      <c r="O1" t="inlineStr">
        <is>
          <t>2026-08-30/2026-09-05</t>
        </is>
      </c>
      <c r="P1" t="inlineStr">
        <is>
          <t>2026-09-06/2026-09-12</t>
        </is>
      </c>
      <c r="Q1" t="inlineStr">
        <is>
          <t>2026-09-13/2026-09-19</t>
        </is>
      </c>
      <c r="R1" t="inlineStr">
        <is>
          <t>2026-09-20/2026-09-26</t>
        </is>
      </c>
      <c r="S1" t="inlineStr">
        <is>
          <t>2026-09-27/2026-10-03</t>
        </is>
      </c>
      <c r="T1" t="inlineStr">
        <is>
          <t>2026-10-04/2026-10-10</t>
        </is>
      </c>
    </row>
    <row r="2">
      <c r="A2" t="inlineStr">
        <is>
          <t>Model Score</t>
        </is>
      </c>
      <c r="B2" t="n">
        <v>136.3769169697765</v>
      </c>
      <c r="C2" t="n">
        <v>136.4871710709409</v>
      </c>
      <c r="D2" t="n">
        <v>137.1872162588645</v>
      </c>
      <c r="E2" t="n">
        <v>137.1428366760989</v>
      </c>
      <c r="F2" t="n">
        <v>137.8299723341297</v>
      </c>
      <c r="G2" t="n">
        <v>137.2696870075733</v>
      </c>
      <c r="H2" t="n">
        <v>137.3875426753543</v>
      </c>
      <c r="I2" t="n">
        <v>137.0004567979578</v>
      </c>
      <c r="J2" t="n">
        <v>137.7202308735054</v>
      </c>
      <c r="K2" t="n">
        <v>137.3392893270023</v>
      </c>
      <c r="L2" t="n">
        <v>137.8644752992943</v>
      </c>
      <c r="M2" t="n">
        <v>137.3596019193337</v>
      </c>
      <c r="N2" t="n">
        <v>137.4537927576926</v>
      </c>
      <c r="O2" t="n">
        <v>137.5628664399206</v>
      </c>
      <c r="P2" t="n">
        <v>137.2591876571248</v>
      </c>
      <c r="Q2" t="n">
        <v>137.5506248615269</v>
      </c>
      <c r="R2" t="n">
        <v>136.7945668951994</v>
      </c>
      <c r="S2" t="n">
        <v>137.7385547792066</v>
      </c>
      <c r="T2" t="n">
        <v>137.813402288978</v>
      </c>
    </row>
    <row r="3">
      <c r="A3" t="inlineStr">
        <is>
          <t>Expected Gross Loss Impact</t>
        </is>
      </c>
      <c r="B3" t="n">
        <v>-0.08670798084884268</v>
      </c>
      <c r="C3" t="n">
        <v>-0.06404318494796257</v>
      </c>
      <c r="D3" t="n">
        <v>-0.5561507533783754</v>
      </c>
      <c r="E3" t="n">
        <v>-0.06199918477398114</v>
      </c>
      <c r="F3" t="n">
        <v>-0.1223021417754921</v>
      </c>
      <c r="G3" t="n">
        <v>0.1382983642251929</v>
      </c>
      <c r="H3" t="n">
        <v>0.1158962312483709</v>
      </c>
      <c r="I3" t="n">
        <v>0.4541363366376743</v>
      </c>
      <c r="J3" t="n">
        <v>0.06508448327170413</v>
      </c>
      <c r="K3" t="n">
        <v>0.3137234825882729</v>
      </c>
      <c r="L3" t="n">
        <v>0.1275977298847124</v>
      </c>
      <c r="M3" t="n">
        <v>0.5642515616557375</v>
      </c>
      <c r="N3" t="n">
        <v>0.4008539910158504</v>
      </c>
      <c r="O3" t="n">
        <v>0.2556539559541307</v>
      </c>
      <c r="P3" t="n">
        <v>0.5566149023721607</v>
      </c>
      <c r="Q3" t="n">
        <v>0.9752757112285337</v>
      </c>
      <c r="R3" t="n">
        <v>0.8571389634806224</v>
      </c>
      <c r="S3" t="n">
        <v>-0.09275252561525349</v>
      </c>
      <c r="T3" t="n">
        <v>1.514230331174787</v>
      </c>
    </row>
    <row r="4">
      <c r="A4" t="inlineStr">
        <is>
          <t>Recovery Impact</t>
        </is>
      </c>
      <c r="B4" t="n">
        <v>3.963332965785394</v>
      </c>
      <c r="C4" t="n">
        <v>4.230843173000186</v>
      </c>
      <c r="D4" t="n">
        <v>3.899974718799932</v>
      </c>
      <c r="E4" t="n">
        <v>4.897403872708026</v>
      </c>
      <c r="F4" t="n">
        <v>4.333464735324456</v>
      </c>
      <c r="G4" t="n">
        <v>4.079215440447669</v>
      </c>
      <c r="H4" t="n">
        <v>4.022071865703817</v>
      </c>
      <c r="I4" t="n">
        <v>3.157247112104061</v>
      </c>
      <c r="J4" t="n">
        <v>3.483431083179653</v>
      </c>
      <c r="K4" t="n">
        <v>3.036519699816549</v>
      </c>
      <c r="L4" t="n">
        <v>3.671775564155406</v>
      </c>
      <c r="M4" t="n">
        <v>3.567226048676129</v>
      </c>
      <c r="N4" t="n">
        <v>3.885529033832466</v>
      </c>
      <c r="O4" t="n">
        <v>3.266537178924036</v>
      </c>
      <c r="P4" t="n">
        <v>3.146844492977051</v>
      </c>
      <c r="Q4" t="n">
        <v>2.710742497066468</v>
      </c>
      <c r="R4" t="n">
        <v>2.82536534061009</v>
      </c>
      <c r="S4" t="n">
        <v>1.709526920571117</v>
      </c>
      <c r="T4" t="n">
        <v>2.643894335876566</v>
      </c>
    </row>
    <row r="5">
      <c r="A5" t="inlineStr">
        <is>
          <t>LTV Impact</t>
        </is>
      </c>
      <c r="B5" t="n">
        <v>6.244339946715268</v>
      </c>
      <c r="C5" t="n">
        <v>6.242989180681817</v>
      </c>
      <c r="D5" t="n">
        <v>5.967034713487973</v>
      </c>
      <c r="E5" t="n">
        <v>6.10430138370748</v>
      </c>
      <c r="F5" t="n">
        <v>6.8144891330586</v>
      </c>
      <c r="G5" t="n">
        <v>6.030332687329202</v>
      </c>
      <c r="H5" t="n">
        <v>6.567728111418498</v>
      </c>
      <c r="I5" t="n">
        <v>6.341203609470618</v>
      </c>
      <c r="J5" t="n">
        <v>6.080086661123238</v>
      </c>
      <c r="K5" t="n">
        <v>5.691283522854956</v>
      </c>
      <c r="L5" t="n">
        <v>6.37908273367759</v>
      </c>
      <c r="M5" t="n">
        <v>6.258774260988579</v>
      </c>
      <c r="N5" t="n">
        <v>6.281405758221428</v>
      </c>
      <c r="O5" t="n">
        <v>5.829493104724923</v>
      </c>
      <c r="P5" t="n">
        <v>5.762670544632917</v>
      </c>
      <c r="Q5" t="n">
        <v>6.011637278639553</v>
      </c>
      <c r="R5" t="n">
        <v>5.295445352239414</v>
      </c>
      <c r="S5" t="n">
        <v>5.409750040614483</v>
      </c>
      <c r="T5" t="n">
        <v>5.972285025164799</v>
      </c>
    </row>
    <row r="6">
      <c r="A6" t="inlineStr">
        <is>
          <t>APR Impact</t>
        </is>
      </c>
      <c r="B6" t="n">
        <v>1.860600213168589</v>
      </c>
      <c r="C6" t="n">
        <v>1.782460024726735</v>
      </c>
      <c r="D6" t="n">
        <v>1.801764739250849</v>
      </c>
      <c r="E6" t="n">
        <v>2.140831858930344</v>
      </c>
      <c r="F6" t="n">
        <v>2.193812629762514</v>
      </c>
      <c r="G6" t="n">
        <v>1.879607243516968</v>
      </c>
      <c r="H6" t="n">
        <v>1.724231727553024</v>
      </c>
      <c r="I6" t="n">
        <v>1.662185175931949</v>
      </c>
      <c r="J6" t="n">
        <v>2.033012048912933</v>
      </c>
      <c r="K6" t="n">
        <v>1.595923885425471</v>
      </c>
      <c r="L6" t="n">
        <v>1.902741439923062</v>
      </c>
      <c r="M6" t="n">
        <v>1.720906339485452</v>
      </c>
      <c r="N6" t="n">
        <v>1.74527965159217</v>
      </c>
      <c r="O6" t="n">
        <v>1.781739970153719</v>
      </c>
      <c r="P6" t="n">
        <v>1.476792913767652</v>
      </c>
      <c r="Q6" t="n">
        <v>1.81824983961319</v>
      </c>
      <c r="R6" t="n">
        <v>1.323926752608874</v>
      </c>
      <c r="S6" t="n">
        <v>1.678727251345103</v>
      </c>
      <c r="T6" t="n">
        <v>1.911524554688351</v>
      </c>
    </row>
    <row r="7">
      <c r="A7" t="inlineStr">
        <is>
          <t>RAGU Score</t>
        </is>
      </c>
      <c r="B7" t="n">
        <v>148.3796517953527</v>
      </c>
      <c r="C7" t="n">
        <v>148.7056499305091</v>
      </c>
      <c r="D7" t="n">
        <v>148.2724897090178</v>
      </c>
      <c r="E7" t="n">
        <v>150.2000143048307</v>
      </c>
      <c r="F7" t="n">
        <v>151.1639001050138</v>
      </c>
      <c r="G7" t="n">
        <v>149.2449649346973</v>
      </c>
      <c r="H7" t="n">
        <v>149.8829179518311</v>
      </c>
      <c r="I7" t="n">
        <v>148.5535615111218</v>
      </c>
      <c r="J7" t="n">
        <v>149.4140875731959</v>
      </c>
      <c r="K7" t="n">
        <v>148.107606582353</v>
      </c>
      <c r="L7" t="n">
        <v>149.9048514629542</v>
      </c>
      <c r="M7" t="n">
        <v>149.4578755905982</v>
      </c>
      <c r="N7" t="n">
        <v>149.7598298532697</v>
      </c>
      <c r="O7" t="n">
        <v>148.6067285502486</v>
      </c>
      <c r="P7" t="n">
        <v>148.3028167083898</v>
      </c>
      <c r="Q7" t="n">
        <v>149.0454505315432</v>
      </c>
      <c r="R7" t="n">
        <v>147.1942356243194</v>
      </c>
      <c r="S7" t="n">
        <v>146.4101994385285</v>
      </c>
      <c r="T7" t="n">
        <v>149.2157616181397</v>
      </c>
    </row>
    <row r="8">
      <c r="A8" t="inlineStr">
        <is>
          <t>Amount Financed</t>
        </is>
      </c>
      <c r="B8" t="n">
        <v>16518116.51</v>
      </c>
      <c r="C8" t="n">
        <v>18382664</v>
      </c>
      <c r="D8" t="n">
        <v>17696771.35</v>
      </c>
      <c r="E8" t="n">
        <v>18280560.81</v>
      </c>
      <c r="F8" t="n">
        <v>15235894.33</v>
      </c>
      <c r="G8" t="n">
        <v>13288046.4</v>
      </c>
      <c r="H8" t="n">
        <v>14955864.38</v>
      </c>
      <c r="I8" t="n">
        <v>14445556.33</v>
      </c>
      <c r="J8" t="n">
        <v>14590541.69</v>
      </c>
      <c r="K8" t="n">
        <v>13867492.61</v>
      </c>
      <c r="L8" t="n">
        <v>12990570.21</v>
      </c>
      <c r="M8" t="n">
        <v>12715759.94</v>
      </c>
      <c r="N8" t="n">
        <v>14108815.44</v>
      </c>
      <c r="O8" t="n">
        <v>12162464.36</v>
      </c>
      <c r="P8" t="n">
        <v>11800477.59</v>
      </c>
      <c r="Q8" t="n">
        <v>11072445.99</v>
      </c>
      <c r="R8" t="n">
        <v>10479957.77</v>
      </c>
      <c r="S8" t="n">
        <v>4860735.72</v>
      </c>
      <c r="T8" t="n">
        <v>468844.4600000001</v>
      </c>
    </row>
    <row r="9">
      <c r="A9" t="inlineStr">
        <is>
          <t>Weighted LTV</t>
        </is>
      </c>
      <c r="B9" t="n">
        <v>1.418840030545178</v>
      </c>
      <c r="C9" t="n">
        <v>1.418922486416291</v>
      </c>
      <c r="D9" t="n">
        <v>1.435971182672165</v>
      </c>
      <c r="E9" t="n">
        <v>1.427439828293471</v>
      </c>
      <c r="F9" t="n">
        <v>1.384871193991648</v>
      </c>
      <c r="G9" t="n">
        <v>1.432024471715291</v>
      </c>
      <c r="H9" t="n">
        <v>1.399371201334476</v>
      </c>
      <c r="I9" t="n">
        <v>1.412951986187142</v>
      </c>
      <c r="J9" t="n">
        <v>1.428937442230339</v>
      </c>
      <c r="K9" t="n">
        <v>1.45342152931905</v>
      </c>
      <c r="L9" t="n">
        <v>1.410662701171431</v>
      </c>
      <c r="M9" t="n">
        <v>1.41795950336543</v>
      </c>
      <c r="N9" t="n">
        <v>1.416581126693936</v>
      </c>
      <c r="O9" t="n">
        <v>1.444622526164379</v>
      </c>
      <c r="P9" t="n">
        <v>1.448863389527736</v>
      </c>
      <c r="Q9" t="n">
        <v>1.433187895352998</v>
      </c>
      <c r="R9" t="n">
        <v>1.479225890264058</v>
      </c>
      <c r="S9" t="n">
        <v>1.471680850532846</v>
      </c>
      <c r="T9" t="n">
        <v>1.435642991712506</v>
      </c>
    </row>
    <row r="10">
      <c r="A10" t="inlineStr">
        <is>
          <t>Weighted APR</t>
        </is>
      </c>
      <c r="B10" t="n">
        <v>0.2234199969547344</v>
      </c>
      <c r="C10" t="n">
        <v>0.2245362853610466</v>
      </c>
      <c r="D10" t="n">
        <v>0.2242605037249879</v>
      </c>
      <c r="E10" t="n">
        <v>0.2194166877295665</v>
      </c>
      <c r="F10" t="n">
        <v>0.2186598195748212</v>
      </c>
      <c r="G10" t="n">
        <v>0.2231484679497576</v>
      </c>
      <c r="H10" t="n">
        <v>0.2253681181778139</v>
      </c>
      <c r="I10" t="n">
        <v>0.2262544974866864</v>
      </c>
      <c r="J10" t="n">
        <v>0.2209569707298152</v>
      </c>
      <c r="K10" t="n">
        <v>0.2272010873510647</v>
      </c>
      <c r="L10" t="n">
        <v>0.2228179794296705</v>
      </c>
      <c r="M10" t="n">
        <v>0.2254156237216364</v>
      </c>
      <c r="N10" t="n">
        <v>0.2250674335486833</v>
      </c>
      <c r="O10" t="n">
        <v>0.2245465718549469</v>
      </c>
      <c r="P10" t="n">
        <v>0.2289029583747478</v>
      </c>
      <c r="Q10" t="n">
        <v>0.2240250022912401</v>
      </c>
      <c r="R10" t="n">
        <v>0.2310867606770161</v>
      </c>
      <c r="S10" t="n">
        <v>0.2260181821236414</v>
      </c>
      <c r="T10" t="n">
        <v>0.222692506361595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2026-04-30T18:27:51Z</dcterms:created>
  <dcterms:modified xmlns:dcterms="http://purl.org/dc/terms/" xmlns:xsi="http://www.w3.org/2001/XMLSchema-instance" xsi:type="dcterms:W3CDTF">2026-10-08T19:57:40Z</dcterms:modified>
  <cp:lastModifiedBy>Ahmed Ali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0x0101002F7055BF62EA51469C2F194260F7319E</vt:lpwstr>
  </property>
  <property name="MediaServiceImageTags" fmtid="{D5CDD505-2E9C-101B-9397-08002B2CF9AE}" pid="3">
    <vt:lpwstr xmlns:vt="http://schemas.openxmlformats.org/officeDocument/2006/docPropsVTypes"/>
  </property>
</Properties>
</file>